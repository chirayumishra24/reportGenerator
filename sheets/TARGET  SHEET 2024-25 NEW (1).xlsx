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8F55DBA2-3FBB-4E53-BEF2-609AEF4D582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XA" sheetId="1" r:id="rId1"/>
    <sheet name="X B" sheetId="2" r:id="rId2"/>
    <sheet name="X C" sheetId="3" r:id="rId3"/>
    <sheet name="X D" sheetId="4" r:id="rId4"/>
    <sheet name="X 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8" roundtripDataChecksum="q6hXXu/1WtIdNneSqT8sSa3xdYdgt5FTy90qy2POAAA="/>
    </ext>
  </extLst>
</workbook>
</file>

<file path=xl/calcChain.xml><?xml version="1.0" encoding="utf-8"?>
<calcChain xmlns="http://schemas.openxmlformats.org/spreadsheetml/2006/main">
  <c r="Q1001" i="5" l="1"/>
  <c r="Q1000" i="5"/>
  <c r="Q999" i="5"/>
  <c r="Q998" i="5"/>
  <c r="Q997" i="5"/>
  <c r="Q996" i="5"/>
  <c r="Q995" i="5"/>
  <c r="Q994" i="5"/>
  <c r="Q993" i="5"/>
  <c r="Q992" i="5"/>
  <c r="Q991" i="5"/>
  <c r="Q990" i="5"/>
  <c r="Q989" i="5"/>
  <c r="Q988" i="5"/>
  <c r="Q987" i="5"/>
  <c r="Q986" i="5"/>
  <c r="Q985" i="5"/>
  <c r="Q984" i="5"/>
  <c r="Q983" i="5"/>
  <c r="Q982" i="5"/>
  <c r="Q981" i="5"/>
  <c r="Q980" i="5"/>
  <c r="Q979" i="5"/>
  <c r="Q978" i="5"/>
  <c r="Q977" i="5"/>
  <c r="Q976" i="5"/>
  <c r="Q975" i="5"/>
  <c r="Q974" i="5"/>
  <c r="Q973" i="5"/>
  <c r="Q972" i="5"/>
  <c r="Q971" i="5"/>
  <c r="Q970" i="5"/>
  <c r="Q969" i="5"/>
  <c r="Q968" i="5"/>
  <c r="Q967" i="5"/>
  <c r="Q966" i="5"/>
  <c r="Q965" i="5"/>
  <c r="Q964" i="5"/>
  <c r="Q963" i="5"/>
  <c r="Q962" i="5"/>
  <c r="Q961" i="5"/>
  <c r="Q960" i="5"/>
  <c r="Q959" i="5"/>
  <c r="Q958" i="5"/>
  <c r="Q957" i="5"/>
  <c r="Q956" i="5"/>
  <c r="Q955" i="5"/>
  <c r="Q954" i="5"/>
  <c r="Q953" i="5"/>
  <c r="Q952" i="5"/>
  <c r="Q951" i="5"/>
  <c r="Q950" i="5"/>
  <c r="Q949" i="5"/>
  <c r="Q948" i="5"/>
  <c r="Q947" i="5"/>
  <c r="Q946" i="5"/>
  <c r="Q945" i="5"/>
  <c r="Q944" i="5"/>
  <c r="Q943" i="5"/>
  <c r="Q942" i="5"/>
  <c r="Q941" i="5"/>
  <c r="Q940" i="5"/>
  <c r="Q939" i="5"/>
  <c r="Q938" i="5"/>
  <c r="Q937" i="5"/>
  <c r="Q936" i="5"/>
  <c r="Q935" i="5"/>
  <c r="Q934" i="5"/>
  <c r="Q933" i="5"/>
  <c r="Q932" i="5"/>
  <c r="Q931" i="5"/>
  <c r="Q930" i="5"/>
  <c r="Q929" i="5"/>
  <c r="Q928" i="5"/>
  <c r="Q927" i="5"/>
  <c r="Q926" i="5"/>
  <c r="Q925" i="5"/>
  <c r="Q924" i="5"/>
  <c r="Q923" i="5"/>
  <c r="Q922" i="5"/>
  <c r="Q921" i="5"/>
  <c r="Q920" i="5"/>
  <c r="Q919" i="5"/>
  <c r="Q918" i="5"/>
  <c r="Q917" i="5"/>
  <c r="Q916" i="5"/>
  <c r="Q915" i="5"/>
  <c r="Q914" i="5"/>
  <c r="Q913" i="5"/>
  <c r="Q912" i="5"/>
  <c r="Q911" i="5"/>
  <c r="Q910" i="5"/>
  <c r="Q909" i="5"/>
  <c r="Q908" i="5"/>
  <c r="Q907" i="5"/>
  <c r="Q906" i="5"/>
  <c r="Q905" i="5"/>
  <c r="Q904" i="5"/>
  <c r="Q903" i="5"/>
  <c r="Q902" i="5"/>
  <c r="Q901" i="5"/>
  <c r="Q900" i="5"/>
  <c r="Q899" i="5"/>
  <c r="Q898" i="5"/>
  <c r="Q897" i="5"/>
  <c r="Q896" i="5"/>
  <c r="Q895" i="5"/>
  <c r="Q894" i="5"/>
  <c r="Q893" i="5"/>
  <c r="Q892" i="5"/>
  <c r="Q891" i="5"/>
  <c r="Q890" i="5"/>
  <c r="Q889" i="5"/>
  <c r="Q888" i="5"/>
  <c r="Q887" i="5"/>
  <c r="Q886" i="5"/>
  <c r="Q885" i="5"/>
  <c r="Q884" i="5"/>
  <c r="Q883" i="5"/>
  <c r="Q882" i="5"/>
  <c r="Q881" i="5"/>
  <c r="Q880" i="5"/>
  <c r="Q879" i="5"/>
  <c r="Q878" i="5"/>
  <c r="Q877" i="5"/>
  <c r="Q876" i="5"/>
  <c r="Q875" i="5"/>
  <c r="Q874" i="5"/>
  <c r="Q873" i="5"/>
  <c r="Q872" i="5"/>
  <c r="Q871" i="5"/>
  <c r="Q870" i="5"/>
  <c r="Q869" i="5"/>
  <c r="Q868" i="5"/>
  <c r="Q867" i="5"/>
  <c r="Q866" i="5"/>
  <c r="Q865" i="5"/>
  <c r="Q864" i="5"/>
  <c r="Q863" i="5"/>
  <c r="Q862" i="5"/>
  <c r="Q861" i="5"/>
  <c r="Q860" i="5"/>
  <c r="Q859" i="5"/>
  <c r="Q858" i="5"/>
  <c r="Q857" i="5"/>
  <c r="Q856" i="5"/>
  <c r="Q855" i="5"/>
  <c r="Q854" i="5"/>
  <c r="Q853" i="5"/>
  <c r="Q852" i="5"/>
  <c r="Q851" i="5"/>
  <c r="Q850" i="5"/>
  <c r="Q849" i="5"/>
  <c r="Q848" i="5"/>
  <c r="Q847" i="5"/>
  <c r="Q846" i="5"/>
  <c r="Q845" i="5"/>
  <c r="Q844" i="5"/>
  <c r="Q843" i="5"/>
  <c r="Q842" i="5"/>
  <c r="Q841" i="5"/>
  <c r="Q840" i="5"/>
  <c r="Q839" i="5"/>
  <c r="Q838" i="5"/>
  <c r="Q837" i="5"/>
  <c r="Q836" i="5"/>
  <c r="Q835" i="5"/>
  <c r="Q834" i="5"/>
  <c r="Q833" i="5"/>
  <c r="Q832" i="5"/>
  <c r="Q831" i="5"/>
  <c r="Q830" i="5"/>
  <c r="Q829" i="5"/>
  <c r="Q828" i="5"/>
  <c r="Q827" i="5"/>
  <c r="Q826" i="5"/>
  <c r="Q825" i="5"/>
  <c r="Q824" i="5"/>
  <c r="Q823" i="5"/>
  <c r="Q822" i="5"/>
  <c r="Q821" i="5"/>
  <c r="Q820" i="5"/>
  <c r="Q819" i="5"/>
  <c r="Q818" i="5"/>
  <c r="Q817" i="5"/>
  <c r="Q816" i="5"/>
  <c r="Q815" i="5"/>
  <c r="Q814" i="5"/>
  <c r="Q813" i="5"/>
  <c r="Q812" i="5"/>
  <c r="Q811" i="5"/>
  <c r="Q810" i="5"/>
  <c r="Q809" i="5"/>
  <c r="Q808" i="5"/>
  <c r="Q807" i="5"/>
  <c r="Q806" i="5"/>
  <c r="Q805" i="5"/>
  <c r="Q804" i="5"/>
  <c r="Q803" i="5"/>
  <c r="Q802" i="5"/>
  <c r="Q801" i="5"/>
  <c r="Q800" i="5"/>
  <c r="Q799" i="5"/>
  <c r="Q798" i="5"/>
  <c r="Q797" i="5"/>
  <c r="Q796" i="5"/>
  <c r="Q795" i="5"/>
  <c r="Q794" i="5"/>
  <c r="Q793" i="5"/>
  <c r="Q792" i="5"/>
  <c r="Q791" i="5"/>
  <c r="Q790" i="5"/>
  <c r="Q789" i="5"/>
  <c r="Q788" i="5"/>
  <c r="Q787" i="5"/>
  <c r="Q786" i="5"/>
  <c r="Q785" i="5"/>
  <c r="Q784" i="5"/>
  <c r="Q783" i="5"/>
  <c r="Q782" i="5"/>
  <c r="Q781" i="5"/>
  <c r="Q780" i="5"/>
  <c r="Q779" i="5"/>
  <c r="Q778" i="5"/>
  <c r="Q777" i="5"/>
  <c r="Q776" i="5"/>
  <c r="Q775" i="5"/>
  <c r="Q774" i="5"/>
  <c r="Q773" i="5"/>
  <c r="Q772" i="5"/>
  <c r="Q771" i="5"/>
  <c r="Q770" i="5"/>
  <c r="Q769" i="5"/>
  <c r="Q768" i="5"/>
  <c r="Q767" i="5"/>
  <c r="Q766" i="5"/>
  <c r="Q765" i="5"/>
  <c r="Q764" i="5"/>
  <c r="Q763" i="5"/>
  <c r="Q762" i="5"/>
  <c r="Q761" i="5"/>
  <c r="Q760" i="5"/>
  <c r="Q759" i="5"/>
  <c r="Q758" i="5"/>
  <c r="Q757" i="5"/>
  <c r="Q756" i="5"/>
  <c r="Q755" i="5"/>
  <c r="Q754" i="5"/>
  <c r="Q753" i="5"/>
  <c r="Q752" i="5"/>
  <c r="Q751" i="5"/>
  <c r="Q750" i="5"/>
  <c r="Q749" i="5"/>
  <c r="Q748" i="5"/>
  <c r="Q747" i="5"/>
  <c r="Q746" i="5"/>
  <c r="Q745" i="5"/>
  <c r="Q744" i="5"/>
  <c r="Q743" i="5"/>
  <c r="Q742" i="5"/>
  <c r="Q741" i="5"/>
  <c r="Q740" i="5"/>
  <c r="Q739" i="5"/>
  <c r="Q738" i="5"/>
  <c r="Q737" i="5"/>
  <c r="Q736" i="5"/>
  <c r="Q735" i="5"/>
  <c r="Q734" i="5"/>
  <c r="Q733" i="5"/>
  <c r="Q732" i="5"/>
  <c r="Q731" i="5"/>
  <c r="Q730" i="5"/>
  <c r="Q729" i="5"/>
  <c r="Q728" i="5"/>
  <c r="Q727" i="5"/>
  <c r="Q726" i="5"/>
  <c r="Q725" i="5"/>
  <c r="Q724" i="5"/>
  <c r="Q723" i="5"/>
  <c r="Q722" i="5"/>
  <c r="Q721" i="5"/>
  <c r="Q720" i="5"/>
  <c r="Q719" i="5"/>
  <c r="Q718" i="5"/>
  <c r="Q717" i="5"/>
  <c r="Q716" i="5"/>
  <c r="Q715" i="5"/>
  <c r="Q714" i="5"/>
  <c r="Q713" i="5"/>
  <c r="Q712" i="5"/>
  <c r="Q711" i="5"/>
  <c r="Q710" i="5"/>
  <c r="Q709" i="5"/>
  <c r="Q708" i="5"/>
  <c r="Q707" i="5"/>
  <c r="Q706" i="5"/>
  <c r="Q705" i="5"/>
  <c r="Q704" i="5"/>
  <c r="Q703" i="5"/>
  <c r="Q702" i="5"/>
  <c r="Q701" i="5"/>
  <c r="Q700" i="5"/>
  <c r="Q699" i="5"/>
  <c r="Q698" i="5"/>
  <c r="Q697" i="5"/>
  <c r="Q696" i="5"/>
  <c r="Q695" i="5"/>
  <c r="Q694" i="5"/>
  <c r="Q693" i="5"/>
  <c r="Q692" i="5"/>
  <c r="Q691" i="5"/>
  <c r="Q690" i="5"/>
  <c r="Q689" i="5"/>
  <c r="Q688" i="5"/>
  <c r="Q687" i="5"/>
  <c r="Q686" i="5"/>
  <c r="Q685" i="5"/>
  <c r="Q684" i="5"/>
  <c r="Q683" i="5"/>
  <c r="Q682" i="5"/>
  <c r="Q681" i="5"/>
  <c r="Q680" i="5"/>
  <c r="Q679" i="5"/>
  <c r="Q678" i="5"/>
  <c r="Q677" i="5"/>
  <c r="Q676" i="5"/>
  <c r="Q675" i="5"/>
  <c r="Q674" i="5"/>
  <c r="Q673" i="5"/>
  <c r="Q672" i="5"/>
  <c r="Q671" i="5"/>
  <c r="Q670" i="5"/>
  <c r="Q669" i="5"/>
  <c r="Q668" i="5"/>
  <c r="Q667" i="5"/>
  <c r="Q666" i="5"/>
  <c r="Q665" i="5"/>
  <c r="Q664" i="5"/>
  <c r="Q663" i="5"/>
  <c r="Q662" i="5"/>
  <c r="Q661" i="5"/>
  <c r="Q660" i="5"/>
  <c r="Q659" i="5"/>
  <c r="Q658" i="5"/>
  <c r="Q657" i="5"/>
  <c r="Q656" i="5"/>
  <c r="Q655" i="5"/>
  <c r="Q654" i="5"/>
  <c r="Q653" i="5"/>
  <c r="Q652" i="5"/>
  <c r="Q651" i="5"/>
  <c r="Q650" i="5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Q636" i="5"/>
  <c r="Q635" i="5"/>
  <c r="Q634" i="5"/>
  <c r="Q633" i="5"/>
  <c r="Q632" i="5"/>
  <c r="Q631" i="5"/>
  <c r="Q630" i="5"/>
  <c r="Q629" i="5"/>
  <c r="Q628" i="5"/>
  <c r="Q627" i="5"/>
  <c r="Q626" i="5"/>
  <c r="Q625" i="5"/>
  <c r="Q624" i="5"/>
  <c r="Q623" i="5"/>
  <c r="Q622" i="5"/>
  <c r="Q621" i="5"/>
  <c r="Q620" i="5"/>
  <c r="Q619" i="5"/>
  <c r="Q618" i="5"/>
  <c r="Q617" i="5"/>
  <c r="Q616" i="5"/>
  <c r="Q615" i="5"/>
  <c r="Q614" i="5"/>
  <c r="Q613" i="5"/>
  <c r="Q612" i="5"/>
  <c r="Q611" i="5"/>
  <c r="Q610" i="5"/>
  <c r="Q609" i="5"/>
  <c r="Q608" i="5"/>
  <c r="Q607" i="5"/>
  <c r="Q606" i="5"/>
  <c r="Q605" i="5"/>
  <c r="Q604" i="5"/>
  <c r="Q603" i="5"/>
  <c r="Q602" i="5"/>
  <c r="Q601" i="5"/>
  <c r="Q600" i="5"/>
  <c r="Q599" i="5"/>
  <c r="Q598" i="5"/>
  <c r="Q597" i="5"/>
  <c r="Q596" i="5"/>
  <c r="Q595" i="5"/>
  <c r="Q594" i="5"/>
  <c r="Q593" i="5"/>
  <c r="Q592" i="5"/>
  <c r="Q591" i="5"/>
  <c r="Q590" i="5"/>
  <c r="Q589" i="5"/>
  <c r="Q588" i="5"/>
  <c r="Q587" i="5"/>
  <c r="Q586" i="5"/>
  <c r="Q585" i="5"/>
  <c r="Q584" i="5"/>
  <c r="Q583" i="5"/>
  <c r="Q582" i="5"/>
  <c r="Q581" i="5"/>
  <c r="Q580" i="5"/>
  <c r="Q579" i="5"/>
  <c r="Q578" i="5"/>
  <c r="Q577" i="5"/>
  <c r="Q576" i="5"/>
  <c r="Q575" i="5"/>
  <c r="Q574" i="5"/>
  <c r="Q573" i="5"/>
  <c r="Q572" i="5"/>
  <c r="Q571" i="5"/>
  <c r="Q570" i="5"/>
  <c r="Q569" i="5"/>
  <c r="Q568" i="5"/>
  <c r="Q567" i="5"/>
  <c r="Q566" i="5"/>
  <c r="Q565" i="5"/>
  <c r="Q564" i="5"/>
  <c r="Q563" i="5"/>
  <c r="Q562" i="5"/>
  <c r="Q561" i="5"/>
  <c r="Q560" i="5"/>
  <c r="Q559" i="5"/>
  <c r="Q558" i="5"/>
  <c r="Q557" i="5"/>
  <c r="Q556" i="5"/>
  <c r="Q555" i="5"/>
  <c r="Q554" i="5"/>
  <c r="Q553" i="5"/>
  <c r="Q552" i="5"/>
  <c r="Q551" i="5"/>
  <c r="Q550" i="5"/>
  <c r="Q549" i="5"/>
  <c r="Q548" i="5"/>
  <c r="Q547" i="5"/>
  <c r="Q546" i="5"/>
  <c r="Q545" i="5"/>
  <c r="Q544" i="5"/>
  <c r="Q543" i="5"/>
  <c r="Q542" i="5"/>
  <c r="Q541" i="5"/>
  <c r="Q540" i="5"/>
  <c r="Q539" i="5"/>
  <c r="Q538" i="5"/>
  <c r="Q537" i="5"/>
  <c r="Q536" i="5"/>
  <c r="Q535" i="5"/>
  <c r="Q534" i="5"/>
  <c r="Q533" i="5"/>
  <c r="Q532" i="5"/>
  <c r="Q531" i="5"/>
  <c r="Q530" i="5"/>
  <c r="Q529" i="5"/>
  <c r="Q528" i="5"/>
  <c r="Q527" i="5"/>
  <c r="Q526" i="5"/>
  <c r="Q525" i="5"/>
  <c r="Q524" i="5"/>
  <c r="Q523" i="5"/>
  <c r="Q522" i="5"/>
  <c r="Q521" i="5"/>
  <c r="Q520" i="5"/>
  <c r="Q519" i="5"/>
  <c r="Q518" i="5"/>
  <c r="Q517" i="5"/>
  <c r="Q516" i="5"/>
  <c r="Q515" i="5"/>
  <c r="Q514" i="5"/>
  <c r="Q513" i="5"/>
  <c r="Q512" i="5"/>
  <c r="Q511" i="5"/>
  <c r="Q510" i="5"/>
  <c r="Q509" i="5"/>
  <c r="Q508" i="5"/>
  <c r="Q507" i="5"/>
  <c r="Q506" i="5"/>
  <c r="Q505" i="5"/>
  <c r="Q504" i="5"/>
  <c r="Q503" i="5"/>
  <c r="Q502" i="5"/>
  <c r="Q501" i="5"/>
  <c r="Q500" i="5"/>
  <c r="Q499" i="5"/>
  <c r="Q498" i="5"/>
  <c r="Q497" i="5"/>
  <c r="Q496" i="5"/>
  <c r="Q495" i="5"/>
  <c r="Q494" i="5"/>
  <c r="Q493" i="5"/>
  <c r="Q492" i="5"/>
  <c r="Q491" i="5"/>
  <c r="Q490" i="5"/>
  <c r="Q489" i="5"/>
  <c r="Q488" i="5"/>
  <c r="Q487" i="5"/>
  <c r="Q486" i="5"/>
  <c r="Q485" i="5"/>
  <c r="Q484" i="5"/>
  <c r="Q483" i="5"/>
  <c r="Q482" i="5"/>
  <c r="Q481" i="5"/>
  <c r="Q480" i="5"/>
  <c r="Q479" i="5"/>
  <c r="Q478" i="5"/>
  <c r="Q477" i="5"/>
  <c r="Q476" i="5"/>
  <c r="Q475" i="5"/>
  <c r="Q474" i="5"/>
  <c r="Q473" i="5"/>
  <c r="Q472" i="5"/>
  <c r="Q471" i="5"/>
  <c r="Q470" i="5"/>
  <c r="Q469" i="5"/>
  <c r="Q468" i="5"/>
  <c r="Q467" i="5"/>
  <c r="Q466" i="5"/>
  <c r="Q465" i="5"/>
  <c r="Q464" i="5"/>
  <c r="Q463" i="5"/>
  <c r="Q462" i="5"/>
  <c r="Q461" i="5"/>
  <c r="Q460" i="5"/>
  <c r="Q459" i="5"/>
  <c r="Q458" i="5"/>
  <c r="Q457" i="5"/>
  <c r="Q456" i="5"/>
  <c r="Q455" i="5"/>
  <c r="Q454" i="5"/>
  <c r="Q453" i="5"/>
  <c r="Q452" i="5"/>
  <c r="Q451" i="5"/>
  <c r="Q450" i="5"/>
  <c r="Q449" i="5"/>
  <c r="Q448" i="5"/>
  <c r="Q447" i="5"/>
  <c r="Q446" i="5"/>
  <c r="Q445" i="5"/>
  <c r="Q444" i="5"/>
  <c r="Q443" i="5"/>
  <c r="Q442" i="5"/>
  <c r="Q441" i="5"/>
  <c r="Q440" i="5"/>
  <c r="Q439" i="5"/>
  <c r="Q438" i="5"/>
  <c r="Q437" i="5"/>
  <c r="Q436" i="5"/>
  <c r="Q435" i="5"/>
  <c r="Q434" i="5"/>
  <c r="Q433" i="5"/>
  <c r="Q432" i="5"/>
  <c r="Q431" i="5"/>
  <c r="Q430" i="5"/>
  <c r="Q429" i="5"/>
  <c r="Q428" i="5"/>
  <c r="Q427" i="5"/>
  <c r="Q426" i="5"/>
  <c r="Q425" i="5"/>
  <c r="Q424" i="5"/>
  <c r="Q423" i="5"/>
  <c r="Q422" i="5"/>
  <c r="Q421" i="5"/>
  <c r="Q420" i="5"/>
  <c r="Q419" i="5"/>
  <c r="Q418" i="5"/>
  <c r="Q417" i="5"/>
  <c r="Q416" i="5"/>
  <c r="Q415" i="5"/>
  <c r="Q414" i="5"/>
  <c r="Q413" i="5"/>
  <c r="Q412" i="5"/>
  <c r="Q411" i="5"/>
  <c r="Q410" i="5"/>
  <c r="Q409" i="5"/>
  <c r="Q408" i="5"/>
  <c r="Q407" i="5"/>
  <c r="Q406" i="5"/>
  <c r="Q405" i="5"/>
  <c r="Q404" i="5"/>
  <c r="Q403" i="5"/>
  <c r="Q402" i="5"/>
  <c r="Q401" i="5"/>
  <c r="Q400" i="5"/>
  <c r="Q399" i="5"/>
  <c r="Q398" i="5"/>
  <c r="Q397" i="5"/>
  <c r="Q396" i="5"/>
  <c r="Q395" i="5"/>
  <c r="Q394" i="5"/>
  <c r="Q393" i="5"/>
  <c r="Q392" i="5"/>
  <c r="Q391" i="5"/>
  <c r="Q390" i="5"/>
  <c r="Q389" i="5"/>
  <c r="Q388" i="5"/>
  <c r="Q387" i="5"/>
  <c r="Q386" i="5"/>
  <c r="Q385" i="5"/>
  <c r="Q384" i="5"/>
  <c r="Q383" i="5"/>
  <c r="Q382" i="5"/>
  <c r="Q381" i="5"/>
  <c r="Q380" i="5"/>
  <c r="Q379" i="5"/>
  <c r="Q378" i="5"/>
  <c r="Q377" i="5"/>
  <c r="Q376" i="5"/>
  <c r="Q375" i="5"/>
  <c r="Q374" i="5"/>
  <c r="Q373" i="5"/>
  <c r="Q372" i="5"/>
  <c r="Q371" i="5"/>
  <c r="Q370" i="5"/>
  <c r="Q369" i="5"/>
  <c r="Q368" i="5"/>
  <c r="Q367" i="5"/>
  <c r="Q366" i="5"/>
  <c r="Q365" i="5"/>
  <c r="Q364" i="5"/>
  <c r="Q363" i="5"/>
  <c r="Q362" i="5"/>
  <c r="Q361" i="5"/>
  <c r="Q360" i="5"/>
  <c r="Q359" i="5"/>
  <c r="Q358" i="5"/>
  <c r="Q357" i="5"/>
  <c r="Q356" i="5"/>
  <c r="Q355" i="5"/>
  <c r="Q354" i="5"/>
  <c r="Q353" i="5"/>
  <c r="Q352" i="5"/>
  <c r="Q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Q300" i="5"/>
  <c r="Q299" i="5"/>
  <c r="Q298" i="5"/>
  <c r="Q297" i="5"/>
  <c r="Q296" i="5"/>
  <c r="Q295" i="5"/>
  <c r="Q294" i="5"/>
  <c r="Q293" i="5"/>
  <c r="Q292" i="5"/>
  <c r="Q291" i="5"/>
  <c r="Q290" i="5"/>
  <c r="Q289" i="5"/>
  <c r="Q288" i="5"/>
  <c r="Q287" i="5"/>
  <c r="Q286" i="5"/>
  <c r="Q285" i="5"/>
  <c r="Q284" i="5"/>
  <c r="Q283" i="5"/>
  <c r="Q282" i="5"/>
  <c r="Q281" i="5"/>
  <c r="Q280" i="5"/>
  <c r="Q279" i="5"/>
  <c r="Q278" i="5"/>
  <c r="Q277" i="5"/>
  <c r="Q276" i="5"/>
  <c r="Q275" i="5"/>
  <c r="Q274" i="5"/>
  <c r="Q273" i="5"/>
  <c r="Q272" i="5"/>
  <c r="Q271" i="5"/>
  <c r="Q270" i="5"/>
  <c r="Q269" i="5"/>
  <c r="Q268" i="5"/>
  <c r="Q267" i="5"/>
  <c r="Q266" i="5"/>
  <c r="Q265" i="5"/>
  <c r="Q264" i="5"/>
  <c r="Q263" i="5"/>
  <c r="Q262" i="5"/>
  <c r="Q261" i="5"/>
  <c r="Q260" i="5"/>
  <c r="Q259" i="5"/>
  <c r="Q258" i="5"/>
  <c r="Q257" i="5"/>
  <c r="Q256" i="5"/>
  <c r="Q255" i="5"/>
  <c r="Q254" i="5"/>
  <c r="Q253" i="5"/>
  <c r="Q252" i="5"/>
  <c r="Q251" i="5"/>
  <c r="Q250" i="5"/>
  <c r="Q249" i="5"/>
  <c r="Q248" i="5"/>
  <c r="Q247" i="5"/>
  <c r="Q246" i="5"/>
  <c r="Q245" i="5"/>
  <c r="Q244" i="5"/>
  <c r="Q243" i="5"/>
  <c r="Q242" i="5"/>
  <c r="Q241" i="5"/>
  <c r="Q240" i="5"/>
  <c r="Q239" i="5"/>
  <c r="Q238" i="5"/>
  <c r="Q237" i="5"/>
  <c r="Q236" i="5"/>
  <c r="Q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Q215" i="5"/>
  <c r="Q214" i="5"/>
  <c r="Q213" i="5"/>
  <c r="Q212" i="5"/>
  <c r="Q211" i="5"/>
  <c r="Q210" i="5"/>
  <c r="Q209" i="5"/>
  <c r="Q208" i="5"/>
  <c r="Q207" i="5"/>
  <c r="Q206" i="5"/>
  <c r="Q205" i="5"/>
  <c r="Q204" i="5"/>
  <c r="Q203" i="5"/>
  <c r="Q202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7" i="5"/>
  <c r="Q186" i="5"/>
  <c r="Q185" i="5"/>
  <c r="Q184" i="5"/>
  <c r="Q183" i="5"/>
  <c r="Q182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8" i="5"/>
  <c r="Q167" i="5"/>
  <c r="Q166" i="5"/>
  <c r="Q165" i="5"/>
  <c r="Q164" i="5"/>
  <c r="Q163" i="5"/>
  <c r="Q162" i="5"/>
  <c r="Q161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D61" i="5"/>
  <c r="Q60" i="5"/>
  <c r="Q59" i="5"/>
  <c r="Q58" i="5"/>
  <c r="Q57" i="5"/>
  <c r="Q56" i="5"/>
  <c r="Q55" i="5"/>
  <c r="Q54" i="5"/>
  <c r="Q53" i="5"/>
  <c r="Q52" i="5"/>
  <c r="V51" i="5"/>
  <c r="U51" i="5"/>
  <c r="T51" i="5"/>
  <c r="S51" i="5"/>
  <c r="R51" i="5"/>
  <c r="Q51" i="5"/>
  <c r="O51" i="5"/>
  <c r="P51" i="5" s="1"/>
  <c r="N51" i="5"/>
  <c r="V50" i="5"/>
  <c r="U50" i="5"/>
  <c r="T50" i="5"/>
  <c r="S50" i="5"/>
  <c r="R50" i="5"/>
  <c r="Q50" i="5"/>
  <c r="O50" i="5"/>
  <c r="P50" i="5" s="1"/>
  <c r="N50" i="5"/>
  <c r="V49" i="5"/>
  <c r="U49" i="5"/>
  <c r="T49" i="5"/>
  <c r="S49" i="5"/>
  <c r="R49" i="5"/>
  <c r="Q49" i="5"/>
  <c r="O49" i="5"/>
  <c r="P49" i="5" s="1"/>
  <c r="N49" i="5"/>
  <c r="V48" i="5"/>
  <c r="U48" i="5"/>
  <c r="T48" i="5"/>
  <c r="S48" i="5"/>
  <c r="R48" i="5"/>
  <c r="Q48" i="5"/>
  <c r="O48" i="5"/>
  <c r="P48" i="5" s="1"/>
  <c r="N48" i="5"/>
  <c r="V47" i="5"/>
  <c r="U47" i="5"/>
  <c r="T47" i="5"/>
  <c r="S47" i="5"/>
  <c r="Q47" i="5" s="1"/>
  <c r="R47" i="5"/>
  <c r="N47" i="5"/>
  <c r="O47" i="5" s="1"/>
  <c r="P47" i="5" s="1"/>
  <c r="V46" i="5"/>
  <c r="U46" i="5"/>
  <c r="T46" i="5"/>
  <c r="S46" i="5"/>
  <c r="Q46" i="5" s="1"/>
  <c r="R46" i="5"/>
  <c r="N46" i="5"/>
  <c r="O46" i="5" s="1"/>
  <c r="P46" i="5" s="1"/>
  <c r="V45" i="5"/>
  <c r="U45" i="5"/>
  <c r="T45" i="5"/>
  <c r="S45" i="5"/>
  <c r="R45" i="5"/>
  <c r="Q45" i="5" s="1"/>
  <c r="N45" i="5"/>
  <c r="O45" i="5" s="1"/>
  <c r="P45" i="5" s="1"/>
  <c r="V44" i="5"/>
  <c r="U44" i="5"/>
  <c r="T44" i="5"/>
  <c r="S44" i="5"/>
  <c r="R44" i="5"/>
  <c r="Q44" i="5" s="1"/>
  <c r="O44" i="5"/>
  <c r="P44" i="5" s="1"/>
  <c r="V43" i="5"/>
  <c r="U43" i="5"/>
  <c r="T43" i="5"/>
  <c r="S43" i="5"/>
  <c r="R43" i="5"/>
  <c r="Q43" i="5" s="1"/>
  <c r="O43" i="5"/>
  <c r="P43" i="5" s="1"/>
  <c r="V42" i="5"/>
  <c r="U42" i="5"/>
  <c r="T42" i="5"/>
  <c r="S42" i="5"/>
  <c r="Q42" i="5" s="1"/>
  <c r="R42" i="5"/>
  <c r="N42" i="5"/>
  <c r="O42" i="5" s="1"/>
  <c r="P42" i="5" s="1"/>
  <c r="V41" i="5"/>
  <c r="U41" i="5"/>
  <c r="T41" i="5"/>
  <c r="S41" i="5"/>
  <c r="R41" i="5"/>
  <c r="Q41" i="5" s="1"/>
  <c r="N41" i="5"/>
  <c r="O41" i="5" s="1"/>
  <c r="P41" i="5" s="1"/>
  <c r="V40" i="5"/>
  <c r="U40" i="5"/>
  <c r="T40" i="5"/>
  <c r="S40" i="5"/>
  <c r="R40" i="5"/>
  <c r="Q40" i="5"/>
  <c r="N40" i="5"/>
  <c r="O40" i="5" s="1"/>
  <c r="P40" i="5" s="1"/>
  <c r="V39" i="5"/>
  <c r="U39" i="5"/>
  <c r="T39" i="5"/>
  <c r="S39" i="5"/>
  <c r="R39" i="5"/>
  <c r="Q39" i="5" s="1"/>
  <c r="N39" i="5"/>
  <c r="O39" i="5" s="1"/>
  <c r="P39" i="5" s="1"/>
  <c r="V38" i="5"/>
  <c r="U38" i="5"/>
  <c r="T38" i="5"/>
  <c r="S38" i="5"/>
  <c r="R38" i="5"/>
  <c r="Q38" i="5" s="1"/>
  <c r="N38" i="5"/>
  <c r="O38" i="5" s="1"/>
  <c r="P38" i="5" s="1"/>
  <c r="V37" i="5"/>
  <c r="U37" i="5"/>
  <c r="T37" i="5"/>
  <c r="S37" i="5"/>
  <c r="R37" i="5"/>
  <c r="Q37" i="5" s="1"/>
  <c r="N37" i="5"/>
  <c r="O37" i="5" s="1"/>
  <c r="P37" i="5" s="1"/>
  <c r="V36" i="5"/>
  <c r="U36" i="5"/>
  <c r="T36" i="5"/>
  <c r="S36" i="5"/>
  <c r="R36" i="5"/>
  <c r="Q36" i="5" s="1"/>
  <c r="N36" i="5"/>
  <c r="O36" i="5" s="1"/>
  <c r="P36" i="5" s="1"/>
  <c r="V35" i="5"/>
  <c r="U35" i="5"/>
  <c r="T35" i="5"/>
  <c r="S35" i="5"/>
  <c r="R35" i="5"/>
  <c r="Q35" i="5" s="1"/>
  <c r="N35" i="5"/>
  <c r="O35" i="5" s="1"/>
  <c r="P35" i="5" s="1"/>
  <c r="V34" i="5"/>
  <c r="U34" i="5"/>
  <c r="T34" i="5"/>
  <c r="S34" i="5"/>
  <c r="R34" i="5"/>
  <c r="Q34" i="5" s="1"/>
  <c r="N34" i="5"/>
  <c r="O34" i="5" s="1"/>
  <c r="P34" i="5" s="1"/>
  <c r="V33" i="5"/>
  <c r="U33" i="5"/>
  <c r="T33" i="5"/>
  <c r="S33" i="5"/>
  <c r="R33" i="5"/>
  <c r="Q33" i="5"/>
  <c r="O33" i="5"/>
  <c r="P33" i="5" s="1"/>
  <c r="N33" i="5"/>
  <c r="V32" i="5"/>
  <c r="U32" i="5"/>
  <c r="T32" i="5"/>
  <c r="S32" i="5"/>
  <c r="R32" i="5"/>
  <c r="Q32" i="5" s="1"/>
  <c r="O32" i="5"/>
  <c r="P32" i="5" s="1"/>
  <c r="N32" i="5"/>
  <c r="V31" i="5"/>
  <c r="U31" i="5"/>
  <c r="T31" i="5"/>
  <c r="S31" i="5"/>
  <c r="R31" i="5"/>
  <c r="Q31" i="5"/>
  <c r="O31" i="5"/>
  <c r="P31" i="5" s="1"/>
  <c r="N31" i="5"/>
  <c r="V30" i="5"/>
  <c r="U30" i="5"/>
  <c r="T30" i="5"/>
  <c r="S30" i="5"/>
  <c r="R30" i="5"/>
  <c r="Q30" i="5"/>
  <c r="O30" i="5"/>
  <c r="P30" i="5" s="1"/>
  <c r="N30" i="5"/>
  <c r="V29" i="5"/>
  <c r="U29" i="5"/>
  <c r="T29" i="5"/>
  <c r="S29" i="5"/>
  <c r="Q29" i="5" s="1"/>
  <c r="R29" i="5"/>
  <c r="O29" i="5"/>
  <c r="P29" i="5" s="1"/>
  <c r="N29" i="5"/>
  <c r="V28" i="5"/>
  <c r="U28" i="5"/>
  <c r="T28" i="5"/>
  <c r="S28" i="5"/>
  <c r="Q28" i="5" s="1"/>
  <c r="R28" i="5"/>
  <c r="N28" i="5"/>
  <c r="O28" i="5" s="1"/>
  <c r="P28" i="5" s="1"/>
  <c r="V27" i="5"/>
  <c r="U27" i="5"/>
  <c r="T27" i="5"/>
  <c r="S27" i="5"/>
  <c r="Q27" i="5" s="1"/>
  <c r="R27" i="5"/>
  <c r="O27" i="5"/>
  <c r="P27" i="5" s="1"/>
  <c r="N27" i="5"/>
  <c r="V26" i="5"/>
  <c r="U26" i="5"/>
  <c r="T26" i="5"/>
  <c r="S26" i="5"/>
  <c r="Q26" i="5" s="1"/>
  <c r="R26" i="5"/>
  <c r="N26" i="5"/>
  <c r="O26" i="5" s="1"/>
  <c r="P26" i="5" s="1"/>
  <c r="V25" i="5"/>
  <c r="U25" i="5"/>
  <c r="T25" i="5"/>
  <c r="S25" i="5"/>
  <c r="Q25" i="5" s="1"/>
  <c r="R25" i="5"/>
  <c r="N25" i="5"/>
  <c r="O25" i="5" s="1"/>
  <c r="P25" i="5" s="1"/>
  <c r="V24" i="5"/>
  <c r="U24" i="5"/>
  <c r="T24" i="5"/>
  <c r="S24" i="5"/>
  <c r="R24" i="5"/>
  <c r="Q24" i="5"/>
  <c r="N24" i="5"/>
  <c r="O24" i="5" s="1"/>
  <c r="P24" i="5" s="1"/>
  <c r="V23" i="5"/>
  <c r="U23" i="5"/>
  <c r="T23" i="5"/>
  <c r="S23" i="5"/>
  <c r="Q23" i="5" s="1"/>
  <c r="R23" i="5"/>
  <c r="N23" i="5"/>
  <c r="O23" i="5" s="1"/>
  <c r="P23" i="5" s="1"/>
  <c r="V22" i="5"/>
  <c r="U22" i="5"/>
  <c r="T22" i="5"/>
  <c r="S22" i="5"/>
  <c r="R22" i="5"/>
  <c r="Q22" i="5" s="1"/>
  <c r="N22" i="5"/>
  <c r="O22" i="5" s="1"/>
  <c r="P22" i="5" s="1"/>
  <c r="V21" i="5"/>
  <c r="U21" i="5"/>
  <c r="T21" i="5"/>
  <c r="S21" i="5"/>
  <c r="R21" i="5"/>
  <c r="Q21" i="5" s="1"/>
  <c r="N21" i="5"/>
  <c r="O21" i="5" s="1"/>
  <c r="P21" i="5" s="1"/>
  <c r="V20" i="5"/>
  <c r="U20" i="5"/>
  <c r="T20" i="5"/>
  <c r="S20" i="5"/>
  <c r="R20" i="5"/>
  <c r="Q20" i="5" s="1"/>
  <c r="N20" i="5"/>
  <c r="O20" i="5" s="1"/>
  <c r="P20" i="5" s="1"/>
  <c r="V19" i="5"/>
  <c r="U19" i="5"/>
  <c r="T19" i="5"/>
  <c r="S19" i="5"/>
  <c r="R19" i="5"/>
  <c r="Q19" i="5" s="1"/>
  <c r="N19" i="5"/>
  <c r="O19" i="5" s="1"/>
  <c r="P19" i="5" s="1"/>
  <c r="V18" i="5"/>
  <c r="U18" i="5"/>
  <c r="T18" i="5"/>
  <c r="S18" i="5"/>
  <c r="R18" i="5"/>
  <c r="Q18" i="5" s="1"/>
  <c r="N18" i="5"/>
  <c r="O18" i="5" s="1"/>
  <c r="P18" i="5" s="1"/>
  <c r="V17" i="5"/>
  <c r="U17" i="5"/>
  <c r="T17" i="5"/>
  <c r="S17" i="5"/>
  <c r="R17" i="5"/>
  <c r="Q17" i="5"/>
  <c r="O17" i="5"/>
  <c r="P17" i="5" s="1"/>
  <c r="N17" i="5"/>
  <c r="V16" i="5"/>
  <c r="U16" i="5"/>
  <c r="T16" i="5"/>
  <c r="S16" i="5"/>
  <c r="R16" i="5"/>
  <c r="Q16" i="5" s="1"/>
  <c r="O16" i="5"/>
  <c r="P16" i="5" s="1"/>
  <c r="N16" i="5"/>
  <c r="V15" i="5"/>
  <c r="U15" i="5"/>
  <c r="T15" i="5"/>
  <c r="S15" i="5"/>
  <c r="R15" i="5"/>
  <c r="Q15" i="5"/>
  <c r="O15" i="5"/>
  <c r="P15" i="5" s="1"/>
  <c r="N15" i="5"/>
  <c r="V14" i="5"/>
  <c r="U14" i="5"/>
  <c r="T14" i="5"/>
  <c r="S14" i="5"/>
  <c r="R14" i="5"/>
  <c r="Q14" i="5"/>
  <c r="O14" i="5"/>
  <c r="P14" i="5" s="1"/>
  <c r="N14" i="5"/>
  <c r="V13" i="5"/>
  <c r="U13" i="5"/>
  <c r="T13" i="5"/>
  <c r="S13" i="5"/>
  <c r="R13" i="5"/>
  <c r="Q13" i="5" s="1"/>
  <c r="O13" i="5"/>
  <c r="P13" i="5" s="1"/>
  <c r="N13" i="5"/>
  <c r="V12" i="5"/>
  <c r="U12" i="5"/>
  <c r="T12" i="5"/>
  <c r="S12" i="5"/>
  <c r="Q12" i="5" s="1"/>
  <c r="R12" i="5"/>
  <c r="N12" i="5"/>
  <c r="O12" i="5" s="1"/>
  <c r="P12" i="5" s="1"/>
  <c r="V11" i="5"/>
  <c r="U11" i="5"/>
  <c r="Q11" i="5" s="1"/>
  <c r="T11" i="5"/>
  <c r="S11" i="5"/>
  <c r="R11" i="5"/>
  <c r="O11" i="5"/>
  <c r="P11" i="5" s="1"/>
  <c r="N11" i="5"/>
  <c r="V10" i="5"/>
  <c r="U10" i="5"/>
  <c r="T10" i="5"/>
  <c r="S10" i="5"/>
  <c r="Q10" i="5" s="1"/>
  <c r="R10" i="5"/>
  <c r="N10" i="5"/>
  <c r="O10" i="5" s="1"/>
  <c r="P10" i="5" s="1"/>
  <c r="V9" i="5"/>
  <c r="U9" i="5"/>
  <c r="T9" i="5"/>
  <c r="S9" i="5"/>
  <c r="Q9" i="5" s="1"/>
  <c r="R9" i="5"/>
  <c r="N9" i="5"/>
  <c r="O9" i="5" s="1"/>
  <c r="P9" i="5" s="1"/>
  <c r="V8" i="5"/>
  <c r="U8" i="5"/>
  <c r="T8" i="5"/>
  <c r="S8" i="5"/>
  <c r="R8" i="5"/>
  <c r="Q8" i="5"/>
  <c r="N8" i="5"/>
  <c r="O8" i="5" s="1"/>
  <c r="P8" i="5" s="1"/>
  <c r="V7" i="5"/>
  <c r="U7" i="5"/>
  <c r="T7" i="5"/>
  <c r="S7" i="5"/>
  <c r="Q7" i="5" s="1"/>
  <c r="R7" i="5"/>
  <c r="N7" i="5"/>
  <c r="O7" i="5" s="1"/>
  <c r="P7" i="5" s="1"/>
  <c r="V6" i="5"/>
  <c r="U6" i="5"/>
  <c r="T6" i="5"/>
  <c r="S6" i="5"/>
  <c r="R6" i="5"/>
  <c r="Q6" i="5" s="1"/>
  <c r="N6" i="5"/>
  <c r="O6" i="5" s="1"/>
  <c r="P6" i="5" s="1"/>
  <c r="V5" i="5"/>
  <c r="U5" i="5"/>
  <c r="T5" i="5"/>
  <c r="S5" i="5"/>
  <c r="R5" i="5"/>
  <c r="Q5" i="5" s="1"/>
  <c r="P5" i="5"/>
  <c r="O5" i="5"/>
  <c r="V4" i="5"/>
  <c r="U4" i="5"/>
  <c r="T4" i="5"/>
  <c r="S4" i="5"/>
  <c r="R4" i="5"/>
  <c r="Q4" i="5" s="1"/>
  <c r="O4" i="5"/>
  <c r="P4" i="5" s="1"/>
  <c r="N4" i="5"/>
  <c r="V3" i="5"/>
  <c r="U3" i="5"/>
  <c r="T3" i="5"/>
  <c r="S3" i="5"/>
  <c r="Q3" i="5" s="1"/>
  <c r="R3" i="5"/>
  <c r="N3" i="5"/>
  <c r="O3" i="5" s="1"/>
  <c r="P3" i="5" s="1"/>
  <c r="V2" i="5"/>
  <c r="U2" i="5"/>
  <c r="Q2" i="5" s="1"/>
  <c r="T2" i="5"/>
  <c r="S2" i="5"/>
  <c r="R2" i="5"/>
  <c r="O2" i="5"/>
  <c r="P2" i="5" s="1"/>
  <c r="N2" i="5"/>
  <c r="Q1001" i="4"/>
  <c r="Q1000" i="4"/>
  <c r="Q999" i="4"/>
  <c r="Q998" i="4"/>
  <c r="Q997" i="4"/>
  <c r="Q996" i="4"/>
  <c r="Q995" i="4"/>
  <c r="Q994" i="4"/>
  <c r="Q993" i="4"/>
  <c r="Q992" i="4"/>
  <c r="Q991" i="4"/>
  <c r="Q990" i="4"/>
  <c r="Q989" i="4"/>
  <c r="Q988" i="4"/>
  <c r="Q987" i="4"/>
  <c r="Q986" i="4"/>
  <c r="Q985" i="4"/>
  <c r="Q984" i="4"/>
  <c r="Q983" i="4"/>
  <c r="Q982" i="4"/>
  <c r="Q981" i="4"/>
  <c r="Q980" i="4"/>
  <c r="Q979" i="4"/>
  <c r="Q978" i="4"/>
  <c r="Q977" i="4"/>
  <c r="Q976" i="4"/>
  <c r="Q975" i="4"/>
  <c r="Q974" i="4"/>
  <c r="Q973" i="4"/>
  <c r="Q972" i="4"/>
  <c r="Q971" i="4"/>
  <c r="Q970" i="4"/>
  <c r="Q969" i="4"/>
  <c r="Q968" i="4"/>
  <c r="Q967" i="4"/>
  <c r="Q966" i="4"/>
  <c r="Q965" i="4"/>
  <c r="Q964" i="4"/>
  <c r="Q963" i="4"/>
  <c r="Q962" i="4"/>
  <c r="Q961" i="4"/>
  <c r="Q960" i="4"/>
  <c r="Q959" i="4"/>
  <c r="Q958" i="4"/>
  <c r="Q957" i="4"/>
  <c r="Q956" i="4"/>
  <c r="Q955" i="4"/>
  <c r="Q954" i="4"/>
  <c r="Q953" i="4"/>
  <c r="Q952" i="4"/>
  <c r="Q951" i="4"/>
  <c r="Q950" i="4"/>
  <c r="Q949" i="4"/>
  <c r="Q948" i="4"/>
  <c r="Q947" i="4"/>
  <c r="Q946" i="4"/>
  <c r="Q945" i="4"/>
  <c r="Q944" i="4"/>
  <c r="Q943" i="4"/>
  <c r="Q942" i="4"/>
  <c r="Q941" i="4"/>
  <c r="Q940" i="4"/>
  <c r="Q939" i="4"/>
  <c r="Q938" i="4"/>
  <c r="Q937" i="4"/>
  <c r="Q936" i="4"/>
  <c r="Q935" i="4"/>
  <c r="Q934" i="4"/>
  <c r="Q933" i="4"/>
  <c r="Q932" i="4"/>
  <c r="Q931" i="4"/>
  <c r="Q930" i="4"/>
  <c r="Q929" i="4"/>
  <c r="Q928" i="4"/>
  <c r="Q927" i="4"/>
  <c r="Q926" i="4"/>
  <c r="Q925" i="4"/>
  <c r="Q924" i="4"/>
  <c r="Q923" i="4"/>
  <c r="Q922" i="4"/>
  <c r="Q921" i="4"/>
  <c r="Q920" i="4"/>
  <c r="Q919" i="4"/>
  <c r="Q918" i="4"/>
  <c r="Q917" i="4"/>
  <c r="Q916" i="4"/>
  <c r="Q915" i="4"/>
  <c r="Q914" i="4"/>
  <c r="Q913" i="4"/>
  <c r="Q912" i="4"/>
  <c r="Q911" i="4"/>
  <c r="Q910" i="4"/>
  <c r="Q909" i="4"/>
  <c r="Q908" i="4"/>
  <c r="Q907" i="4"/>
  <c r="Q906" i="4"/>
  <c r="Q905" i="4"/>
  <c r="Q904" i="4"/>
  <c r="Q903" i="4"/>
  <c r="Q902" i="4"/>
  <c r="Q901" i="4"/>
  <c r="Q900" i="4"/>
  <c r="Q899" i="4"/>
  <c r="Q898" i="4"/>
  <c r="Q897" i="4"/>
  <c r="Q896" i="4"/>
  <c r="Q895" i="4"/>
  <c r="Q894" i="4"/>
  <c r="Q893" i="4"/>
  <c r="Q892" i="4"/>
  <c r="Q891" i="4"/>
  <c r="Q890" i="4"/>
  <c r="Q889" i="4"/>
  <c r="Q888" i="4"/>
  <c r="Q887" i="4"/>
  <c r="Q886" i="4"/>
  <c r="Q885" i="4"/>
  <c r="Q884" i="4"/>
  <c r="Q883" i="4"/>
  <c r="Q882" i="4"/>
  <c r="Q881" i="4"/>
  <c r="Q880" i="4"/>
  <c r="Q879" i="4"/>
  <c r="Q878" i="4"/>
  <c r="Q877" i="4"/>
  <c r="Q876" i="4"/>
  <c r="Q875" i="4"/>
  <c r="Q874" i="4"/>
  <c r="Q873" i="4"/>
  <c r="Q872" i="4"/>
  <c r="Q871" i="4"/>
  <c r="Q870" i="4"/>
  <c r="Q869" i="4"/>
  <c r="Q868" i="4"/>
  <c r="Q867" i="4"/>
  <c r="Q866" i="4"/>
  <c r="Q865" i="4"/>
  <c r="Q864" i="4"/>
  <c r="Q863" i="4"/>
  <c r="Q862" i="4"/>
  <c r="Q861" i="4"/>
  <c r="Q860" i="4"/>
  <c r="Q859" i="4"/>
  <c r="Q858" i="4"/>
  <c r="Q857" i="4"/>
  <c r="Q856" i="4"/>
  <c r="Q855" i="4"/>
  <c r="Q854" i="4"/>
  <c r="Q853" i="4"/>
  <c r="Q852" i="4"/>
  <c r="Q851" i="4"/>
  <c r="Q850" i="4"/>
  <c r="Q849" i="4"/>
  <c r="Q848" i="4"/>
  <c r="Q847" i="4"/>
  <c r="Q846" i="4"/>
  <c r="Q845" i="4"/>
  <c r="Q844" i="4"/>
  <c r="Q843" i="4"/>
  <c r="Q842" i="4"/>
  <c r="Q841" i="4"/>
  <c r="Q840" i="4"/>
  <c r="Q839" i="4"/>
  <c r="Q838" i="4"/>
  <c r="Q837" i="4"/>
  <c r="Q836" i="4"/>
  <c r="Q835" i="4"/>
  <c r="Q834" i="4"/>
  <c r="Q833" i="4"/>
  <c r="Q832" i="4"/>
  <c r="Q831" i="4"/>
  <c r="Q830" i="4"/>
  <c r="Q829" i="4"/>
  <c r="Q828" i="4"/>
  <c r="Q827" i="4"/>
  <c r="Q826" i="4"/>
  <c r="Q825" i="4"/>
  <c r="Q824" i="4"/>
  <c r="Q823" i="4"/>
  <c r="Q822" i="4"/>
  <c r="Q821" i="4"/>
  <c r="Q820" i="4"/>
  <c r="Q819" i="4"/>
  <c r="Q818" i="4"/>
  <c r="Q817" i="4"/>
  <c r="Q816" i="4"/>
  <c r="Q815" i="4"/>
  <c r="Q814" i="4"/>
  <c r="Q813" i="4"/>
  <c r="Q812" i="4"/>
  <c r="Q811" i="4"/>
  <c r="Q810" i="4"/>
  <c r="Q809" i="4"/>
  <c r="Q808" i="4"/>
  <c r="Q807" i="4"/>
  <c r="Q806" i="4"/>
  <c r="Q805" i="4"/>
  <c r="Q804" i="4"/>
  <c r="Q803" i="4"/>
  <c r="Q802" i="4"/>
  <c r="Q801" i="4"/>
  <c r="Q800" i="4"/>
  <c r="Q799" i="4"/>
  <c r="Q798" i="4"/>
  <c r="Q797" i="4"/>
  <c r="Q796" i="4"/>
  <c r="Q795" i="4"/>
  <c r="Q794" i="4"/>
  <c r="Q793" i="4"/>
  <c r="Q792" i="4"/>
  <c r="Q791" i="4"/>
  <c r="Q790" i="4"/>
  <c r="Q789" i="4"/>
  <c r="Q788" i="4"/>
  <c r="Q787" i="4"/>
  <c r="Q786" i="4"/>
  <c r="Q785" i="4"/>
  <c r="Q784" i="4"/>
  <c r="Q783" i="4"/>
  <c r="Q782" i="4"/>
  <c r="Q781" i="4"/>
  <c r="Q780" i="4"/>
  <c r="Q779" i="4"/>
  <c r="Q778" i="4"/>
  <c r="Q777" i="4"/>
  <c r="Q776" i="4"/>
  <c r="Q775" i="4"/>
  <c r="Q774" i="4"/>
  <c r="Q773" i="4"/>
  <c r="Q772" i="4"/>
  <c r="Q771" i="4"/>
  <c r="Q770" i="4"/>
  <c r="Q769" i="4"/>
  <c r="Q768" i="4"/>
  <c r="Q767" i="4"/>
  <c r="Q766" i="4"/>
  <c r="Q765" i="4"/>
  <c r="Q764" i="4"/>
  <c r="Q763" i="4"/>
  <c r="Q762" i="4"/>
  <c r="Q761" i="4"/>
  <c r="Q760" i="4"/>
  <c r="Q759" i="4"/>
  <c r="Q758" i="4"/>
  <c r="Q757" i="4"/>
  <c r="Q756" i="4"/>
  <c r="Q755" i="4"/>
  <c r="Q754" i="4"/>
  <c r="Q753" i="4"/>
  <c r="Q752" i="4"/>
  <c r="Q751" i="4"/>
  <c r="Q750" i="4"/>
  <c r="Q749" i="4"/>
  <c r="Q748" i="4"/>
  <c r="Q747" i="4"/>
  <c r="Q746" i="4"/>
  <c r="Q745" i="4"/>
  <c r="Q744" i="4"/>
  <c r="Q743" i="4"/>
  <c r="Q742" i="4"/>
  <c r="Q741" i="4"/>
  <c r="Q740" i="4"/>
  <c r="Q739" i="4"/>
  <c r="Q738" i="4"/>
  <c r="Q737" i="4"/>
  <c r="Q736" i="4"/>
  <c r="Q735" i="4"/>
  <c r="Q734" i="4"/>
  <c r="Q733" i="4"/>
  <c r="Q732" i="4"/>
  <c r="Q731" i="4"/>
  <c r="Q730" i="4"/>
  <c r="Q729" i="4"/>
  <c r="Q728" i="4"/>
  <c r="Q727" i="4"/>
  <c r="Q726" i="4"/>
  <c r="Q725" i="4"/>
  <c r="Q724" i="4"/>
  <c r="Q723" i="4"/>
  <c r="Q722" i="4"/>
  <c r="Q721" i="4"/>
  <c r="Q720" i="4"/>
  <c r="Q719" i="4"/>
  <c r="Q718" i="4"/>
  <c r="Q717" i="4"/>
  <c r="Q716" i="4"/>
  <c r="Q715" i="4"/>
  <c r="Q714" i="4"/>
  <c r="Q713" i="4"/>
  <c r="Q712" i="4"/>
  <c r="Q711" i="4"/>
  <c r="Q710" i="4"/>
  <c r="Q709" i="4"/>
  <c r="Q708" i="4"/>
  <c r="Q707" i="4"/>
  <c r="Q706" i="4"/>
  <c r="Q705" i="4"/>
  <c r="Q704" i="4"/>
  <c r="Q703" i="4"/>
  <c r="Q702" i="4"/>
  <c r="Q701" i="4"/>
  <c r="Q700" i="4"/>
  <c r="Q699" i="4"/>
  <c r="Q698" i="4"/>
  <c r="Q697" i="4"/>
  <c r="Q696" i="4"/>
  <c r="Q695" i="4"/>
  <c r="Q694" i="4"/>
  <c r="Q693" i="4"/>
  <c r="Q692" i="4"/>
  <c r="Q691" i="4"/>
  <c r="Q690" i="4"/>
  <c r="Q689" i="4"/>
  <c r="Q688" i="4"/>
  <c r="Q687" i="4"/>
  <c r="Q686" i="4"/>
  <c r="Q685" i="4"/>
  <c r="Q684" i="4"/>
  <c r="Q683" i="4"/>
  <c r="Q682" i="4"/>
  <c r="Q681" i="4"/>
  <c r="Q680" i="4"/>
  <c r="Q679" i="4"/>
  <c r="Q678" i="4"/>
  <c r="Q677" i="4"/>
  <c r="Q676" i="4"/>
  <c r="Q675" i="4"/>
  <c r="Q674" i="4"/>
  <c r="Q673" i="4"/>
  <c r="Q672" i="4"/>
  <c r="Q671" i="4"/>
  <c r="Q670" i="4"/>
  <c r="Q669" i="4"/>
  <c r="Q668" i="4"/>
  <c r="Q667" i="4"/>
  <c r="Q666" i="4"/>
  <c r="Q665" i="4"/>
  <c r="Q664" i="4"/>
  <c r="Q663" i="4"/>
  <c r="Q662" i="4"/>
  <c r="Q661" i="4"/>
  <c r="Q660" i="4"/>
  <c r="Q659" i="4"/>
  <c r="Q658" i="4"/>
  <c r="Q657" i="4"/>
  <c r="Q656" i="4"/>
  <c r="Q655" i="4"/>
  <c r="Q654" i="4"/>
  <c r="Q653" i="4"/>
  <c r="Q652" i="4"/>
  <c r="Q651" i="4"/>
  <c r="Q650" i="4"/>
  <c r="Q649" i="4"/>
  <c r="Q648" i="4"/>
  <c r="Q647" i="4"/>
  <c r="Q646" i="4"/>
  <c r="Q645" i="4"/>
  <c r="Q644" i="4"/>
  <c r="Q643" i="4"/>
  <c r="Q642" i="4"/>
  <c r="Q641" i="4"/>
  <c r="Q640" i="4"/>
  <c r="Q639" i="4"/>
  <c r="Q638" i="4"/>
  <c r="Q637" i="4"/>
  <c r="Q636" i="4"/>
  <c r="Q635" i="4"/>
  <c r="Q634" i="4"/>
  <c r="Q633" i="4"/>
  <c r="Q632" i="4"/>
  <c r="Q631" i="4"/>
  <c r="Q630" i="4"/>
  <c r="Q629" i="4"/>
  <c r="Q628" i="4"/>
  <c r="Q627" i="4"/>
  <c r="Q626" i="4"/>
  <c r="Q625" i="4"/>
  <c r="Q624" i="4"/>
  <c r="Q623" i="4"/>
  <c r="Q622" i="4"/>
  <c r="Q621" i="4"/>
  <c r="Q620" i="4"/>
  <c r="Q619" i="4"/>
  <c r="Q618" i="4"/>
  <c r="Q617" i="4"/>
  <c r="Q616" i="4"/>
  <c r="Q615" i="4"/>
  <c r="Q614" i="4"/>
  <c r="Q613" i="4"/>
  <c r="Q612" i="4"/>
  <c r="Q611" i="4"/>
  <c r="Q610" i="4"/>
  <c r="Q609" i="4"/>
  <c r="Q608" i="4"/>
  <c r="Q607" i="4"/>
  <c r="Q606" i="4"/>
  <c r="Q605" i="4"/>
  <c r="Q604" i="4"/>
  <c r="Q603" i="4"/>
  <c r="Q602" i="4"/>
  <c r="Q601" i="4"/>
  <c r="Q600" i="4"/>
  <c r="Q599" i="4"/>
  <c r="Q598" i="4"/>
  <c r="Q597" i="4"/>
  <c r="Q596" i="4"/>
  <c r="Q595" i="4"/>
  <c r="Q594" i="4"/>
  <c r="Q593" i="4"/>
  <c r="Q592" i="4"/>
  <c r="Q591" i="4"/>
  <c r="Q590" i="4"/>
  <c r="Q589" i="4"/>
  <c r="Q588" i="4"/>
  <c r="Q587" i="4"/>
  <c r="Q586" i="4"/>
  <c r="Q585" i="4"/>
  <c r="Q584" i="4"/>
  <c r="Q583" i="4"/>
  <c r="Q582" i="4"/>
  <c r="Q581" i="4"/>
  <c r="Q580" i="4"/>
  <c r="Q579" i="4"/>
  <c r="Q578" i="4"/>
  <c r="Q577" i="4"/>
  <c r="Q576" i="4"/>
  <c r="Q575" i="4"/>
  <c r="Q574" i="4"/>
  <c r="Q573" i="4"/>
  <c r="Q572" i="4"/>
  <c r="Q571" i="4"/>
  <c r="Q570" i="4"/>
  <c r="Q569" i="4"/>
  <c r="Q568" i="4"/>
  <c r="Q567" i="4"/>
  <c r="Q566" i="4"/>
  <c r="Q565" i="4"/>
  <c r="Q564" i="4"/>
  <c r="Q563" i="4"/>
  <c r="Q562" i="4"/>
  <c r="Q561" i="4"/>
  <c r="Q560" i="4"/>
  <c r="Q559" i="4"/>
  <c r="Q558" i="4"/>
  <c r="Q557" i="4"/>
  <c r="Q556" i="4"/>
  <c r="Q555" i="4"/>
  <c r="Q554" i="4"/>
  <c r="Q553" i="4"/>
  <c r="Q552" i="4"/>
  <c r="Q551" i="4"/>
  <c r="Q550" i="4"/>
  <c r="Q549" i="4"/>
  <c r="Q548" i="4"/>
  <c r="Q547" i="4"/>
  <c r="Q546" i="4"/>
  <c r="Q545" i="4"/>
  <c r="Q544" i="4"/>
  <c r="Q543" i="4"/>
  <c r="Q542" i="4"/>
  <c r="Q541" i="4"/>
  <c r="Q540" i="4"/>
  <c r="Q539" i="4"/>
  <c r="Q538" i="4"/>
  <c r="Q537" i="4"/>
  <c r="Q536" i="4"/>
  <c r="Q535" i="4"/>
  <c r="Q534" i="4"/>
  <c r="Q533" i="4"/>
  <c r="Q532" i="4"/>
  <c r="Q531" i="4"/>
  <c r="Q530" i="4"/>
  <c r="Q529" i="4"/>
  <c r="Q528" i="4"/>
  <c r="Q527" i="4"/>
  <c r="Q526" i="4"/>
  <c r="Q525" i="4"/>
  <c r="Q524" i="4"/>
  <c r="Q523" i="4"/>
  <c r="Q522" i="4"/>
  <c r="Q521" i="4"/>
  <c r="Q520" i="4"/>
  <c r="Q519" i="4"/>
  <c r="Q518" i="4"/>
  <c r="Q517" i="4"/>
  <c r="Q516" i="4"/>
  <c r="Q515" i="4"/>
  <c r="Q514" i="4"/>
  <c r="Q513" i="4"/>
  <c r="Q512" i="4"/>
  <c r="Q511" i="4"/>
  <c r="Q510" i="4"/>
  <c r="Q509" i="4"/>
  <c r="Q508" i="4"/>
  <c r="Q507" i="4"/>
  <c r="Q506" i="4"/>
  <c r="Q505" i="4"/>
  <c r="Q504" i="4"/>
  <c r="Q503" i="4"/>
  <c r="Q502" i="4"/>
  <c r="Q501" i="4"/>
  <c r="Q500" i="4"/>
  <c r="Q499" i="4"/>
  <c r="Q498" i="4"/>
  <c r="Q497" i="4"/>
  <c r="Q496" i="4"/>
  <c r="Q495" i="4"/>
  <c r="Q494" i="4"/>
  <c r="Q493" i="4"/>
  <c r="Q492" i="4"/>
  <c r="Q491" i="4"/>
  <c r="Q490" i="4"/>
  <c r="Q489" i="4"/>
  <c r="Q488" i="4"/>
  <c r="Q487" i="4"/>
  <c r="Q486" i="4"/>
  <c r="Q485" i="4"/>
  <c r="Q484" i="4"/>
  <c r="Q483" i="4"/>
  <c r="Q482" i="4"/>
  <c r="Q481" i="4"/>
  <c r="Q480" i="4"/>
  <c r="Q479" i="4"/>
  <c r="Q478" i="4"/>
  <c r="Q477" i="4"/>
  <c r="Q476" i="4"/>
  <c r="Q475" i="4"/>
  <c r="Q474" i="4"/>
  <c r="Q473" i="4"/>
  <c r="Q472" i="4"/>
  <c r="Q471" i="4"/>
  <c r="Q470" i="4"/>
  <c r="Q469" i="4"/>
  <c r="Q468" i="4"/>
  <c r="Q467" i="4"/>
  <c r="Q466" i="4"/>
  <c r="Q465" i="4"/>
  <c r="Q464" i="4"/>
  <c r="Q463" i="4"/>
  <c r="Q462" i="4"/>
  <c r="Q461" i="4"/>
  <c r="Q460" i="4"/>
  <c r="Q459" i="4"/>
  <c r="Q458" i="4"/>
  <c r="Q457" i="4"/>
  <c r="Q456" i="4"/>
  <c r="Q455" i="4"/>
  <c r="Q454" i="4"/>
  <c r="Q453" i="4"/>
  <c r="Q452" i="4"/>
  <c r="Q451" i="4"/>
  <c r="Q450" i="4"/>
  <c r="Q449" i="4"/>
  <c r="Q448" i="4"/>
  <c r="Q447" i="4"/>
  <c r="Q446" i="4"/>
  <c r="Q445" i="4"/>
  <c r="Q444" i="4"/>
  <c r="Q443" i="4"/>
  <c r="Q442" i="4"/>
  <c r="Q441" i="4"/>
  <c r="Q440" i="4"/>
  <c r="Q439" i="4"/>
  <c r="Q438" i="4"/>
  <c r="Q437" i="4"/>
  <c r="Q436" i="4"/>
  <c r="Q435" i="4"/>
  <c r="Q434" i="4"/>
  <c r="Q433" i="4"/>
  <c r="Q432" i="4"/>
  <c r="Q431" i="4"/>
  <c r="Q430" i="4"/>
  <c r="Q429" i="4"/>
  <c r="Q428" i="4"/>
  <c r="Q427" i="4"/>
  <c r="Q426" i="4"/>
  <c r="Q425" i="4"/>
  <c r="Q424" i="4"/>
  <c r="Q423" i="4"/>
  <c r="Q422" i="4"/>
  <c r="Q421" i="4"/>
  <c r="Q420" i="4"/>
  <c r="Q419" i="4"/>
  <c r="Q418" i="4"/>
  <c r="Q417" i="4"/>
  <c r="Q416" i="4"/>
  <c r="Q415" i="4"/>
  <c r="Q414" i="4"/>
  <c r="Q413" i="4"/>
  <c r="Q412" i="4"/>
  <c r="Q411" i="4"/>
  <c r="Q410" i="4"/>
  <c r="Q409" i="4"/>
  <c r="Q408" i="4"/>
  <c r="Q407" i="4"/>
  <c r="Q406" i="4"/>
  <c r="Q405" i="4"/>
  <c r="Q404" i="4"/>
  <c r="Q403" i="4"/>
  <c r="Q402" i="4"/>
  <c r="Q401" i="4"/>
  <c r="Q400" i="4"/>
  <c r="Q399" i="4"/>
  <c r="Q398" i="4"/>
  <c r="Q397" i="4"/>
  <c r="Q396" i="4"/>
  <c r="Q395" i="4"/>
  <c r="Q394" i="4"/>
  <c r="Q393" i="4"/>
  <c r="Q392" i="4"/>
  <c r="Q391" i="4"/>
  <c r="Q390" i="4"/>
  <c r="Q389" i="4"/>
  <c r="Q388" i="4"/>
  <c r="Q387" i="4"/>
  <c r="Q386" i="4"/>
  <c r="Q385" i="4"/>
  <c r="Q384" i="4"/>
  <c r="Q383" i="4"/>
  <c r="Q382" i="4"/>
  <c r="Q381" i="4"/>
  <c r="Q380" i="4"/>
  <c r="Q379" i="4"/>
  <c r="Q378" i="4"/>
  <c r="Q377" i="4"/>
  <c r="Q376" i="4"/>
  <c r="Q375" i="4"/>
  <c r="Q374" i="4"/>
  <c r="Q373" i="4"/>
  <c r="Q372" i="4"/>
  <c r="Q371" i="4"/>
  <c r="Q370" i="4"/>
  <c r="Q369" i="4"/>
  <c r="Q368" i="4"/>
  <c r="Q367" i="4"/>
  <c r="Q366" i="4"/>
  <c r="Q365" i="4"/>
  <c r="Q364" i="4"/>
  <c r="Q363" i="4"/>
  <c r="Q362" i="4"/>
  <c r="Q361" i="4"/>
  <c r="Q360" i="4"/>
  <c r="Q359" i="4"/>
  <c r="Q358" i="4"/>
  <c r="Q357" i="4"/>
  <c r="Q356" i="4"/>
  <c r="Q355" i="4"/>
  <c r="Q354" i="4"/>
  <c r="Q353" i="4"/>
  <c r="Q352" i="4"/>
  <c r="Q351" i="4"/>
  <c r="Q350" i="4"/>
  <c r="Q349" i="4"/>
  <c r="Q348" i="4"/>
  <c r="Q347" i="4"/>
  <c r="Q346" i="4"/>
  <c r="Q345" i="4"/>
  <c r="Q344" i="4"/>
  <c r="Q343" i="4"/>
  <c r="Q342" i="4"/>
  <c r="Q341" i="4"/>
  <c r="Q340" i="4"/>
  <c r="Q339" i="4"/>
  <c r="Q338" i="4"/>
  <c r="Q337" i="4"/>
  <c r="Q336" i="4"/>
  <c r="Q335" i="4"/>
  <c r="Q334" i="4"/>
  <c r="Q333" i="4"/>
  <c r="Q332" i="4"/>
  <c r="Q331" i="4"/>
  <c r="Q330" i="4"/>
  <c r="Q329" i="4"/>
  <c r="Q328" i="4"/>
  <c r="Q327" i="4"/>
  <c r="Q326" i="4"/>
  <c r="Q325" i="4"/>
  <c r="Q324" i="4"/>
  <c r="Q323" i="4"/>
  <c r="Q322" i="4"/>
  <c r="Q321" i="4"/>
  <c r="Q320" i="4"/>
  <c r="Q319" i="4"/>
  <c r="Q318" i="4"/>
  <c r="Q317" i="4"/>
  <c r="Q316" i="4"/>
  <c r="Q315" i="4"/>
  <c r="Q314" i="4"/>
  <c r="Q313" i="4"/>
  <c r="Q312" i="4"/>
  <c r="Q311" i="4"/>
  <c r="Q310" i="4"/>
  <c r="Q309" i="4"/>
  <c r="Q308" i="4"/>
  <c r="Q307" i="4"/>
  <c r="Q306" i="4"/>
  <c r="Q305" i="4"/>
  <c r="Q304" i="4"/>
  <c r="Q303" i="4"/>
  <c r="Q302" i="4"/>
  <c r="Q301" i="4"/>
  <c r="Q300" i="4"/>
  <c r="Q299" i="4"/>
  <c r="Q298" i="4"/>
  <c r="Q297" i="4"/>
  <c r="Q296" i="4"/>
  <c r="Q295" i="4"/>
  <c r="Q294" i="4"/>
  <c r="Q293" i="4"/>
  <c r="Q292" i="4"/>
  <c r="Q291" i="4"/>
  <c r="Q290" i="4"/>
  <c r="Q289" i="4"/>
  <c r="Q288" i="4"/>
  <c r="Q287" i="4"/>
  <c r="Q286" i="4"/>
  <c r="Q285" i="4"/>
  <c r="Q284" i="4"/>
  <c r="Q283" i="4"/>
  <c r="Q282" i="4"/>
  <c r="Q281" i="4"/>
  <c r="Q280" i="4"/>
  <c r="Q279" i="4"/>
  <c r="Q278" i="4"/>
  <c r="Q277" i="4"/>
  <c r="Q276" i="4"/>
  <c r="Q275" i="4"/>
  <c r="Q274" i="4"/>
  <c r="Q273" i="4"/>
  <c r="Q272" i="4"/>
  <c r="Q271" i="4"/>
  <c r="Q270" i="4"/>
  <c r="Q269" i="4"/>
  <c r="Q268" i="4"/>
  <c r="Q267" i="4"/>
  <c r="Q266" i="4"/>
  <c r="Q265" i="4"/>
  <c r="Q264" i="4"/>
  <c r="Q263" i="4"/>
  <c r="Q262" i="4"/>
  <c r="Q261" i="4"/>
  <c r="Q260" i="4"/>
  <c r="Q259" i="4"/>
  <c r="Q258" i="4"/>
  <c r="Q257" i="4"/>
  <c r="Q256" i="4"/>
  <c r="Q255" i="4"/>
  <c r="Q254" i="4"/>
  <c r="Q253" i="4"/>
  <c r="Q252" i="4"/>
  <c r="Q251" i="4"/>
  <c r="Q250" i="4"/>
  <c r="Q249" i="4"/>
  <c r="Q248" i="4"/>
  <c r="Q247" i="4"/>
  <c r="Q246" i="4"/>
  <c r="Q245" i="4"/>
  <c r="Q244" i="4"/>
  <c r="Q243" i="4"/>
  <c r="Q242" i="4"/>
  <c r="Q241" i="4"/>
  <c r="Q240" i="4"/>
  <c r="Q239" i="4"/>
  <c r="Q238" i="4"/>
  <c r="Q237" i="4"/>
  <c r="Q236" i="4"/>
  <c r="Q235" i="4"/>
  <c r="Q234" i="4"/>
  <c r="Q233" i="4"/>
  <c r="Q232" i="4"/>
  <c r="Q231" i="4"/>
  <c r="Q230" i="4"/>
  <c r="Q229" i="4"/>
  <c r="Q228" i="4"/>
  <c r="Q227" i="4"/>
  <c r="Q226" i="4"/>
  <c r="Q225" i="4"/>
  <c r="Q224" i="4"/>
  <c r="Q223" i="4"/>
  <c r="Q222" i="4"/>
  <c r="Q221" i="4"/>
  <c r="Q220" i="4"/>
  <c r="Q219" i="4"/>
  <c r="Q218" i="4"/>
  <c r="Q217" i="4"/>
  <c r="Q216" i="4"/>
  <c r="Q215" i="4"/>
  <c r="Q214" i="4"/>
  <c r="Q213" i="4"/>
  <c r="Q212" i="4"/>
  <c r="Q211" i="4"/>
  <c r="Q210" i="4"/>
  <c r="Q209" i="4"/>
  <c r="Q208" i="4"/>
  <c r="Q207" i="4"/>
  <c r="Q206" i="4"/>
  <c r="Q205" i="4"/>
  <c r="Q204" i="4"/>
  <c r="Q203" i="4"/>
  <c r="Q202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7" i="4"/>
  <c r="Q186" i="4"/>
  <c r="Q185" i="4"/>
  <c r="Q184" i="4"/>
  <c r="Q183" i="4"/>
  <c r="Q182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68" i="4"/>
  <c r="Q167" i="4"/>
  <c r="Q166" i="4"/>
  <c r="Q165" i="4"/>
  <c r="Q164" i="4"/>
  <c r="Q163" i="4"/>
  <c r="Q162" i="4"/>
  <c r="Q161" i="4"/>
  <c r="Q160" i="4"/>
  <c r="Q159" i="4"/>
  <c r="Q158" i="4"/>
  <c r="Q157" i="4"/>
  <c r="Q156" i="4"/>
  <c r="Q155" i="4"/>
  <c r="Q154" i="4"/>
  <c r="Q153" i="4"/>
  <c r="Q152" i="4"/>
  <c r="Q151" i="4"/>
  <c r="Q150" i="4"/>
  <c r="Q149" i="4"/>
  <c r="Q148" i="4"/>
  <c r="Q147" i="4"/>
  <c r="Q146" i="4"/>
  <c r="Q145" i="4"/>
  <c r="Q144" i="4"/>
  <c r="Q143" i="4"/>
  <c r="Q142" i="4"/>
  <c r="Q141" i="4"/>
  <c r="Q140" i="4"/>
  <c r="Q139" i="4"/>
  <c r="Q138" i="4"/>
  <c r="Q137" i="4"/>
  <c r="Q136" i="4"/>
  <c r="Q135" i="4"/>
  <c r="Q134" i="4"/>
  <c r="Q133" i="4"/>
  <c r="Q132" i="4"/>
  <c r="Q131" i="4"/>
  <c r="Q130" i="4"/>
  <c r="Q129" i="4"/>
  <c r="Q128" i="4"/>
  <c r="Q127" i="4"/>
  <c r="Q126" i="4"/>
  <c r="Q125" i="4"/>
  <c r="Q124" i="4"/>
  <c r="Q123" i="4"/>
  <c r="Q122" i="4"/>
  <c r="Q121" i="4"/>
  <c r="Q120" i="4"/>
  <c r="Q119" i="4"/>
  <c r="Q118" i="4"/>
  <c r="Q117" i="4"/>
  <c r="Q116" i="4"/>
  <c r="Q115" i="4"/>
  <c r="Q114" i="4"/>
  <c r="Q113" i="4"/>
  <c r="Q112" i="4"/>
  <c r="Q111" i="4"/>
  <c r="Q110" i="4"/>
  <c r="Q109" i="4"/>
  <c r="Q108" i="4"/>
  <c r="Q107" i="4"/>
  <c r="Q106" i="4"/>
  <c r="Q105" i="4"/>
  <c r="Q104" i="4"/>
  <c r="Q103" i="4"/>
  <c r="Q102" i="4"/>
  <c r="Q101" i="4"/>
  <c r="Q100" i="4"/>
  <c r="Q99" i="4"/>
  <c r="Q98" i="4"/>
  <c r="Q97" i="4"/>
  <c r="Q96" i="4"/>
  <c r="Q95" i="4"/>
  <c r="Q94" i="4"/>
  <c r="Q93" i="4"/>
  <c r="Q92" i="4"/>
  <c r="Q91" i="4"/>
  <c r="Q90" i="4"/>
  <c r="Q89" i="4"/>
  <c r="Q88" i="4"/>
  <c r="Q87" i="4"/>
  <c r="Q86" i="4"/>
  <c r="Q85" i="4"/>
  <c r="Q84" i="4"/>
  <c r="Q83" i="4"/>
  <c r="Q82" i="4"/>
  <c r="Q81" i="4"/>
  <c r="Q80" i="4"/>
  <c r="Q79" i="4"/>
  <c r="Q78" i="4"/>
  <c r="Q77" i="4"/>
  <c r="Q76" i="4"/>
  <c r="Q75" i="4"/>
  <c r="Q74" i="4"/>
  <c r="Q73" i="4"/>
  <c r="Q72" i="4"/>
  <c r="Q71" i="4"/>
  <c r="Q70" i="4"/>
  <c r="Q69" i="4"/>
  <c r="Q68" i="4"/>
  <c r="Q67" i="4"/>
  <c r="Q66" i="4"/>
  <c r="Q65" i="4"/>
  <c r="Q64" i="4"/>
  <c r="Q63" i="4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E46" i="4"/>
  <c r="Q45" i="4"/>
  <c r="Q44" i="4"/>
  <c r="Q43" i="4"/>
  <c r="Q42" i="4"/>
  <c r="Q41" i="4"/>
  <c r="Q40" i="4"/>
  <c r="Q39" i="4"/>
  <c r="Q38" i="4"/>
  <c r="Q37" i="4"/>
  <c r="Q36" i="4"/>
  <c r="V35" i="4"/>
  <c r="U35" i="4"/>
  <c r="T35" i="4"/>
  <c r="S35" i="4"/>
  <c r="R35" i="4"/>
  <c r="Q35" i="4" s="1"/>
  <c r="N35" i="4"/>
  <c r="O35" i="4" s="1"/>
  <c r="P35" i="4" s="1"/>
  <c r="V34" i="4"/>
  <c r="U34" i="4"/>
  <c r="T34" i="4"/>
  <c r="S34" i="4"/>
  <c r="R34" i="4"/>
  <c r="Q34" i="4"/>
  <c r="N34" i="4"/>
  <c r="O34" i="4" s="1"/>
  <c r="P34" i="4" s="1"/>
  <c r="V33" i="4"/>
  <c r="U33" i="4"/>
  <c r="T33" i="4"/>
  <c r="S33" i="4"/>
  <c r="Q33" i="4" s="1"/>
  <c r="R33" i="4"/>
  <c r="N33" i="4"/>
  <c r="O33" i="4" s="1"/>
  <c r="P33" i="4" s="1"/>
  <c r="V32" i="4"/>
  <c r="U32" i="4"/>
  <c r="T32" i="4"/>
  <c r="S32" i="4"/>
  <c r="R32" i="4"/>
  <c r="Q32" i="4"/>
  <c r="P32" i="4"/>
  <c r="O32" i="4"/>
  <c r="N32" i="4"/>
  <c r="V31" i="4"/>
  <c r="U31" i="4"/>
  <c r="T31" i="4"/>
  <c r="S31" i="4"/>
  <c r="R31" i="4"/>
  <c r="Q31" i="4" s="1"/>
  <c r="N31" i="4"/>
  <c r="O31" i="4" s="1"/>
  <c r="P31" i="4" s="1"/>
  <c r="V30" i="4"/>
  <c r="U30" i="4"/>
  <c r="T30" i="4"/>
  <c r="S30" i="4"/>
  <c r="R30" i="4"/>
  <c r="Q30" i="4" s="1"/>
  <c r="O30" i="4"/>
  <c r="P30" i="4" s="1"/>
  <c r="N30" i="4"/>
  <c r="V29" i="4"/>
  <c r="U29" i="4"/>
  <c r="T29" i="4"/>
  <c r="S29" i="4"/>
  <c r="R29" i="4"/>
  <c r="Q29" i="4" s="1"/>
  <c r="N29" i="4"/>
  <c r="O29" i="4" s="1"/>
  <c r="P29" i="4" s="1"/>
  <c r="V28" i="4"/>
  <c r="U28" i="4"/>
  <c r="T28" i="4"/>
  <c r="Q28" i="4" s="1"/>
  <c r="S28" i="4"/>
  <c r="R28" i="4"/>
  <c r="N28" i="4"/>
  <c r="O28" i="4" s="1"/>
  <c r="P28" i="4" s="1"/>
  <c r="V27" i="4"/>
  <c r="U27" i="4"/>
  <c r="T27" i="4"/>
  <c r="S27" i="4"/>
  <c r="R27" i="4"/>
  <c r="Q27" i="4" s="1"/>
  <c r="N27" i="4"/>
  <c r="O27" i="4" s="1"/>
  <c r="P27" i="4" s="1"/>
  <c r="V26" i="4"/>
  <c r="U26" i="4"/>
  <c r="T26" i="4"/>
  <c r="S26" i="4"/>
  <c r="Q26" i="4" s="1"/>
  <c r="R26" i="4"/>
  <c r="O26" i="4"/>
  <c r="P26" i="4" s="1"/>
  <c r="N26" i="4"/>
  <c r="V25" i="4"/>
  <c r="U25" i="4"/>
  <c r="T25" i="4"/>
  <c r="S25" i="4"/>
  <c r="R25" i="4"/>
  <c r="Q25" i="4" s="1"/>
  <c r="O25" i="4"/>
  <c r="P25" i="4" s="1"/>
  <c r="N25" i="4"/>
  <c r="V24" i="4"/>
  <c r="U24" i="4"/>
  <c r="Q24" i="4" s="1"/>
  <c r="T24" i="4"/>
  <c r="S24" i="4"/>
  <c r="R24" i="4"/>
  <c r="O24" i="4"/>
  <c r="P24" i="4" s="1"/>
  <c r="N24" i="4"/>
  <c r="V23" i="4"/>
  <c r="U23" i="4"/>
  <c r="T23" i="4"/>
  <c r="S23" i="4"/>
  <c r="R23" i="4"/>
  <c r="Q23" i="4"/>
  <c r="N23" i="4"/>
  <c r="O23" i="4" s="1"/>
  <c r="P23" i="4" s="1"/>
  <c r="V22" i="4"/>
  <c r="U22" i="4"/>
  <c r="T22" i="4"/>
  <c r="S22" i="4"/>
  <c r="R22" i="4"/>
  <c r="Q22" i="4"/>
  <c r="O22" i="4"/>
  <c r="P22" i="4" s="1"/>
  <c r="N22" i="4"/>
  <c r="V21" i="4"/>
  <c r="U21" i="4"/>
  <c r="T21" i="4"/>
  <c r="S21" i="4"/>
  <c r="R21" i="4"/>
  <c r="Q21" i="4" s="1"/>
  <c r="N21" i="4"/>
  <c r="O21" i="4" s="1"/>
  <c r="P21" i="4" s="1"/>
  <c r="V20" i="4"/>
  <c r="U20" i="4"/>
  <c r="T20" i="4"/>
  <c r="S20" i="4"/>
  <c r="Q20" i="4" s="1"/>
  <c r="R20" i="4"/>
  <c r="O20" i="4"/>
  <c r="P20" i="4" s="1"/>
  <c r="N20" i="4"/>
  <c r="V19" i="4"/>
  <c r="U19" i="4"/>
  <c r="T19" i="4"/>
  <c r="S19" i="4"/>
  <c r="R19" i="4"/>
  <c r="Q19" i="4" s="1"/>
  <c r="N19" i="4"/>
  <c r="O19" i="4" s="1"/>
  <c r="P19" i="4" s="1"/>
  <c r="V18" i="4"/>
  <c r="U18" i="4"/>
  <c r="T18" i="4"/>
  <c r="S18" i="4"/>
  <c r="R18" i="4"/>
  <c r="Q18" i="4"/>
  <c r="N18" i="4"/>
  <c r="O18" i="4" s="1"/>
  <c r="P18" i="4" s="1"/>
  <c r="V17" i="4"/>
  <c r="U17" i="4"/>
  <c r="T17" i="4"/>
  <c r="S17" i="4"/>
  <c r="R17" i="4"/>
  <c r="Q17" i="4" s="1"/>
  <c r="N17" i="4"/>
  <c r="O17" i="4" s="1"/>
  <c r="P17" i="4" s="1"/>
  <c r="V16" i="4"/>
  <c r="U16" i="4"/>
  <c r="T16" i="4"/>
  <c r="S16" i="4"/>
  <c r="R16" i="4"/>
  <c r="Q16" i="4"/>
  <c r="P16" i="4"/>
  <c r="O16" i="4"/>
  <c r="N16" i="4"/>
  <c r="V15" i="4"/>
  <c r="U15" i="4"/>
  <c r="T15" i="4"/>
  <c r="S15" i="4"/>
  <c r="R15" i="4"/>
  <c r="Q15" i="4" s="1"/>
  <c r="P15" i="4"/>
  <c r="V14" i="4"/>
  <c r="U14" i="4"/>
  <c r="T14" i="4"/>
  <c r="S14" i="4"/>
  <c r="R14" i="4"/>
  <c r="Q14" i="4"/>
  <c r="P14" i="4"/>
  <c r="O14" i="4"/>
  <c r="N14" i="4"/>
  <c r="V13" i="4"/>
  <c r="U13" i="4"/>
  <c r="T13" i="4"/>
  <c r="S13" i="4"/>
  <c r="R13" i="4"/>
  <c r="Q13" i="4" s="1"/>
  <c r="N13" i="4"/>
  <c r="O13" i="4" s="1"/>
  <c r="P13" i="4" s="1"/>
  <c r="V12" i="4"/>
  <c r="U12" i="4"/>
  <c r="T12" i="4"/>
  <c r="S12" i="4"/>
  <c r="R12" i="4"/>
  <c r="Q12" i="4" s="1"/>
  <c r="O12" i="4"/>
  <c r="P12" i="4" s="1"/>
  <c r="N12" i="4"/>
  <c r="V11" i="4"/>
  <c r="U11" i="4"/>
  <c r="T11" i="4"/>
  <c r="S11" i="4"/>
  <c r="R11" i="4"/>
  <c r="Q11" i="4" s="1"/>
  <c r="N11" i="4"/>
  <c r="O11" i="4" s="1"/>
  <c r="P11" i="4" s="1"/>
  <c r="V10" i="4"/>
  <c r="U10" i="4"/>
  <c r="T10" i="4"/>
  <c r="Q10" i="4" s="1"/>
  <c r="S10" i="4"/>
  <c r="R10" i="4"/>
  <c r="N10" i="4"/>
  <c r="O10" i="4" s="1"/>
  <c r="P10" i="4" s="1"/>
  <c r="V9" i="4"/>
  <c r="U9" i="4"/>
  <c r="T9" i="4"/>
  <c r="S9" i="4"/>
  <c r="R9" i="4"/>
  <c r="Q9" i="4" s="1"/>
  <c r="N9" i="4"/>
  <c r="O9" i="4" s="1"/>
  <c r="P9" i="4" s="1"/>
  <c r="V8" i="4"/>
  <c r="U8" i="4"/>
  <c r="T8" i="4"/>
  <c r="S8" i="4"/>
  <c r="R8" i="4"/>
  <c r="Q8" i="4" s="1"/>
  <c r="O8" i="4"/>
  <c r="P8" i="4" s="1"/>
  <c r="N8" i="4"/>
  <c r="V7" i="4"/>
  <c r="U7" i="4"/>
  <c r="T7" i="4"/>
  <c r="S7" i="4"/>
  <c r="R7" i="4"/>
  <c r="Q7" i="4" s="1"/>
  <c r="O7" i="4"/>
  <c r="P7" i="4" s="1"/>
  <c r="N7" i="4"/>
  <c r="V6" i="4"/>
  <c r="U6" i="4"/>
  <c r="Q6" i="4" s="1"/>
  <c r="T6" i="4"/>
  <c r="S6" i="4"/>
  <c r="R6" i="4"/>
  <c r="O6" i="4"/>
  <c r="P6" i="4" s="1"/>
  <c r="N6" i="4"/>
  <c r="V5" i="4"/>
  <c r="U5" i="4"/>
  <c r="T5" i="4"/>
  <c r="S5" i="4"/>
  <c r="R5" i="4"/>
  <c r="Q5" i="4"/>
  <c r="N5" i="4"/>
  <c r="O5" i="4" s="1"/>
  <c r="P5" i="4" s="1"/>
  <c r="V4" i="4"/>
  <c r="U4" i="4"/>
  <c r="T4" i="4"/>
  <c r="S4" i="4"/>
  <c r="R4" i="4"/>
  <c r="Q4" i="4"/>
  <c r="O4" i="4"/>
  <c r="P4" i="4" s="1"/>
  <c r="N4" i="4"/>
  <c r="V3" i="4"/>
  <c r="U3" i="4"/>
  <c r="T3" i="4"/>
  <c r="S3" i="4"/>
  <c r="R3" i="4"/>
  <c r="Q3" i="4" s="1"/>
  <c r="N3" i="4"/>
  <c r="O3" i="4" s="1"/>
  <c r="P3" i="4" s="1"/>
  <c r="V2" i="4"/>
  <c r="U2" i="4"/>
  <c r="T2" i="4"/>
  <c r="S2" i="4"/>
  <c r="Q2" i="4" s="1"/>
  <c r="R2" i="4"/>
  <c r="O2" i="4"/>
  <c r="P2" i="4" s="1"/>
  <c r="N2" i="4"/>
  <c r="S999" i="3"/>
  <c r="S998" i="3"/>
  <c r="S997" i="3"/>
  <c r="S996" i="3"/>
  <c r="S995" i="3"/>
  <c r="S994" i="3"/>
  <c r="S993" i="3"/>
  <c r="S992" i="3"/>
  <c r="S991" i="3"/>
  <c r="S990" i="3"/>
  <c r="S989" i="3"/>
  <c r="S988" i="3"/>
  <c r="S987" i="3"/>
  <c r="S986" i="3"/>
  <c r="S985" i="3"/>
  <c r="S984" i="3"/>
  <c r="S983" i="3"/>
  <c r="S982" i="3"/>
  <c r="S981" i="3"/>
  <c r="S980" i="3"/>
  <c r="S979" i="3"/>
  <c r="S978" i="3"/>
  <c r="S977" i="3"/>
  <c r="S976" i="3"/>
  <c r="S975" i="3"/>
  <c r="S974" i="3"/>
  <c r="S973" i="3"/>
  <c r="S972" i="3"/>
  <c r="S971" i="3"/>
  <c r="S970" i="3"/>
  <c r="S969" i="3"/>
  <c r="S968" i="3"/>
  <c r="S967" i="3"/>
  <c r="S966" i="3"/>
  <c r="S965" i="3"/>
  <c r="S964" i="3"/>
  <c r="S963" i="3"/>
  <c r="S962" i="3"/>
  <c r="S961" i="3"/>
  <c r="S960" i="3"/>
  <c r="S959" i="3"/>
  <c r="S958" i="3"/>
  <c r="S957" i="3"/>
  <c r="S956" i="3"/>
  <c r="S955" i="3"/>
  <c r="S954" i="3"/>
  <c r="S953" i="3"/>
  <c r="S952" i="3"/>
  <c r="S951" i="3"/>
  <c r="S950" i="3"/>
  <c r="S949" i="3"/>
  <c r="S948" i="3"/>
  <c r="S947" i="3"/>
  <c r="S946" i="3"/>
  <c r="S945" i="3"/>
  <c r="S944" i="3"/>
  <c r="S943" i="3"/>
  <c r="S942" i="3"/>
  <c r="S941" i="3"/>
  <c r="S940" i="3"/>
  <c r="S939" i="3"/>
  <c r="S938" i="3"/>
  <c r="S937" i="3"/>
  <c r="S936" i="3"/>
  <c r="S935" i="3"/>
  <c r="S934" i="3"/>
  <c r="S933" i="3"/>
  <c r="S932" i="3"/>
  <c r="S931" i="3"/>
  <c r="S930" i="3"/>
  <c r="S929" i="3"/>
  <c r="S928" i="3"/>
  <c r="S927" i="3"/>
  <c r="S926" i="3"/>
  <c r="S925" i="3"/>
  <c r="S924" i="3"/>
  <c r="S923" i="3"/>
  <c r="S922" i="3"/>
  <c r="S921" i="3"/>
  <c r="S920" i="3"/>
  <c r="S919" i="3"/>
  <c r="S918" i="3"/>
  <c r="S917" i="3"/>
  <c r="S916" i="3"/>
  <c r="S915" i="3"/>
  <c r="S914" i="3"/>
  <c r="S913" i="3"/>
  <c r="S912" i="3"/>
  <c r="S911" i="3"/>
  <c r="S910" i="3"/>
  <c r="S909" i="3"/>
  <c r="S908" i="3"/>
  <c r="S907" i="3"/>
  <c r="S906" i="3"/>
  <c r="S905" i="3"/>
  <c r="S904" i="3"/>
  <c r="S903" i="3"/>
  <c r="S902" i="3"/>
  <c r="S901" i="3"/>
  <c r="S900" i="3"/>
  <c r="S899" i="3"/>
  <c r="S898" i="3"/>
  <c r="S897" i="3"/>
  <c r="S896" i="3"/>
  <c r="S895" i="3"/>
  <c r="S894" i="3"/>
  <c r="S893" i="3"/>
  <c r="S892" i="3"/>
  <c r="S891" i="3"/>
  <c r="S890" i="3"/>
  <c r="S889" i="3"/>
  <c r="S888" i="3"/>
  <c r="S887" i="3"/>
  <c r="S886" i="3"/>
  <c r="S885" i="3"/>
  <c r="S884" i="3"/>
  <c r="S883" i="3"/>
  <c r="S882" i="3"/>
  <c r="S881" i="3"/>
  <c r="S880" i="3"/>
  <c r="S879" i="3"/>
  <c r="S878" i="3"/>
  <c r="S877" i="3"/>
  <c r="S876" i="3"/>
  <c r="S875" i="3"/>
  <c r="S874" i="3"/>
  <c r="S873" i="3"/>
  <c r="S872" i="3"/>
  <c r="S871" i="3"/>
  <c r="S870" i="3"/>
  <c r="S869" i="3"/>
  <c r="S868" i="3"/>
  <c r="S867" i="3"/>
  <c r="S866" i="3"/>
  <c r="S865" i="3"/>
  <c r="S864" i="3"/>
  <c r="S863" i="3"/>
  <c r="S862" i="3"/>
  <c r="S861" i="3"/>
  <c r="S860" i="3"/>
  <c r="S859" i="3"/>
  <c r="S858" i="3"/>
  <c r="S857" i="3"/>
  <c r="S856" i="3"/>
  <c r="S855" i="3"/>
  <c r="S854" i="3"/>
  <c r="S853" i="3"/>
  <c r="S852" i="3"/>
  <c r="S851" i="3"/>
  <c r="S850" i="3"/>
  <c r="S849" i="3"/>
  <c r="S848" i="3"/>
  <c r="S847" i="3"/>
  <c r="S846" i="3"/>
  <c r="S845" i="3"/>
  <c r="S844" i="3"/>
  <c r="S843" i="3"/>
  <c r="S842" i="3"/>
  <c r="S841" i="3"/>
  <c r="S840" i="3"/>
  <c r="S839" i="3"/>
  <c r="S838" i="3"/>
  <c r="S837" i="3"/>
  <c r="S836" i="3"/>
  <c r="S835" i="3"/>
  <c r="S834" i="3"/>
  <c r="S833" i="3"/>
  <c r="S832" i="3"/>
  <c r="S831" i="3"/>
  <c r="S830" i="3"/>
  <c r="S829" i="3"/>
  <c r="S828" i="3"/>
  <c r="S827" i="3"/>
  <c r="S826" i="3"/>
  <c r="S825" i="3"/>
  <c r="S824" i="3"/>
  <c r="S823" i="3"/>
  <c r="S822" i="3"/>
  <c r="S821" i="3"/>
  <c r="S820" i="3"/>
  <c r="S819" i="3"/>
  <c r="S818" i="3"/>
  <c r="S817" i="3"/>
  <c r="S816" i="3"/>
  <c r="S815" i="3"/>
  <c r="S814" i="3"/>
  <c r="S813" i="3"/>
  <c r="S812" i="3"/>
  <c r="S811" i="3"/>
  <c r="S810" i="3"/>
  <c r="S809" i="3"/>
  <c r="S808" i="3"/>
  <c r="S807" i="3"/>
  <c r="S806" i="3"/>
  <c r="S805" i="3"/>
  <c r="S804" i="3"/>
  <c r="S803" i="3"/>
  <c r="S802" i="3"/>
  <c r="S801" i="3"/>
  <c r="S800" i="3"/>
  <c r="S799" i="3"/>
  <c r="S798" i="3"/>
  <c r="S797" i="3"/>
  <c r="S796" i="3"/>
  <c r="S795" i="3"/>
  <c r="S794" i="3"/>
  <c r="S793" i="3"/>
  <c r="S792" i="3"/>
  <c r="S791" i="3"/>
  <c r="S790" i="3"/>
  <c r="S789" i="3"/>
  <c r="S788" i="3"/>
  <c r="S787" i="3"/>
  <c r="S786" i="3"/>
  <c r="S785" i="3"/>
  <c r="S784" i="3"/>
  <c r="S783" i="3"/>
  <c r="S782" i="3"/>
  <c r="S781" i="3"/>
  <c r="S780" i="3"/>
  <c r="S779" i="3"/>
  <c r="S778" i="3"/>
  <c r="S777" i="3"/>
  <c r="S776" i="3"/>
  <c r="S775" i="3"/>
  <c r="S774" i="3"/>
  <c r="S773" i="3"/>
  <c r="S772" i="3"/>
  <c r="S771" i="3"/>
  <c r="S770" i="3"/>
  <c r="S769" i="3"/>
  <c r="S768" i="3"/>
  <c r="S767" i="3"/>
  <c r="S766" i="3"/>
  <c r="S765" i="3"/>
  <c r="S764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715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20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S181" i="3"/>
  <c r="S180" i="3"/>
  <c r="S179" i="3"/>
  <c r="S178" i="3"/>
  <c r="S177" i="3"/>
  <c r="H67" i="3"/>
  <c r="G67" i="3"/>
  <c r="D67" i="3"/>
  <c r="Z57" i="3"/>
  <c r="Y57" i="3"/>
  <c r="X57" i="3"/>
  <c r="W57" i="3"/>
  <c r="T57" i="3"/>
  <c r="S57" i="3" s="1"/>
  <c r="Q57" i="3"/>
  <c r="R57" i="3" s="1"/>
  <c r="P57" i="3"/>
  <c r="Z56" i="3"/>
  <c r="Y56" i="3"/>
  <c r="S56" i="3" s="1"/>
  <c r="X56" i="3"/>
  <c r="W56" i="3"/>
  <c r="T56" i="3"/>
  <c r="Q56" i="3"/>
  <c r="R56" i="3" s="1"/>
  <c r="P56" i="3"/>
  <c r="Z55" i="3"/>
  <c r="Y55" i="3"/>
  <c r="X55" i="3"/>
  <c r="U55" i="3"/>
  <c r="T55" i="3"/>
  <c r="S55" i="3"/>
  <c r="P55" i="3"/>
  <c r="Q55" i="3" s="1"/>
  <c r="R55" i="3" s="1"/>
  <c r="Z54" i="3"/>
  <c r="Y54" i="3"/>
  <c r="X54" i="3"/>
  <c r="W54" i="3"/>
  <c r="T54" i="3"/>
  <c r="S54" i="3"/>
  <c r="Q54" i="3"/>
  <c r="R54" i="3" s="1"/>
  <c r="P54" i="3"/>
  <c r="Z53" i="3"/>
  <c r="Y53" i="3"/>
  <c r="X53" i="3"/>
  <c r="W53" i="3"/>
  <c r="T53" i="3"/>
  <c r="S53" i="3" s="1"/>
  <c r="R53" i="3"/>
  <c r="Q53" i="3"/>
  <c r="P53" i="3"/>
  <c r="Z52" i="3"/>
  <c r="Y52" i="3"/>
  <c r="X52" i="3"/>
  <c r="W52" i="3"/>
  <c r="S52" i="3" s="1"/>
  <c r="T52" i="3"/>
  <c r="Q52" i="3"/>
  <c r="R52" i="3" s="1"/>
  <c r="P52" i="3"/>
  <c r="Z51" i="3"/>
  <c r="Y51" i="3"/>
  <c r="X51" i="3"/>
  <c r="W51" i="3"/>
  <c r="T51" i="3"/>
  <c r="S51" i="3" s="1"/>
  <c r="P51" i="3"/>
  <c r="Q51" i="3" s="1"/>
  <c r="R51" i="3" s="1"/>
  <c r="Z50" i="3"/>
  <c r="Y50" i="3"/>
  <c r="X50" i="3"/>
  <c r="V50" i="3"/>
  <c r="T50" i="3"/>
  <c r="S50" i="3"/>
  <c r="P50" i="3"/>
  <c r="Q50" i="3" s="1"/>
  <c r="R50" i="3" s="1"/>
  <c r="Z49" i="3"/>
  <c r="Y49" i="3"/>
  <c r="X49" i="3"/>
  <c r="W49" i="3"/>
  <c r="S49" i="3" s="1"/>
  <c r="T49" i="3"/>
  <c r="P49" i="3"/>
  <c r="Q49" i="3" s="1"/>
  <c r="R49" i="3" s="1"/>
  <c r="Z48" i="3"/>
  <c r="Y48" i="3"/>
  <c r="X48" i="3"/>
  <c r="U48" i="3"/>
  <c r="T48" i="3"/>
  <c r="S48" i="3"/>
  <c r="R48" i="3"/>
  <c r="Q48" i="3"/>
  <c r="P48" i="3"/>
  <c r="Z47" i="3"/>
  <c r="Y47" i="3"/>
  <c r="X47" i="3"/>
  <c r="W47" i="3"/>
  <c r="T47" i="3"/>
  <c r="S47" i="3" s="1"/>
  <c r="P47" i="3"/>
  <c r="Q47" i="3" s="1"/>
  <c r="R47" i="3" s="1"/>
  <c r="Z46" i="3"/>
  <c r="Y46" i="3"/>
  <c r="X46" i="3"/>
  <c r="W46" i="3"/>
  <c r="T46" i="3"/>
  <c r="S46" i="3" s="1"/>
  <c r="Q46" i="3"/>
  <c r="R46" i="3" s="1"/>
  <c r="P46" i="3"/>
  <c r="Z45" i="3"/>
  <c r="Y45" i="3"/>
  <c r="X45" i="3"/>
  <c r="W45" i="3"/>
  <c r="T45" i="3"/>
  <c r="S45" i="3" s="1"/>
  <c r="P45" i="3"/>
  <c r="Q45" i="3" s="1"/>
  <c r="R45" i="3" s="1"/>
  <c r="Z44" i="3"/>
  <c r="Y44" i="3"/>
  <c r="X44" i="3"/>
  <c r="S44" i="3" s="1"/>
  <c r="W44" i="3"/>
  <c r="T44" i="3"/>
  <c r="P44" i="3"/>
  <c r="Q44" i="3" s="1"/>
  <c r="R44" i="3" s="1"/>
  <c r="Z43" i="3"/>
  <c r="Y43" i="3"/>
  <c r="X43" i="3"/>
  <c r="W43" i="3"/>
  <c r="T43" i="3"/>
  <c r="S43" i="3" s="1"/>
  <c r="P43" i="3"/>
  <c r="Q43" i="3" s="1"/>
  <c r="R43" i="3" s="1"/>
  <c r="Z42" i="3"/>
  <c r="Y42" i="3"/>
  <c r="X42" i="3"/>
  <c r="W42" i="3"/>
  <c r="T42" i="3"/>
  <c r="S42" i="3" s="1"/>
  <c r="Q42" i="3"/>
  <c r="R42" i="3" s="1"/>
  <c r="P42" i="3"/>
  <c r="Z41" i="3"/>
  <c r="Y41" i="3"/>
  <c r="X41" i="3"/>
  <c r="V41" i="3"/>
  <c r="T41" i="3"/>
  <c r="S41" i="3"/>
  <c r="Q41" i="3"/>
  <c r="R41" i="3" s="1"/>
  <c r="P41" i="3"/>
  <c r="Z40" i="3"/>
  <c r="Y40" i="3"/>
  <c r="S40" i="3" s="1"/>
  <c r="X40" i="3"/>
  <c r="V40" i="3"/>
  <c r="T40" i="3"/>
  <c r="Q40" i="3"/>
  <c r="R40" i="3" s="1"/>
  <c r="P40" i="3"/>
  <c r="Z39" i="3"/>
  <c r="Y39" i="3"/>
  <c r="X39" i="3"/>
  <c r="W39" i="3"/>
  <c r="T39" i="3"/>
  <c r="S39" i="3"/>
  <c r="P39" i="3"/>
  <c r="Q39" i="3" s="1"/>
  <c r="R39" i="3" s="1"/>
  <c r="Z38" i="3"/>
  <c r="Y38" i="3"/>
  <c r="X38" i="3"/>
  <c r="W38" i="3"/>
  <c r="T38" i="3"/>
  <c r="S38" i="3"/>
  <c r="Q38" i="3"/>
  <c r="R38" i="3" s="1"/>
  <c r="P38" i="3"/>
  <c r="Z37" i="3"/>
  <c r="Y37" i="3"/>
  <c r="X37" i="3"/>
  <c r="W37" i="3"/>
  <c r="T37" i="3"/>
  <c r="S37" i="3" s="1"/>
  <c r="P37" i="3"/>
  <c r="Q37" i="3" s="1"/>
  <c r="R37" i="3" s="1"/>
  <c r="Z36" i="3"/>
  <c r="Y36" i="3"/>
  <c r="X36" i="3"/>
  <c r="V36" i="3"/>
  <c r="S36" i="3" s="1"/>
  <c r="T36" i="3"/>
  <c r="P36" i="3"/>
  <c r="Q36" i="3" s="1"/>
  <c r="R36" i="3" s="1"/>
  <c r="Z35" i="3"/>
  <c r="Y35" i="3"/>
  <c r="X35" i="3"/>
  <c r="U35" i="3"/>
  <c r="T35" i="3"/>
  <c r="S35" i="3" s="1"/>
  <c r="P35" i="3"/>
  <c r="Q35" i="3" s="1"/>
  <c r="R35" i="3" s="1"/>
  <c r="Z34" i="3"/>
  <c r="Y34" i="3"/>
  <c r="X34" i="3"/>
  <c r="V34" i="3"/>
  <c r="T34" i="3"/>
  <c r="S34" i="3"/>
  <c r="P34" i="3"/>
  <c r="Q34" i="3" s="1"/>
  <c r="R34" i="3" s="1"/>
  <c r="Z33" i="3"/>
  <c r="Y33" i="3"/>
  <c r="X33" i="3"/>
  <c r="W33" i="3"/>
  <c r="T33" i="3"/>
  <c r="S33" i="3" s="1"/>
  <c r="P33" i="3"/>
  <c r="Q33" i="3" s="1"/>
  <c r="R33" i="3" s="1"/>
  <c r="Z32" i="3"/>
  <c r="Y32" i="3"/>
  <c r="X32" i="3"/>
  <c r="W32" i="3"/>
  <c r="T32" i="3"/>
  <c r="S32" i="3"/>
  <c r="R32" i="3"/>
  <c r="Q32" i="3"/>
  <c r="P32" i="3"/>
  <c r="Z31" i="3"/>
  <c r="Y31" i="3"/>
  <c r="X31" i="3"/>
  <c r="V31" i="3"/>
  <c r="T31" i="3"/>
  <c r="S31" i="3" s="1"/>
  <c r="P31" i="3"/>
  <c r="Q31" i="3" s="1"/>
  <c r="R31" i="3" s="1"/>
  <c r="Z30" i="3"/>
  <c r="Y30" i="3"/>
  <c r="X30" i="3"/>
  <c r="W30" i="3"/>
  <c r="T30" i="3"/>
  <c r="S30" i="3" s="1"/>
  <c r="Q30" i="3"/>
  <c r="R30" i="3" s="1"/>
  <c r="P30" i="3"/>
  <c r="Z29" i="3"/>
  <c r="Y29" i="3"/>
  <c r="X29" i="3"/>
  <c r="W29" i="3"/>
  <c r="T29" i="3"/>
  <c r="S29" i="3" s="1"/>
  <c r="P29" i="3"/>
  <c r="Q29" i="3" s="1"/>
  <c r="R29" i="3" s="1"/>
  <c r="Z28" i="3"/>
  <c r="Y28" i="3"/>
  <c r="X28" i="3"/>
  <c r="S28" i="3" s="1"/>
  <c r="W28" i="3"/>
  <c r="T28" i="3"/>
  <c r="P28" i="3"/>
  <c r="Q28" i="3" s="1"/>
  <c r="R28" i="3" s="1"/>
  <c r="Z27" i="3"/>
  <c r="Y27" i="3"/>
  <c r="X27" i="3"/>
  <c r="V27" i="3"/>
  <c r="T27" i="3"/>
  <c r="S27" i="3" s="1"/>
  <c r="P27" i="3"/>
  <c r="Q27" i="3" s="1"/>
  <c r="R27" i="3" s="1"/>
  <c r="Z26" i="3"/>
  <c r="Y26" i="3"/>
  <c r="X26" i="3"/>
  <c r="W26" i="3"/>
  <c r="S26" i="3" s="1"/>
  <c r="T26" i="3"/>
  <c r="Q26" i="3"/>
  <c r="R26" i="3" s="1"/>
  <c r="P26" i="3"/>
  <c r="Z25" i="3"/>
  <c r="Y25" i="3"/>
  <c r="X25" i="3"/>
  <c r="U25" i="3"/>
  <c r="T25" i="3"/>
  <c r="S25" i="3"/>
  <c r="Q25" i="3"/>
  <c r="R25" i="3" s="1"/>
  <c r="P25" i="3"/>
  <c r="Z24" i="3"/>
  <c r="Y24" i="3"/>
  <c r="S24" i="3" s="1"/>
  <c r="X24" i="3"/>
  <c r="W24" i="3"/>
  <c r="T24" i="3"/>
  <c r="Q24" i="3"/>
  <c r="R24" i="3" s="1"/>
  <c r="P24" i="3"/>
  <c r="Z23" i="3"/>
  <c r="Y23" i="3"/>
  <c r="X23" i="3"/>
  <c r="V23" i="3"/>
  <c r="T23" i="3"/>
  <c r="S23" i="3"/>
  <c r="P23" i="3"/>
  <c r="Q23" i="3" s="1"/>
  <c r="R23" i="3" s="1"/>
  <c r="Z22" i="3"/>
  <c r="Y22" i="3"/>
  <c r="X22" i="3"/>
  <c r="U22" i="3"/>
  <c r="T22" i="3"/>
  <c r="S22" i="3"/>
  <c r="Q22" i="3"/>
  <c r="R22" i="3" s="1"/>
  <c r="P22" i="3"/>
  <c r="Z21" i="3"/>
  <c r="Y21" i="3"/>
  <c r="X21" i="3"/>
  <c r="W21" i="3"/>
  <c r="T21" i="3"/>
  <c r="S21" i="3" s="1"/>
  <c r="P21" i="3"/>
  <c r="Q21" i="3" s="1"/>
  <c r="R21" i="3" s="1"/>
  <c r="Z20" i="3"/>
  <c r="Y20" i="3"/>
  <c r="X20" i="3"/>
  <c r="V20" i="3"/>
  <c r="S20" i="3" s="1"/>
  <c r="T20" i="3"/>
  <c r="P20" i="3"/>
  <c r="Q20" i="3" s="1"/>
  <c r="R20" i="3" s="1"/>
  <c r="Z19" i="3"/>
  <c r="Y19" i="3"/>
  <c r="X19" i="3"/>
  <c r="W19" i="3"/>
  <c r="T19" i="3"/>
  <c r="S19" i="3" s="1"/>
  <c r="P19" i="3"/>
  <c r="Q19" i="3" s="1"/>
  <c r="R19" i="3" s="1"/>
  <c r="Z18" i="3"/>
  <c r="Y18" i="3"/>
  <c r="X18" i="3"/>
  <c r="V18" i="3"/>
  <c r="T18" i="3"/>
  <c r="S18" i="3"/>
  <c r="P18" i="3"/>
  <c r="Q18" i="3" s="1"/>
  <c r="R18" i="3" s="1"/>
  <c r="Z17" i="3"/>
  <c r="Y17" i="3"/>
  <c r="X17" i="3"/>
  <c r="W17" i="3"/>
  <c r="T17" i="3"/>
  <c r="S17" i="3" s="1"/>
  <c r="P17" i="3"/>
  <c r="Q17" i="3" s="1"/>
  <c r="R17" i="3" s="1"/>
  <c r="Z16" i="3"/>
  <c r="Y16" i="3"/>
  <c r="X16" i="3"/>
  <c r="V16" i="3"/>
  <c r="T16" i="3"/>
  <c r="S16" i="3"/>
  <c r="R16" i="3"/>
  <c r="Q16" i="3"/>
  <c r="P16" i="3"/>
  <c r="Z15" i="3"/>
  <c r="Y15" i="3"/>
  <c r="X15" i="3"/>
  <c r="V15" i="3"/>
  <c r="T15" i="3"/>
  <c r="S15" i="3" s="1"/>
  <c r="P15" i="3"/>
  <c r="Q15" i="3" s="1"/>
  <c r="R15" i="3" s="1"/>
  <c r="Z14" i="3"/>
  <c r="Y14" i="3"/>
  <c r="X14" i="3"/>
  <c r="U14" i="3"/>
  <c r="T14" i="3"/>
  <c r="S14" i="3" s="1"/>
  <c r="Q14" i="3"/>
  <c r="R14" i="3" s="1"/>
  <c r="P14" i="3"/>
  <c r="Z13" i="3"/>
  <c r="Y13" i="3"/>
  <c r="X13" i="3"/>
  <c r="V13" i="3"/>
  <c r="T13" i="3"/>
  <c r="S13" i="3" s="1"/>
  <c r="P13" i="3"/>
  <c r="Q13" i="3" s="1"/>
  <c r="R13" i="3" s="1"/>
  <c r="Z12" i="3"/>
  <c r="Y12" i="3"/>
  <c r="X12" i="3"/>
  <c r="S12" i="3" s="1"/>
  <c r="W12" i="3"/>
  <c r="T12" i="3"/>
  <c r="P12" i="3"/>
  <c r="Q12" i="3" s="1"/>
  <c r="R12" i="3" s="1"/>
  <c r="Z11" i="3"/>
  <c r="Y11" i="3"/>
  <c r="X11" i="3"/>
  <c r="W11" i="3"/>
  <c r="T11" i="3"/>
  <c r="S11" i="3" s="1"/>
  <c r="P11" i="3"/>
  <c r="Q11" i="3" s="1"/>
  <c r="R11" i="3" s="1"/>
  <c r="Z10" i="3"/>
  <c r="Y10" i="3"/>
  <c r="X10" i="3"/>
  <c r="V10" i="3"/>
  <c r="T10" i="3"/>
  <c r="S10" i="3" s="1"/>
  <c r="P10" i="3"/>
  <c r="Q10" i="3" s="1"/>
  <c r="R10" i="3" s="1"/>
  <c r="Z9" i="3"/>
  <c r="Y9" i="3"/>
  <c r="X9" i="3"/>
  <c r="W9" i="3"/>
  <c r="T9" i="3"/>
  <c r="S9" i="3"/>
  <c r="Q9" i="3"/>
  <c r="R9" i="3" s="1"/>
  <c r="P9" i="3"/>
  <c r="Z8" i="3"/>
  <c r="Y8" i="3"/>
  <c r="X8" i="3"/>
  <c r="U8" i="3"/>
  <c r="S8" i="3" s="1"/>
  <c r="T8" i="3"/>
  <c r="Q8" i="3"/>
  <c r="R8" i="3" s="1"/>
  <c r="P8" i="3"/>
  <c r="Z7" i="3"/>
  <c r="Y7" i="3"/>
  <c r="X7" i="3"/>
  <c r="W7" i="3"/>
  <c r="T7" i="3"/>
  <c r="S7" i="3"/>
  <c r="P7" i="3"/>
  <c r="Q7" i="3" s="1"/>
  <c r="R7" i="3" s="1"/>
  <c r="Z6" i="3"/>
  <c r="Y6" i="3"/>
  <c r="X6" i="3"/>
  <c r="W6" i="3"/>
  <c r="T6" i="3"/>
  <c r="S6" i="3"/>
  <c r="Q6" i="3"/>
  <c r="R6" i="3" s="1"/>
  <c r="P6" i="3"/>
  <c r="Z5" i="3"/>
  <c r="Y5" i="3"/>
  <c r="X5" i="3"/>
  <c r="W5" i="3"/>
  <c r="T5" i="3"/>
  <c r="S5" i="3" s="1"/>
  <c r="P5" i="3"/>
  <c r="Q5" i="3" s="1"/>
  <c r="R5" i="3" s="1"/>
  <c r="Z4" i="3"/>
  <c r="Y4" i="3"/>
  <c r="X4" i="3"/>
  <c r="W4" i="3"/>
  <c r="S4" i="3" s="1"/>
  <c r="T4" i="3"/>
  <c r="P4" i="3"/>
  <c r="Q4" i="3" s="1"/>
  <c r="R4" i="3" s="1"/>
  <c r="Z3" i="3"/>
  <c r="Y3" i="3"/>
  <c r="X3" i="3"/>
  <c r="W3" i="3"/>
  <c r="T3" i="3"/>
  <c r="S3" i="3" s="1"/>
  <c r="P3" i="3"/>
  <c r="Q3" i="3" s="1"/>
  <c r="R3" i="3" s="1"/>
  <c r="Z2" i="3"/>
  <c r="Y2" i="3"/>
  <c r="X2" i="3"/>
  <c r="V2" i="3"/>
  <c r="T2" i="3"/>
  <c r="S2" i="3"/>
  <c r="P2" i="3"/>
  <c r="Q2" i="3" s="1"/>
  <c r="R2" i="3" s="1"/>
  <c r="D59" i="2"/>
  <c r="V49" i="2"/>
  <c r="U49" i="2"/>
  <c r="Q49" i="2" s="1"/>
  <c r="T49" i="2"/>
  <c r="S49" i="2"/>
  <c r="R49" i="2"/>
  <c r="O49" i="2"/>
  <c r="P49" i="2" s="1"/>
  <c r="N49" i="2"/>
  <c r="V48" i="2"/>
  <c r="U48" i="2"/>
  <c r="T48" i="2"/>
  <c r="S48" i="2"/>
  <c r="R48" i="2"/>
  <c r="Q48" i="2"/>
  <c r="N48" i="2"/>
  <c r="O48" i="2" s="1"/>
  <c r="P48" i="2" s="1"/>
  <c r="V47" i="2"/>
  <c r="U47" i="2"/>
  <c r="T47" i="2"/>
  <c r="S47" i="2"/>
  <c r="R47" i="2"/>
  <c r="Q47" i="2"/>
  <c r="O47" i="2"/>
  <c r="P47" i="2" s="1"/>
  <c r="N47" i="2"/>
  <c r="V46" i="2"/>
  <c r="U46" i="2"/>
  <c r="T46" i="2"/>
  <c r="S46" i="2"/>
  <c r="R46" i="2"/>
  <c r="Q46" i="2" s="1"/>
  <c r="N46" i="2"/>
  <c r="O46" i="2" s="1"/>
  <c r="P46" i="2" s="1"/>
  <c r="V45" i="2"/>
  <c r="U45" i="2"/>
  <c r="T45" i="2"/>
  <c r="S45" i="2"/>
  <c r="Q45" i="2" s="1"/>
  <c r="R45" i="2"/>
  <c r="N45" i="2"/>
  <c r="O45" i="2" s="1"/>
  <c r="P45" i="2" s="1"/>
  <c r="V44" i="2"/>
  <c r="U44" i="2"/>
  <c r="T44" i="2"/>
  <c r="S44" i="2"/>
  <c r="R44" i="2"/>
  <c r="Q44" i="2" s="1"/>
  <c r="N44" i="2"/>
  <c r="O44" i="2" s="1"/>
  <c r="P44" i="2" s="1"/>
  <c r="V43" i="2"/>
  <c r="U43" i="2"/>
  <c r="T43" i="2"/>
  <c r="S43" i="2"/>
  <c r="R43" i="2"/>
  <c r="Q43" i="2"/>
  <c r="N43" i="2"/>
  <c r="O43" i="2" s="1"/>
  <c r="P43" i="2" s="1"/>
  <c r="V42" i="2"/>
  <c r="U42" i="2"/>
  <c r="T42" i="2"/>
  <c r="S42" i="2"/>
  <c r="R42" i="2"/>
  <c r="Q42" i="2" s="1"/>
  <c r="N42" i="2"/>
  <c r="O42" i="2" s="1"/>
  <c r="P42" i="2" s="1"/>
  <c r="V41" i="2"/>
  <c r="U41" i="2"/>
  <c r="T41" i="2"/>
  <c r="S41" i="2"/>
  <c r="R41" i="2"/>
  <c r="Q41" i="2"/>
  <c r="P41" i="2"/>
  <c r="O41" i="2"/>
  <c r="N41" i="2"/>
  <c r="V40" i="2"/>
  <c r="U40" i="2"/>
  <c r="T40" i="2"/>
  <c r="S40" i="2"/>
  <c r="R40" i="2"/>
  <c r="Q40" i="2" s="1"/>
  <c r="N40" i="2"/>
  <c r="O40" i="2" s="1"/>
  <c r="P40" i="2" s="1"/>
  <c r="V39" i="2"/>
  <c r="U39" i="2"/>
  <c r="T39" i="2"/>
  <c r="S39" i="2"/>
  <c r="R39" i="2"/>
  <c r="Q39" i="2" s="1"/>
  <c r="O39" i="2"/>
  <c r="P39" i="2" s="1"/>
  <c r="N39" i="2"/>
  <c r="V38" i="2"/>
  <c r="U38" i="2"/>
  <c r="T38" i="2"/>
  <c r="S38" i="2"/>
  <c r="R38" i="2"/>
  <c r="Q38" i="2" s="1"/>
  <c r="N38" i="2"/>
  <c r="O38" i="2" s="1"/>
  <c r="P38" i="2" s="1"/>
  <c r="V37" i="2"/>
  <c r="U37" i="2"/>
  <c r="T37" i="2"/>
  <c r="Q37" i="2" s="1"/>
  <c r="S37" i="2"/>
  <c r="R37" i="2"/>
  <c r="O37" i="2"/>
  <c r="P37" i="2" s="1"/>
  <c r="N37" i="2"/>
  <c r="V36" i="2"/>
  <c r="U36" i="2"/>
  <c r="T36" i="2"/>
  <c r="S36" i="2"/>
  <c r="R36" i="2"/>
  <c r="Q36" i="2" s="1"/>
  <c r="N36" i="2"/>
  <c r="O36" i="2" s="1"/>
  <c r="P36" i="2" s="1"/>
  <c r="V35" i="2"/>
  <c r="U35" i="2"/>
  <c r="T35" i="2"/>
  <c r="S35" i="2"/>
  <c r="Q35" i="2" s="1"/>
  <c r="R35" i="2"/>
  <c r="O35" i="2"/>
  <c r="P35" i="2" s="1"/>
  <c r="N35" i="2"/>
  <c r="V34" i="2"/>
  <c r="U34" i="2"/>
  <c r="T34" i="2"/>
  <c r="S34" i="2"/>
  <c r="R34" i="2"/>
  <c r="Q34" i="2"/>
  <c r="O34" i="2"/>
  <c r="P34" i="2" s="1"/>
  <c r="N34" i="2"/>
  <c r="V33" i="2"/>
  <c r="U33" i="2"/>
  <c r="T33" i="2"/>
  <c r="S33" i="2"/>
  <c r="Q33" i="2" s="1"/>
  <c r="R33" i="2"/>
  <c r="O33" i="2"/>
  <c r="P33" i="2" s="1"/>
  <c r="N33" i="2"/>
  <c r="V32" i="2"/>
  <c r="U32" i="2"/>
  <c r="T32" i="2"/>
  <c r="S32" i="2"/>
  <c r="R32" i="2"/>
  <c r="Q32" i="2"/>
  <c r="N32" i="2"/>
  <c r="O32" i="2" s="1"/>
  <c r="P32" i="2" s="1"/>
  <c r="V31" i="2"/>
  <c r="U31" i="2"/>
  <c r="T31" i="2"/>
  <c r="S31" i="2"/>
  <c r="R31" i="2"/>
  <c r="Q31" i="2"/>
  <c r="O31" i="2"/>
  <c r="P31" i="2" s="1"/>
  <c r="N31" i="2"/>
  <c r="V30" i="2"/>
  <c r="U30" i="2"/>
  <c r="T30" i="2"/>
  <c r="S30" i="2"/>
  <c r="R30" i="2"/>
  <c r="Q30" i="2" s="1"/>
  <c r="N30" i="2"/>
  <c r="O30" i="2" s="1"/>
  <c r="P30" i="2" s="1"/>
  <c r="V29" i="2"/>
  <c r="U29" i="2"/>
  <c r="T29" i="2"/>
  <c r="S29" i="2"/>
  <c r="Q29" i="2" s="1"/>
  <c r="R29" i="2"/>
  <c r="N29" i="2"/>
  <c r="O29" i="2" s="1"/>
  <c r="P29" i="2" s="1"/>
  <c r="V28" i="2"/>
  <c r="U28" i="2"/>
  <c r="T28" i="2"/>
  <c r="S28" i="2"/>
  <c r="R28" i="2"/>
  <c r="Q28" i="2" s="1"/>
  <c r="N28" i="2"/>
  <c r="O28" i="2" s="1"/>
  <c r="P28" i="2" s="1"/>
  <c r="V27" i="2"/>
  <c r="U27" i="2"/>
  <c r="T27" i="2"/>
  <c r="S27" i="2"/>
  <c r="R27" i="2"/>
  <c r="Q27" i="2"/>
  <c r="N27" i="2"/>
  <c r="O27" i="2" s="1"/>
  <c r="P27" i="2" s="1"/>
  <c r="V26" i="2"/>
  <c r="U26" i="2"/>
  <c r="T26" i="2"/>
  <c r="S26" i="2"/>
  <c r="R26" i="2"/>
  <c r="Q26" i="2" s="1"/>
  <c r="N26" i="2"/>
  <c r="O26" i="2" s="1"/>
  <c r="P26" i="2" s="1"/>
  <c r="V25" i="2"/>
  <c r="U25" i="2"/>
  <c r="T25" i="2"/>
  <c r="S25" i="2"/>
  <c r="R25" i="2"/>
  <c r="Q25" i="2"/>
  <c r="P25" i="2"/>
  <c r="O25" i="2"/>
  <c r="N25" i="2"/>
  <c r="V24" i="2"/>
  <c r="U24" i="2"/>
  <c r="T24" i="2"/>
  <c r="S24" i="2"/>
  <c r="R24" i="2"/>
  <c r="Q24" i="2" s="1"/>
  <c r="N24" i="2"/>
  <c r="O24" i="2" s="1"/>
  <c r="P24" i="2" s="1"/>
  <c r="V23" i="2"/>
  <c r="U23" i="2"/>
  <c r="T23" i="2"/>
  <c r="S23" i="2"/>
  <c r="R23" i="2"/>
  <c r="Q23" i="2" s="1"/>
  <c r="O23" i="2"/>
  <c r="P23" i="2" s="1"/>
  <c r="N23" i="2"/>
  <c r="V22" i="2"/>
  <c r="U22" i="2"/>
  <c r="T22" i="2"/>
  <c r="S22" i="2"/>
  <c r="R22" i="2"/>
  <c r="Q22" i="2" s="1"/>
  <c r="N22" i="2"/>
  <c r="O22" i="2" s="1"/>
  <c r="P22" i="2" s="1"/>
  <c r="V21" i="2"/>
  <c r="U21" i="2"/>
  <c r="T21" i="2"/>
  <c r="Q21" i="2" s="1"/>
  <c r="S21" i="2"/>
  <c r="R21" i="2"/>
  <c r="O21" i="2"/>
  <c r="P21" i="2" s="1"/>
  <c r="N21" i="2"/>
  <c r="V20" i="2"/>
  <c r="U20" i="2"/>
  <c r="T20" i="2"/>
  <c r="S20" i="2"/>
  <c r="R20" i="2"/>
  <c r="Q20" i="2" s="1"/>
  <c r="N20" i="2"/>
  <c r="O20" i="2" s="1"/>
  <c r="P20" i="2" s="1"/>
  <c r="V19" i="2"/>
  <c r="U19" i="2"/>
  <c r="T19" i="2"/>
  <c r="S19" i="2"/>
  <c r="Q19" i="2" s="1"/>
  <c r="R19" i="2"/>
  <c r="O19" i="2"/>
  <c r="P19" i="2" s="1"/>
  <c r="N19" i="2"/>
  <c r="V18" i="2"/>
  <c r="U18" i="2"/>
  <c r="T18" i="2"/>
  <c r="S18" i="2"/>
  <c r="R18" i="2"/>
  <c r="Q18" i="2"/>
  <c r="O18" i="2"/>
  <c r="P18" i="2" s="1"/>
  <c r="N18" i="2"/>
  <c r="V17" i="2"/>
  <c r="U17" i="2"/>
  <c r="T17" i="2"/>
  <c r="S17" i="2"/>
  <c r="Q17" i="2" s="1"/>
  <c r="R17" i="2"/>
  <c r="O17" i="2"/>
  <c r="P17" i="2" s="1"/>
  <c r="N17" i="2"/>
  <c r="V16" i="2"/>
  <c r="U16" i="2"/>
  <c r="T16" i="2"/>
  <c r="S16" i="2"/>
  <c r="R16" i="2"/>
  <c r="Q16" i="2"/>
  <c r="N16" i="2"/>
  <c r="O16" i="2" s="1"/>
  <c r="P16" i="2" s="1"/>
  <c r="V15" i="2"/>
  <c r="U15" i="2"/>
  <c r="T15" i="2"/>
  <c r="S15" i="2"/>
  <c r="R15" i="2"/>
  <c r="Q15" i="2"/>
  <c r="O15" i="2"/>
  <c r="P15" i="2" s="1"/>
  <c r="N15" i="2"/>
  <c r="V14" i="2"/>
  <c r="U14" i="2"/>
  <c r="T14" i="2"/>
  <c r="S14" i="2"/>
  <c r="R14" i="2"/>
  <c r="Q14" i="2" s="1"/>
  <c r="N14" i="2"/>
  <c r="O14" i="2" s="1"/>
  <c r="P14" i="2" s="1"/>
  <c r="V13" i="2"/>
  <c r="U13" i="2"/>
  <c r="T13" i="2"/>
  <c r="S13" i="2"/>
  <c r="Q13" i="2" s="1"/>
  <c r="R13" i="2"/>
  <c r="N13" i="2"/>
  <c r="O13" i="2" s="1"/>
  <c r="P13" i="2" s="1"/>
  <c r="V12" i="2"/>
  <c r="U12" i="2"/>
  <c r="T12" i="2"/>
  <c r="S12" i="2"/>
  <c r="R12" i="2"/>
  <c r="Q12" i="2" s="1"/>
  <c r="N12" i="2"/>
  <c r="O12" i="2" s="1"/>
  <c r="P12" i="2" s="1"/>
  <c r="V11" i="2"/>
  <c r="U11" i="2"/>
  <c r="T11" i="2"/>
  <c r="S11" i="2"/>
  <c r="R11" i="2"/>
  <c r="Q11" i="2"/>
  <c r="N11" i="2"/>
  <c r="O11" i="2" s="1"/>
  <c r="P11" i="2" s="1"/>
  <c r="V10" i="2"/>
  <c r="U10" i="2"/>
  <c r="T10" i="2"/>
  <c r="S10" i="2"/>
  <c r="R10" i="2"/>
  <c r="Q10" i="2" s="1"/>
  <c r="N10" i="2"/>
  <c r="O10" i="2" s="1"/>
  <c r="P10" i="2" s="1"/>
  <c r="V9" i="2"/>
  <c r="U9" i="2"/>
  <c r="T9" i="2"/>
  <c r="S9" i="2"/>
  <c r="R9" i="2"/>
  <c r="Q9" i="2"/>
  <c r="P9" i="2"/>
  <c r="O9" i="2"/>
  <c r="N9" i="2"/>
  <c r="V8" i="2"/>
  <c r="U8" i="2"/>
  <c r="T8" i="2"/>
  <c r="S8" i="2"/>
  <c r="R8" i="2"/>
  <c r="Q8" i="2" s="1"/>
  <c r="N8" i="2"/>
  <c r="O8" i="2" s="1"/>
  <c r="P8" i="2" s="1"/>
  <c r="V7" i="2"/>
  <c r="U7" i="2"/>
  <c r="T7" i="2"/>
  <c r="S7" i="2"/>
  <c r="R7" i="2"/>
  <c r="Q7" i="2" s="1"/>
  <c r="O7" i="2"/>
  <c r="P7" i="2" s="1"/>
  <c r="N7" i="2"/>
  <c r="V6" i="2"/>
  <c r="U6" i="2"/>
  <c r="T6" i="2"/>
  <c r="S6" i="2"/>
  <c r="R6" i="2"/>
  <c r="Q6" i="2" s="1"/>
  <c r="N6" i="2"/>
  <c r="O6" i="2" s="1"/>
  <c r="P6" i="2" s="1"/>
  <c r="V5" i="2"/>
  <c r="U5" i="2"/>
  <c r="T5" i="2"/>
  <c r="Q5" i="2" s="1"/>
  <c r="S5" i="2"/>
  <c r="R5" i="2"/>
  <c r="O5" i="2"/>
  <c r="P5" i="2" s="1"/>
  <c r="N5" i="2"/>
  <c r="V4" i="2"/>
  <c r="U4" i="2"/>
  <c r="T4" i="2"/>
  <c r="S4" i="2"/>
  <c r="R4" i="2"/>
  <c r="Q4" i="2" s="1"/>
  <c r="N4" i="2"/>
  <c r="O4" i="2" s="1"/>
  <c r="P4" i="2" s="1"/>
  <c r="V3" i="2"/>
  <c r="U3" i="2"/>
  <c r="T3" i="2"/>
  <c r="S3" i="2"/>
  <c r="Q3" i="2" s="1"/>
  <c r="R3" i="2"/>
  <c r="O3" i="2"/>
  <c r="P3" i="2" s="1"/>
  <c r="N3" i="2"/>
  <c r="V2" i="2"/>
  <c r="U2" i="2"/>
  <c r="T2" i="2"/>
  <c r="S2" i="2"/>
  <c r="R2" i="2"/>
  <c r="Q2" i="2"/>
  <c r="O2" i="2"/>
  <c r="P2" i="2" s="1"/>
  <c r="N2" i="2"/>
  <c r="D57" i="1"/>
  <c r="Z48" i="1"/>
  <c r="Y48" i="1"/>
  <c r="X48" i="1"/>
  <c r="W48" i="1"/>
  <c r="T48" i="1"/>
  <c r="S48" i="1"/>
  <c r="P48" i="1"/>
  <c r="Q48" i="1" s="1"/>
  <c r="R48" i="1" s="1"/>
  <c r="Z47" i="1"/>
  <c r="Y47" i="1"/>
  <c r="X47" i="1"/>
  <c r="W47" i="1"/>
  <c r="T47" i="1"/>
  <c r="S47" i="1"/>
  <c r="Q47" i="1"/>
  <c r="R47" i="1" s="1"/>
  <c r="P47" i="1"/>
  <c r="Z46" i="1"/>
  <c r="Y46" i="1"/>
  <c r="X46" i="1"/>
  <c r="W46" i="1"/>
  <c r="T46" i="1"/>
  <c r="S46" i="1"/>
  <c r="P46" i="1"/>
  <c r="Q46" i="1" s="1"/>
  <c r="R46" i="1" s="1"/>
  <c r="Z45" i="1"/>
  <c r="Y45" i="1"/>
  <c r="X45" i="1"/>
  <c r="U45" i="1"/>
  <c r="T45" i="1"/>
  <c r="S45" i="1"/>
  <c r="P45" i="1"/>
  <c r="Q45" i="1" s="1"/>
  <c r="R45" i="1" s="1"/>
  <c r="Z44" i="1"/>
  <c r="Y44" i="1"/>
  <c r="X44" i="1"/>
  <c r="V44" i="1"/>
  <c r="T44" i="1"/>
  <c r="S44" i="1"/>
  <c r="P44" i="1"/>
  <c r="Q44" i="1" s="1"/>
  <c r="R44" i="1" s="1"/>
  <c r="Z43" i="1"/>
  <c r="Y43" i="1"/>
  <c r="X43" i="1"/>
  <c r="U43" i="1"/>
  <c r="T43" i="1"/>
  <c r="S43" i="1"/>
  <c r="Q43" i="1"/>
  <c r="R43" i="1" s="1"/>
  <c r="P43" i="1"/>
  <c r="Z42" i="1"/>
  <c r="Y42" i="1"/>
  <c r="X42" i="1"/>
  <c r="V42" i="1"/>
  <c r="T42" i="1"/>
  <c r="S42" i="1"/>
  <c r="Q42" i="1"/>
  <c r="R42" i="1" s="1"/>
  <c r="P42" i="1"/>
  <c r="Z41" i="1"/>
  <c r="Y41" i="1"/>
  <c r="X41" i="1"/>
  <c r="W41" i="1"/>
  <c r="T41" i="1"/>
  <c r="S41" i="1"/>
  <c r="Q41" i="1"/>
  <c r="R41" i="1" s="1"/>
  <c r="P41" i="1"/>
  <c r="Z40" i="1"/>
  <c r="Y40" i="1"/>
  <c r="X40" i="1"/>
  <c r="U40" i="1"/>
  <c r="T40" i="1"/>
  <c r="S40" i="1"/>
  <c r="R40" i="1"/>
  <c r="Q40" i="1"/>
  <c r="Z39" i="1"/>
  <c r="Y39" i="1"/>
  <c r="X39" i="1"/>
  <c r="U39" i="1"/>
  <c r="T39" i="1"/>
  <c r="S39" i="1"/>
  <c r="P39" i="1"/>
  <c r="Q39" i="1" s="1"/>
  <c r="R39" i="1" s="1"/>
  <c r="Z38" i="1"/>
  <c r="Y38" i="1"/>
  <c r="X38" i="1"/>
  <c r="U38" i="1"/>
  <c r="T38" i="1"/>
  <c r="S38" i="1"/>
  <c r="Q38" i="1"/>
  <c r="R38" i="1" s="1"/>
  <c r="P38" i="1"/>
  <c r="Z37" i="1"/>
  <c r="Y37" i="1"/>
  <c r="X37" i="1"/>
  <c r="U37" i="1"/>
  <c r="T37" i="1"/>
  <c r="S37" i="1"/>
  <c r="P37" i="1"/>
  <c r="Q37" i="1" s="1"/>
  <c r="R37" i="1" s="1"/>
  <c r="Z36" i="1"/>
  <c r="Y36" i="1"/>
  <c r="X36" i="1"/>
  <c r="U36" i="1"/>
  <c r="T36" i="1"/>
  <c r="S36" i="1"/>
  <c r="P36" i="1"/>
  <c r="Q36" i="1" s="1"/>
  <c r="R36" i="1" s="1"/>
  <c r="Z35" i="1"/>
  <c r="Y35" i="1"/>
  <c r="X35" i="1"/>
  <c r="W35" i="1"/>
  <c r="T35" i="1"/>
  <c r="S35" i="1"/>
  <c r="P35" i="1"/>
  <c r="Q35" i="1" s="1"/>
  <c r="R35" i="1" s="1"/>
  <c r="Z34" i="1"/>
  <c r="Y34" i="1"/>
  <c r="X34" i="1"/>
  <c r="V34" i="1"/>
  <c r="T34" i="1"/>
  <c r="S34" i="1"/>
  <c r="P34" i="1"/>
  <c r="Q34" i="1" s="1"/>
  <c r="R34" i="1" s="1"/>
  <c r="Z33" i="1"/>
  <c r="Y33" i="1"/>
  <c r="X33" i="1"/>
  <c r="U33" i="1"/>
  <c r="T33" i="1"/>
  <c r="S33" i="1"/>
  <c r="Q33" i="1"/>
  <c r="R33" i="1" s="1"/>
  <c r="P33" i="1"/>
  <c r="Z32" i="1"/>
  <c r="Y32" i="1"/>
  <c r="X32" i="1"/>
  <c r="W32" i="1"/>
  <c r="T32" i="1"/>
  <c r="S32" i="1"/>
  <c r="Q32" i="1"/>
  <c r="R32" i="1" s="1"/>
  <c r="P32" i="1"/>
  <c r="Z31" i="1"/>
  <c r="Y31" i="1"/>
  <c r="X31" i="1"/>
  <c r="U31" i="1"/>
  <c r="T31" i="1"/>
  <c r="S31" i="1"/>
  <c r="P31" i="1"/>
  <c r="Q31" i="1" s="1"/>
  <c r="R31" i="1" s="1"/>
  <c r="Z30" i="1"/>
  <c r="Y30" i="1"/>
  <c r="X30" i="1"/>
  <c r="U30" i="1"/>
  <c r="T30" i="1"/>
  <c r="S30" i="1"/>
  <c r="Q30" i="1"/>
  <c r="R30" i="1" s="1"/>
  <c r="P30" i="1"/>
  <c r="Z29" i="1"/>
  <c r="Y29" i="1"/>
  <c r="X29" i="1"/>
  <c r="W29" i="1"/>
  <c r="T29" i="1"/>
  <c r="S29" i="1"/>
  <c r="P29" i="1"/>
  <c r="Q29" i="1" s="1"/>
  <c r="R29" i="1" s="1"/>
  <c r="Z28" i="1"/>
  <c r="Y28" i="1"/>
  <c r="X28" i="1"/>
  <c r="V28" i="1"/>
  <c r="T28" i="1"/>
  <c r="S28" i="1"/>
  <c r="P28" i="1"/>
  <c r="Q28" i="1" s="1"/>
  <c r="R28" i="1" s="1"/>
  <c r="Z27" i="1"/>
  <c r="Y27" i="1"/>
  <c r="X27" i="1"/>
  <c r="U27" i="1"/>
  <c r="T27" i="1"/>
  <c r="S27" i="1"/>
  <c r="P27" i="1"/>
  <c r="Q27" i="1" s="1"/>
  <c r="R27" i="1" s="1"/>
  <c r="Z26" i="1"/>
  <c r="Y26" i="1"/>
  <c r="X26" i="1"/>
  <c r="U26" i="1"/>
  <c r="T26" i="1"/>
  <c r="S26" i="1"/>
  <c r="P26" i="1"/>
  <c r="Q26" i="1" s="1"/>
  <c r="R26" i="1" s="1"/>
  <c r="Z25" i="1"/>
  <c r="Y25" i="1"/>
  <c r="X25" i="1"/>
  <c r="U25" i="1"/>
  <c r="T25" i="1"/>
  <c r="S25" i="1"/>
  <c r="P25" i="1"/>
  <c r="Q25" i="1" s="1"/>
  <c r="R25" i="1" s="1"/>
  <c r="Z24" i="1"/>
  <c r="Y24" i="1"/>
  <c r="X24" i="1"/>
  <c r="W24" i="1"/>
  <c r="T24" i="1"/>
  <c r="S24" i="1"/>
  <c r="R24" i="1"/>
  <c r="Q24" i="1"/>
  <c r="P24" i="1"/>
  <c r="Z23" i="1"/>
  <c r="Y23" i="1"/>
  <c r="X23" i="1"/>
  <c r="U23" i="1"/>
  <c r="T23" i="1"/>
  <c r="S23" i="1"/>
  <c r="P23" i="1"/>
  <c r="Q23" i="1" s="1"/>
  <c r="R23" i="1" s="1"/>
  <c r="Z22" i="1"/>
  <c r="Y22" i="1"/>
  <c r="X22" i="1"/>
  <c r="U22" i="1"/>
  <c r="T22" i="1"/>
  <c r="S22" i="1"/>
  <c r="Q22" i="1"/>
  <c r="R22" i="1" s="1"/>
  <c r="P22" i="1"/>
  <c r="Z21" i="1"/>
  <c r="Y21" i="1"/>
  <c r="X21" i="1"/>
  <c r="U21" i="1"/>
  <c r="T21" i="1"/>
  <c r="S21" i="1"/>
  <c r="P21" i="1"/>
  <c r="Q21" i="1" s="1"/>
  <c r="R21" i="1" s="1"/>
  <c r="Z20" i="1"/>
  <c r="Y20" i="1"/>
  <c r="X20" i="1"/>
  <c r="U20" i="1"/>
  <c r="T20" i="1"/>
  <c r="S20" i="1"/>
  <c r="P20" i="1"/>
  <c r="Q20" i="1" s="1"/>
  <c r="R20" i="1" s="1"/>
  <c r="Z19" i="1"/>
  <c r="Y19" i="1"/>
  <c r="X19" i="1"/>
  <c r="U19" i="1"/>
  <c r="T19" i="1"/>
  <c r="S19" i="1"/>
  <c r="P19" i="1"/>
  <c r="Q19" i="1" s="1"/>
  <c r="R19" i="1" s="1"/>
  <c r="Z18" i="1"/>
  <c r="Y18" i="1"/>
  <c r="X18" i="1"/>
  <c r="V18" i="1"/>
  <c r="T18" i="1"/>
  <c r="S18" i="1"/>
  <c r="P18" i="1"/>
  <c r="Q18" i="1" s="1"/>
  <c r="R18" i="1" s="1"/>
  <c r="Z17" i="1"/>
  <c r="Y17" i="1"/>
  <c r="X17" i="1"/>
  <c r="U17" i="1"/>
  <c r="T17" i="1"/>
  <c r="S17" i="1"/>
  <c r="Q17" i="1"/>
  <c r="R17" i="1" s="1"/>
  <c r="P17" i="1"/>
  <c r="Z16" i="1"/>
  <c r="Y16" i="1"/>
  <c r="X16" i="1"/>
  <c r="U16" i="1"/>
  <c r="T16" i="1"/>
  <c r="S16" i="1"/>
  <c r="Q16" i="1"/>
  <c r="R16" i="1" s="1"/>
  <c r="P16" i="1"/>
  <c r="Z15" i="1"/>
  <c r="Y15" i="1"/>
  <c r="X15" i="1"/>
  <c r="U15" i="1"/>
  <c r="T15" i="1"/>
  <c r="S15" i="1"/>
  <c r="P15" i="1"/>
  <c r="Q15" i="1" s="1"/>
  <c r="R15" i="1" s="1"/>
  <c r="Z14" i="1"/>
  <c r="Y14" i="1"/>
  <c r="X14" i="1"/>
  <c r="U14" i="1"/>
  <c r="T14" i="1"/>
  <c r="S14" i="1"/>
  <c r="Q14" i="1"/>
  <c r="R14" i="1" s="1"/>
  <c r="P14" i="1"/>
  <c r="Z13" i="1"/>
  <c r="Y13" i="1"/>
  <c r="X13" i="1"/>
  <c r="U13" i="1"/>
  <c r="T13" i="1"/>
  <c r="S13" i="1"/>
  <c r="P13" i="1"/>
  <c r="Q13" i="1" s="1"/>
  <c r="R13" i="1" s="1"/>
  <c r="Z12" i="1"/>
  <c r="Y12" i="1"/>
  <c r="X12" i="1"/>
  <c r="U12" i="1"/>
  <c r="T12" i="1"/>
  <c r="S12" i="1"/>
  <c r="P12" i="1"/>
  <c r="Q12" i="1" s="1"/>
  <c r="R12" i="1" s="1"/>
  <c r="Z11" i="1"/>
  <c r="Y11" i="1"/>
  <c r="X11" i="1"/>
  <c r="U11" i="1"/>
  <c r="T11" i="1"/>
  <c r="S11" i="1"/>
  <c r="R11" i="1"/>
  <c r="Q11" i="1"/>
  <c r="P11" i="1"/>
  <c r="Z10" i="1"/>
  <c r="Y10" i="1"/>
  <c r="X10" i="1"/>
  <c r="U10" i="1"/>
  <c r="T10" i="1"/>
  <c r="S10" i="1"/>
  <c r="P10" i="1"/>
  <c r="Q10" i="1" s="1"/>
  <c r="R10" i="1" s="1"/>
  <c r="Z9" i="1"/>
  <c r="Y9" i="1"/>
  <c r="X9" i="1"/>
  <c r="U9" i="1"/>
  <c r="T9" i="1"/>
  <c r="S9" i="1"/>
  <c r="P9" i="1"/>
  <c r="Q9" i="1" s="1"/>
  <c r="R9" i="1" s="1"/>
  <c r="Z8" i="1"/>
  <c r="Y8" i="1"/>
  <c r="X8" i="1"/>
  <c r="U8" i="1"/>
  <c r="T8" i="1"/>
  <c r="S8" i="1"/>
  <c r="P8" i="1"/>
  <c r="Q8" i="1" s="1"/>
  <c r="R8" i="1" s="1"/>
  <c r="Z7" i="1"/>
  <c r="Y7" i="1"/>
  <c r="X7" i="1"/>
  <c r="U7" i="1"/>
  <c r="T7" i="1"/>
  <c r="S7" i="1"/>
  <c r="P7" i="1"/>
  <c r="Q7" i="1" s="1"/>
  <c r="R7" i="1" s="1"/>
  <c r="Z6" i="1"/>
  <c r="Y6" i="1"/>
  <c r="X6" i="1"/>
  <c r="V6" i="1"/>
  <c r="T6" i="1"/>
  <c r="S6" i="1"/>
  <c r="Q6" i="1"/>
  <c r="R6" i="1" s="1"/>
  <c r="P6" i="1"/>
  <c r="Z5" i="1"/>
  <c r="Y5" i="1"/>
  <c r="X5" i="1"/>
  <c r="U5" i="1"/>
  <c r="T5" i="1"/>
  <c r="S5" i="1"/>
  <c r="P5" i="1"/>
  <c r="Q5" i="1" s="1"/>
  <c r="R5" i="1" s="1"/>
  <c r="Z4" i="1"/>
  <c r="Y4" i="1"/>
  <c r="X4" i="1"/>
  <c r="U4" i="1"/>
  <c r="T4" i="1"/>
  <c r="S4" i="1"/>
  <c r="Q4" i="1"/>
  <c r="R4" i="1" s="1"/>
  <c r="P4" i="1"/>
  <c r="Z3" i="1"/>
  <c r="Y3" i="1"/>
  <c r="X3" i="1"/>
  <c r="V3" i="1"/>
  <c r="T3" i="1"/>
  <c r="S3" i="1"/>
  <c r="P3" i="1"/>
  <c r="Q3" i="1" s="1"/>
  <c r="R3" i="1" s="1"/>
  <c r="Z2" i="1"/>
  <c r="Y2" i="1"/>
  <c r="X2" i="1"/>
  <c r="U2" i="1"/>
  <c r="T2" i="1"/>
  <c r="S2" i="1"/>
  <c r="P2" i="1"/>
  <c r="Q2" i="1" s="1"/>
  <c r="R2" i="1" s="1"/>
</calcChain>
</file>

<file path=xl/sharedStrings.xml><?xml version="1.0" encoding="utf-8"?>
<sst xmlns="http://schemas.openxmlformats.org/spreadsheetml/2006/main" count="1274" uniqueCount="930">
  <si>
    <t>s.no</t>
  </si>
  <si>
    <t>Enrollment No.</t>
  </si>
  <si>
    <t>Name</t>
  </si>
  <si>
    <t>Father Name</t>
  </si>
  <si>
    <t>Mother Name</t>
  </si>
  <si>
    <t>DOB</t>
  </si>
  <si>
    <t>Gender</t>
  </si>
  <si>
    <t>English       80</t>
  </si>
  <si>
    <t>Hindi   80</t>
  </si>
  <si>
    <t>Sanskrit 80</t>
  </si>
  <si>
    <t>French   80</t>
  </si>
  <si>
    <t>Maths  80</t>
  </si>
  <si>
    <t>Science   80</t>
  </si>
  <si>
    <t>Social Science  80</t>
  </si>
  <si>
    <t>IT Th  50</t>
  </si>
  <si>
    <t>Grand Total</t>
  </si>
  <si>
    <t>% in IX</t>
  </si>
  <si>
    <t>% in IX+30</t>
  </si>
  <si>
    <t>ENG 100 IX</t>
  </si>
  <si>
    <t>English      +30</t>
  </si>
  <si>
    <t>Hindi +  30</t>
  </si>
  <si>
    <t>Sanskrit + 30</t>
  </si>
  <si>
    <t>French +  30</t>
  </si>
  <si>
    <t>Maths + 30</t>
  </si>
  <si>
    <t>Science  + 30</t>
  </si>
  <si>
    <t>Social Science  +  30</t>
  </si>
  <si>
    <t>2013-2014/0705</t>
  </si>
  <si>
    <t>AADISHWAR PAREEK</t>
  </si>
  <si>
    <t>MR. ASHISH PAREEK</t>
  </si>
  <si>
    <t>MS. CHANDA PAREEK</t>
  </si>
  <si>
    <t>MALE</t>
  </si>
  <si>
    <t>2023-2024/0313</t>
  </si>
  <si>
    <t>AARAV TRIVEDI</t>
  </si>
  <si>
    <t>MR SUNIL KUMAR TRIVEDI</t>
  </si>
  <si>
    <t>MS SANTOSH TRIVEDI</t>
  </si>
  <si>
    <t>2014-2015/0148</t>
  </si>
  <si>
    <t>AASHI KHANDELWAL</t>
  </si>
  <si>
    <t>MR. KAILASH CHAND KAYAL</t>
  </si>
  <si>
    <t>MS. SANTOSH KAYAL</t>
  </si>
  <si>
    <t>FEMALE</t>
  </si>
  <si>
    <t>2016-2017/0283</t>
  </si>
  <si>
    <t>AASTHA JAIN</t>
  </si>
  <si>
    <t>MR VIJAY THOLIA</t>
  </si>
  <si>
    <t>MS ABHILASHA JAIN</t>
  </si>
  <si>
    <t>2016-2017/0270</t>
  </si>
  <si>
    <t>AMARJOT SINGH</t>
  </si>
  <si>
    <t>MR JITENDER SINGH</t>
  </si>
  <si>
    <t>MS SIMRAN KAUR</t>
  </si>
  <si>
    <t>2019-2020/0040</t>
  </si>
  <si>
    <t>ANANYA BANSAL</t>
  </si>
  <si>
    <t>MR KRISHAN KUMAR BANSAL</t>
  </si>
  <si>
    <t>MS MANJU GUPTA</t>
  </si>
  <si>
    <t>2016-2017/0175</t>
  </si>
  <si>
    <t>ARADHYA MAHIPAL</t>
  </si>
  <si>
    <t>MR AMIT MAHIPAL</t>
  </si>
  <si>
    <t>MS NISHA MAHIPAL</t>
  </si>
  <si>
    <t>2023-2024/0145</t>
  </si>
  <si>
    <t>ARNAV GUPTA</t>
  </si>
  <si>
    <t>MR AMIT KUMAR GUPTA</t>
  </si>
  <si>
    <t>MS NEELAM GUPTA</t>
  </si>
  <si>
    <t>2022-2023/0094</t>
  </si>
  <si>
    <t>ARNAV JAIN</t>
  </si>
  <si>
    <t>MR G.C JAIN</t>
  </si>
  <si>
    <t>MS SARITA JAIN</t>
  </si>
  <si>
    <t>2016-2017/0092</t>
  </si>
  <si>
    <t>ARNAV SINGH</t>
  </si>
  <si>
    <t>MR KAMAL SINGH</t>
  </si>
  <si>
    <t>MS SHARDA KANWAR</t>
  </si>
  <si>
    <t>2019-2020/0104</t>
  </si>
  <si>
    <t>ATIKSH UPADHYAY</t>
  </si>
  <si>
    <t>MR PIYUSH UPADHYAY</t>
  </si>
  <si>
    <t>MS VANDANA SHARMA</t>
  </si>
  <si>
    <t>2013-2014/0237</t>
  </si>
  <si>
    <t>CHARITRA PANDEY</t>
  </si>
  <si>
    <t>MR. MANOJ PANDEY</t>
  </si>
  <si>
    <t>MS.SHIVKANTA PANDEY</t>
  </si>
  <si>
    <t>2014-2015/0037</t>
  </si>
  <si>
    <t>DAKSH JAIN</t>
  </si>
  <si>
    <t>MR. VIMAL JAIN</t>
  </si>
  <si>
    <t>MS. ARUNA JAIN</t>
  </si>
  <si>
    <t>2012-2013/0117</t>
  </si>
  <si>
    <t>GUNJAN SHARMA</t>
  </si>
  <si>
    <t>MR ROHIT SHARMA</t>
  </si>
  <si>
    <t>MS POOJA SHARMA</t>
  </si>
  <si>
    <t>2014-2015/0152</t>
  </si>
  <si>
    <t>JAIVEER SINGH CHAUHAN</t>
  </si>
  <si>
    <t>MR. RAJENDER SINGH CHAUHAN</t>
  </si>
  <si>
    <t>PARVEEN CHAUHAN</t>
  </si>
  <si>
    <t>2013-2014/0469</t>
  </si>
  <si>
    <t>JANSHRUT BHATT</t>
  </si>
  <si>
    <t>MR.ROHIT BHATT</t>
  </si>
  <si>
    <t>MS SHUBHKAMNA BHATT</t>
  </si>
  <si>
    <t>2022-2023/0247</t>
  </si>
  <si>
    <t>JENISHA AGRAWAL</t>
  </si>
  <si>
    <t>MR AMIT KUMAR GARG</t>
  </si>
  <si>
    <t>MS ANSUIYA GARG</t>
  </si>
  <si>
    <t>2015-2016/0277</t>
  </si>
  <si>
    <t>KASHVI SAMBHAV</t>
  </si>
  <si>
    <t>MR ASHWANI KUMAR</t>
  </si>
  <si>
    <t>MS. NEHA  YADAV</t>
  </si>
  <si>
    <t>2022-2023/0296</t>
  </si>
  <si>
    <t>KAVYA JAIN</t>
  </si>
  <si>
    <t>MR PANKAJ JAIN</t>
  </si>
  <si>
    <t>MS MEENAKSHI JAIN</t>
  </si>
  <si>
    <t>2014-2015/0302</t>
  </si>
  <si>
    <t>KSHITIZ SHARMA</t>
  </si>
  <si>
    <t>MR. VIJAY KUMAR SHARMA</t>
  </si>
  <si>
    <t>MS. LEENA SHARMA</t>
  </si>
  <si>
    <t>2014-2015/0377</t>
  </si>
  <si>
    <t>LAKSHMI TRIPATHI</t>
  </si>
  <si>
    <t>MR. DILIP KUMAR TRIPATHI</t>
  </si>
  <si>
    <t>MS. SANGEETA TRIPATHI</t>
  </si>
  <si>
    <t>2014-2015/0141</t>
  </si>
  <si>
    <t>MANAS PALIWAL</t>
  </si>
  <si>
    <t>ASHISH KUMAR PALIWAL</t>
  </si>
  <si>
    <t>MS DEEPTI PALIWAL</t>
  </si>
  <si>
    <t>2022-2023/0256</t>
  </si>
  <si>
    <t>MANASVI JAIN</t>
  </si>
  <si>
    <t>MR AMIT JAIN</t>
  </si>
  <si>
    <t>MS PRIYA JAIN</t>
  </si>
  <si>
    <t>2021-2022/0196</t>
  </si>
  <si>
    <t>MEHUL SAINI</t>
  </si>
  <si>
    <t>MR LAXMI KANT SAINI</t>
  </si>
  <si>
    <t>MS HEMA SAINI</t>
  </si>
  <si>
    <t>2014-2015/0134</t>
  </si>
  <si>
    <t>NIKHIL KHEMCHANDANI</t>
  </si>
  <si>
    <t>MR. PANKAJ KHEMCHANDANI</t>
  </si>
  <si>
    <t>MS BHAWNA KHEMCHANDANI</t>
  </si>
  <si>
    <t>2016-2017/0247</t>
  </si>
  <si>
    <t>NISHANK GUPTA</t>
  </si>
  <si>
    <t>MR MANOJ GUPTA</t>
  </si>
  <si>
    <t>MS MEENAKSHI</t>
  </si>
  <si>
    <t>2018-2019/0266</t>
  </si>
  <si>
    <t>PARTH AGARWAL</t>
  </si>
  <si>
    <t>MR BRIJESH KUMAR GARG</t>
  </si>
  <si>
    <t>MS PREETI GUPTA</t>
  </si>
  <si>
    <t>2016-2017/0073</t>
  </si>
  <si>
    <t>PRANAY AGARWAL</t>
  </si>
  <si>
    <t>MR SHYAM AGARWAL</t>
  </si>
  <si>
    <t>MS ANURADHA AGARWAL</t>
  </si>
  <si>
    <t>2022-2023/0400</t>
  </si>
  <si>
    <t>RAAVI RAJPAL</t>
  </si>
  <si>
    <t>MR HARISH KUMAR RAJPAL</t>
  </si>
  <si>
    <t>MS NAMITA RAJPAL</t>
  </si>
  <si>
    <t>2015-2016/0220</t>
  </si>
  <si>
    <t>RIDIMA AJMERA</t>
  </si>
  <si>
    <t>MR DEEPAK AJMERA</t>
  </si>
  <si>
    <t>MS. KANCHAN AJMERA</t>
  </si>
  <si>
    <t>2023-2024/0019</t>
  </si>
  <si>
    <t>RANYA  JAIN</t>
  </si>
  <si>
    <t>MR NEERAJ JAIN</t>
  </si>
  <si>
    <t>MS JUHI MITTAL</t>
  </si>
  <si>
    <t>2023-2024/0273</t>
  </si>
  <si>
    <t>PRATHMESH JAIMAN</t>
  </si>
  <si>
    <t>MR PRASHANT KUMAR JAIMAN</t>
  </si>
  <si>
    <t>MS VANDANA JAIMAN</t>
  </si>
  <si>
    <t>2013-2014/0689</t>
  </si>
  <si>
    <t>ROHIT  KUMAWAT</t>
  </si>
  <si>
    <t>MR. DURGA LAL KUMAWAT</t>
  </si>
  <si>
    <t>MS. MEERA DEVI</t>
  </si>
  <si>
    <t>2015-2016/0209</t>
  </si>
  <si>
    <t>RUDDRANSH  SAINI</t>
  </si>
  <si>
    <t>MR. AMIT KUMAR</t>
  </si>
  <si>
    <t>MS. SAPNA RANI</t>
  </si>
  <si>
    <t>2014-2015/0244</t>
  </si>
  <si>
    <t>SATWIK GUPTA</t>
  </si>
  <si>
    <t>MR. RAKESH KHANDELWAL</t>
  </si>
  <si>
    <t>MS. REENA KHANDELWAL</t>
  </si>
  <si>
    <t>2012-2013/0581</t>
  </si>
  <si>
    <t>SHATAKSHI AUDICHYA</t>
  </si>
  <si>
    <t xml:space="preserve"> MR. VIKAS AUDICHYA</t>
  </si>
  <si>
    <t>MS.SHWETA AUDICHYA</t>
  </si>
  <si>
    <t>2015-2016/0072</t>
  </si>
  <si>
    <t>SHAURYA GUPTA</t>
  </si>
  <si>
    <t>MR RAVI GUPTA</t>
  </si>
  <si>
    <t>MRS PRIYANKA KHANDELWAL</t>
  </si>
  <si>
    <t>2020-2021/0169</t>
  </si>
  <si>
    <t>SHAURYA PAREEK</t>
  </si>
  <si>
    <t>MR SHARAD PAREEK</t>
  </si>
  <si>
    <t>MS RASHMI PAREEK</t>
  </si>
  <si>
    <t>2013-2014/0319</t>
  </si>
  <si>
    <t>SHREYA SRIVASTAVA</t>
  </si>
  <si>
    <t>MR. MANISH KUMAR SRIVASTAVA</t>
  </si>
  <si>
    <t>MS. RASHI SRIVASTAVA</t>
  </si>
  <si>
    <t>2022-2023/0399</t>
  </si>
  <si>
    <t>SOMYA SINGH GURJAR</t>
  </si>
  <si>
    <t>MR PAWAN KUMAR GURJAR</t>
  </si>
  <si>
    <t>MS CHETNA GURJAR</t>
  </si>
  <si>
    <t>2014-2015/0011</t>
  </si>
  <si>
    <t>UTKARSH AGARWAL</t>
  </si>
  <si>
    <t>MR. SAPAN AGARWAL</t>
  </si>
  <si>
    <t>MS. ANJALI AGARWAL</t>
  </si>
  <si>
    <t>2014-2015/0127</t>
  </si>
  <si>
    <t>VANSHIKA NIHALCHANDANI</t>
  </si>
  <si>
    <t>MR. VIJAY NIHALCHANDANI</t>
  </si>
  <si>
    <t>MS. NAMARTA NIHALCHANDANI</t>
  </si>
  <si>
    <t>2014-2015/0230</t>
  </si>
  <si>
    <t>VARNIT JAIN</t>
  </si>
  <si>
    <t>MR. RAJESH JAIN</t>
  </si>
  <si>
    <t>MS. RENU JAIN</t>
  </si>
  <si>
    <t>2015-2016/0089</t>
  </si>
  <si>
    <t>VATSAL DUSAD</t>
  </si>
  <si>
    <t>MR AMIT DUSAD</t>
  </si>
  <si>
    <t>MRS POONAM DUSAD</t>
  </si>
  <si>
    <t>2022-2023/0270</t>
  </si>
  <si>
    <t>VIDIT SHRIMAL</t>
  </si>
  <si>
    <t>MR VIJAY SHRIMAL</t>
  </si>
  <si>
    <t>MS PRIYANKA SHRIMAL</t>
  </si>
  <si>
    <t>2014-2015/0036</t>
  </si>
  <si>
    <t>VIDUSHI BHARDWAJ</t>
  </si>
  <si>
    <t>MR. KAMAL KISHORE BHARDWAJ</t>
  </si>
  <si>
    <t>MS. REENA PATEL</t>
  </si>
  <si>
    <t>2012-2013/0202</t>
  </si>
  <si>
    <t>YUVIKA JAIN</t>
  </si>
  <si>
    <t>MR RAKESH JAIN</t>
  </si>
  <si>
    <t>MS SANGEETA JAIN</t>
  </si>
  <si>
    <t>95-100</t>
  </si>
  <si>
    <t>90-94</t>
  </si>
  <si>
    <t>80-89</t>
  </si>
  <si>
    <t>60-79</t>
  </si>
  <si>
    <t>50-59</t>
  </si>
  <si>
    <t>below 50</t>
  </si>
  <si>
    <t>Sr. No.</t>
  </si>
  <si>
    <t>RSTUV total</t>
  </si>
  <si>
    <t>English  +30</t>
  </si>
  <si>
    <t>Sanskrit +30</t>
  </si>
  <si>
    <t>Science +   30</t>
  </si>
  <si>
    <t>Social Science  + 30</t>
  </si>
  <si>
    <t>2015-2016/0170</t>
  </si>
  <si>
    <t>AARAV  JAIN</t>
  </si>
  <si>
    <t>MR AMIT KUMAR JAIN</t>
  </si>
  <si>
    <t>2016-2017/0016</t>
  </si>
  <si>
    <t>AAYUSHMAAN SAINI</t>
  </si>
  <si>
    <t>MR RAJESH SAINI</t>
  </si>
  <si>
    <t>2015-2016/0221</t>
  </si>
  <si>
    <t>ADITYA SHARMA</t>
  </si>
  <si>
    <t>MR. VISHNU PRASAD SHARMA</t>
  </si>
  <si>
    <t>2015-2016/0056</t>
  </si>
  <si>
    <t>ANSHUMAN  JINDAL</t>
  </si>
  <si>
    <t>DR. SUNIL KUMAR JINDAL</t>
  </si>
  <si>
    <t>2023-2024/0316</t>
  </si>
  <si>
    <t>ANUSHKA DUBEY</t>
  </si>
  <si>
    <t>MR DILIP KUMAR</t>
  </si>
  <si>
    <t>2018-2019/0071</t>
  </si>
  <si>
    <t>ARNAV KHANDELWAL</t>
  </si>
  <si>
    <t>MR SURYA KANT GUPTA</t>
  </si>
  <si>
    <t>2016-2017/0289</t>
  </si>
  <si>
    <t>ARSH JAIN</t>
  </si>
  <si>
    <t>MR ARUN KUMAR JAIN</t>
  </si>
  <si>
    <t>2015-2016/0064</t>
  </si>
  <si>
    <t>AVIKA KUMAWAT</t>
  </si>
  <si>
    <t>MR RAVI KUMAR KUMAWAT</t>
  </si>
  <si>
    <t>2021-2022/0171</t>
  </si>
  <si>
    <t>DAKSH GARG</t>
  </si>
  <si>
    <t>MR VINOD KUMAR GUPTA</t>
  </si>
  <si>
    <t>2015-2016/0284</t>
  </si>
  <si>
    <t>DEVANG BANSAL</t>
  </si>
  <si>
    <t>MR. HITESH BANSAL</t>
  </si>
  <si>
    <t>2014-2015/0328</t>
  </si>
  <si>
    <t>G. S. DEEKSHITHAA</t>
  </si>
  <si>
    <t>MR. R. GOPINATHAN</t>
  </si>
  <si>
    <t>2013-2014/0602</t>
  </si>
  <si>
    <t>HARSH LALWANI</t>
  </si>
  <si>
    <t>MR.MUKESH LALWANI</t>
  </si>
  <si>
    <t>2023-2024/0284</t>
  </si>
  <si>
    <t>HARSHIKA .</t>
  </si>
  <si>
    <t>MR RAKESH KUMAR MEENA</t>
  </si>
  <si>
    <t>2014-2015/0247</t>
  </si>
  <si>
    <t>HEMANG MEWAL</t>
  </si>
  <si>
    <t>MR. MOHAN LAL MEENA</t>
  </si>
  <si>
    <t>2014-2015/0022</t>
  </si>
  <si>
    <t>HIRANYANKSHI VERMA</t>
  </si>
  <si>
    <t>MR HEMANT KUMAR VERMA</t>
  </si>
  <si>
    <t>2014-2015/0229</t>
  </si>
  <si>
    <t>ISHIKA KUMAWAT</t>
  </si>
  <si>
    <t>MR. RAJENDRA KUMAWAT</t>
  </si>
  <si>
    <t>2013-2014/0340</t>
  </si>
  <si>
    <t>JHANVI KHANNA</t>
  </si>
  <si>
    <t>MR.KUNAL KHANNA</t>
  </si>
  <si>
    <t>2014-2015/0331</t>
  </si>
  <si>
    <t>KANAK BHAGTANI</t>
  </si>
  <si>
    <t>2015-2016/0101</t>
  </si>
  <si>
    <t>KANISHKA SHARMA</t>
  </si>
  <si>
    <t>MR. SANDEEP KUMAR SHARMA</t>
  </si>
  <si>
    <t>2017-2018/0251</t>
  </si>
  <si>
    <t>KAVYA KUMAWAT</t>
  </si>
  <si>
    <t>MR OMPRAKASH KUMAWAT</t>
  </si>
  <si>
    <t>2021-2022/0106</t>
  </si>
  <si>
    <t>KRISHNAPRIYA PUNJABI</t>
  </si>
  <si>
    <t>MAHESH KUMAR PUNJABI</t>
  </si>
  <si>
    <t>2013-2014/0241</t>
  </si>
  <si>
    <t>MANAN BINDAL</t>
  </si>
  <si>
    <t>MR.SUNIL KUMAR BINDAL</t>
  </si>
  <si>
    <t>2023-2024/0169</t>
  </si>
  <si>
    <t>MOHITA HARIRAMANI</t>
  </si>
  <si>
    <t>MR SURESH HARIRAMANI</t>
  </si>
  <si>
    <t>2017-2018/0100</t>
  </si>
  <si>
    <t>MRIDUL JOSHI</t>
  </si>
  <si>
    <t>MR RAJESH SHARMA</t>
  </si>
  <si>
    <t>2013-2014/0068</t>
  </si>
  <si>
    <t>MUSKAN MADNANI</t>
  </si>
  <si>
    <t>MR RAJESH MADNANI</t>
  </si>
  <si>
    <t>2023-2024/0241</t>
  </si>
  <si>
    <t>NAMAN SHARMA</t>
  </si>
  <si>
    <t>MR JAYDEEP KUMAR SHARMA</t>
  </si>
  <si>
    <t>2015-2016/0066</t>
  </si>
  <si>
    <t>NAVYA JAIN</t>
  </si>
  <si>
    <t>MR RAJ KUMAR JAIN</t>
  </si>
  <si>
    <t>2015-2016/0293</t>
  </si>
  <si>
    <t>NIPUN SHARMA</t>
  </si>
  <si>
    <t>MR. SATISH SHARMA</t>
  </si>
  <si>
    <t>2023-2024/0116</t>
  </si>
  <si>
    <t>NISCHAY MANGAL</t>
  </si>
  <si>
    <t>MR RAKESH KUMAR GUPTA</t>
  </si>
  <si>
    <t>2021-2022/0199</t>
  </si>
  <si>
    <t>PARTH SHARMA</t>
  </si>
  <si>
    <t>MR JITENDRA SHARMA</t>
  </si>
  <si>
    <t>2013-2014/0407</t>
  </si>
  <si>
    <t>PRANJAL TYAGI</t>
  </si>
  <si>
    <t>MR.RAJKUMAR TYAGI</t>
  </si>
  <si>
    <t>2014-2015/0156</t>
  </si>
  <si>
    <t>PREM PERWANI</t>
  </si>
  <si>
    <t>MR. MUKESH PERWANI</t>
  </si>
  <si>
    <t>2012-2013/0286</t>
  </si>
  <si>
    <t>RACHIT JAIN</t>
  </si>
  <si>
    <t>MR JINENDRA KUMAR JAIN</t>
  </si>
  <si>
    <t>2014-2015/0538</t>
  </si>
  <si>
    <t>RANDHEER VIKRAM SINGH RATHORE</t>
  </si>
  <si>
    <t>MR VIRENDER SINGH</t>
  </si>
  <si>
    <t>2022-2023/0239</t>
  </si>
  <si>
    <t>RICHA AGARWAL</t>
  </si>
  <si>
    <t>MR OM PRAKASH GUPTA</t>
  </si>
  <si>
    <t>2021-2022/0198</t>
  </si>
  <si>
    <t>RUDRA PAREEK</t>
  </si>
  <si>
    <t>MR PUSHPANDRA PAREEK</t>
  </si>
  <si>
    <t>2014-2015/0052</t>
  </si>
  <si>
    <t>SARTHAK BORA</t>
  </si>
  <si>
    <t>MR. BHUPENDRA SINGH BORA</t>
  </si>
  <si>
    <t>2014-2015/0049</t>
  </si>
  <si>
    <t>SAUMYA AGRAWAL</t>
  </si>
  <si>
    <t>MR. PANKAJ AGRAWAL</t>
  </si>
  <si>
    <t>2016-2017/0191</t>
  </si>
  <si>
    <t>SHORYA AGRAWAL</t>
  </si>
  <si>
    <t>MR PAWAN KUMAR GUPTA</t>
  </si>
  <si>
    <t>2018-2019/0172</t>
  </si>
  <si>
    <t>SHREEDHAR GUPTA</t>
  </si>
  <si>
    <t>MR PREETAM GUPTA</t>
  </si>
  <si>
    <t>2012-2013/0672</t>
  </si>
  <si>
    <t>SURAJ KUMAR SHARMA</t>
  </si>
  <si>
    <t>MR. BHUSHAN SHARMA</t>
  </si>
  <si>
    <t>2022-2023/0378</t>
  </si>
  <si>
    <t>TANISHKA SINGH TOMAR</t>
  </si>
  <si>
    <t>MR OMKAR SINGH TOMAR</t>
  </si>
  <si>
    <t>2015-2016/0210</t>
  </si>
  <si>
    <t>TANISHQ SHARMA</t>
  </si>
  <si>
    <t>MR. LALIT SHARMA</t>
  </si>
  <si>
    <t>2015-2016/0154</t>
  </si>
  <si>
    <t>TEJAS AGARWAL</t>
  </si>
  <si>
    <t>MR VIVEK AGARWAL</t>
  </si>
  <si>
    <t>2015-2016/0096</t>
  </si>
  <si>
    <t>VINAYAK PAREEK</t>
  </si>
  <si>
    <t>MR AVINASH PAREEK</t>
  </si>
  <si>
    <t>2015-2016/0225</t>
  </si>
  <si>
    <t>YAHVI SHARMA</t>
  </si>
  <si>
    <t>MR. NIKHILESH SHARMA</t>
  </si>
  <si>
    <t>2022-2023/0392</t>
  </si>
  <si>
    <t>YASHASHVI YADAV</t>
  </si>
  <si>
    <t>MR MANOJ KUMAR YADAV</t>
  </si>
  <si>
    <t>2018-2019/0309</t>
  </si>
  <si>
    <t>YASHVI KHANDELWAL</t>
  </si>
  <si>
    <t>MR ANOOP KHANDELWAL</t>
  </si>
  <si>
    <t>TUVWXYZ TOTAL</t>
  </si>
  <si>
    <t>2015-2016/0211</t>
  </si>
  <si>
    <t>KRISHIKA GUPTA</t>
  </si>
  <si>
    <t>MR. MOHIT GUPTA</t>
  </si>
  <si>
    <t>MRS TANU GUPTA</t>
  </si>
  <si>
    <t>2015-2016/0062</t>
  </si>
  <si>
    <t>NANDITA KANDOI</t>
  </si>
  <si>
    <t>MR.BHAGWATI PRASAD KANDOI</t>
  </si>
  <si>
    <t>MS.SUNITA RANI KANDOI</t>
  </si>
  <si>
    <t>2019-2020/0257</t>
  </si>
  <si>
    <t>MARGIE CHHIPA</t>
  </si>
  <si>
    <t>MR JITENDRA KUMAR CHHIPA</t>
  </si>
  <si>
    <t>MS SHWETA CHHIPA</t>
  </si>
  <si>
    <t>2023-2024/0349</t>
  </si>
  <si>
    <t>AARYA AGRAWAL</t>
  </si>
  <si>
    <t>MR YOGENDRA KUMAR AGRAWAL</t>
  </si>
  <si>
    <t>MS REKHA AGRAWAL</t>
  </si>
  <si>
    <t>2013-2014/0401</t>
  </si>
  <si>
    <t>PADMAJA SHUKLA</t>
  </si>
  <si>
    <t>MR SANJAY SHARMA</t>
  </si>
  <si>
    <t>MS SHALINI SHARMA</t>
  </si>
  <si>
    <t>2023-2024/0240</t>
  </si>
  <si>
    <t>ABHINAV GUPTA</t>
  </si>
  <si>
    <t>MR. MUKESH KUMAR KANTAK</t>
  </si>
  <si>
    <t>MS. RESHA GUPTA</t>
  </si>
  <si>
    <t>2014-2015/0025</t>
  </si>
  <si>
    <t>DEVANSH VISHNOI</t>
  </si>
  <si>
    <t>MR VIVEK VISHNOI</t>
  </si>
  <si>
    <t>MS RANI GUPTA</t>
  </si>
  <si>
    <t>2013-2014/0697</t>
  </si>
  <si>
    <t>PARTH BHARDWAJ</t>
  </si>
  <si>
    <t>MR NISHANT BHARDWAJ</t>
  </si>
  <si>
    <t>MS REKHA SHARMA</t>
  </si>
  <si>
    <t>2015-2016/0232</t>
  </si>
  <si>
    <t>NAITIK AGARWAL</t>
  </si>
  <si>
    <t>MR. KRISHAN KUMAR AGARWAL</t>
  </si>
  <si>
    <t>MS.ANITA AGARWAL</t>
  </si>
  <si>
    <t>2021-2022/0158</t>
  </si>
  <si>
    <t>HIYA AGARWAL</t>
  </si>
  <si>
    <t>MR NAVNEET AGARWAL</t>
  </si>
  <si>
    <t>MS ANUPMA AGARWAL</t>
  </si>
  <si>
    <t>2012-2013/0127</t>
  </si>
  <si>
    <t>MISHIKA JAIN</t>
  </si>
  <si>
    <t>MR LALIT KUMAR JAIN</t>
  </si>
  <si>
    <t>MS MALTI GARG</t>
  </si>
  <si>
    <t>2018-2019/0188</t>
  </si>
  <si>
    <t>HARSHIT GARG</t>
  </si>
  <si>
    <t>MR RANJEET KUMAR GARG</t>
  </si>
  <si>
    <t>MS SEEMA KUMARI AGRAWAL</t>
  </si>
  <si>
    <t>2015-2016/0017</t>
  </si>
  <si>
    <t>NANDINI SINGH</t>
  </si>
  <si>
    <t>MR DEVENDRA SINGH</t>
  </si>
  <si>
    <t>MS. KUSUM LATA SOLANKI</t>
  </si>
  <si>
    <t>2015-2016/0115</t>
  </si>
  <si>
    <t>ABHINAV KUMAR JHA</t>
  </si>
  <si>
    <t>MR KAMAL KUMAR JHA</t>
  </si>
  <si>
    <t>MS RASHMI JHA</t>
  </si>
  <si>
    <t>2023-2024/0302</t>
  </si>
  <si>
    <t>RAGHAV AKAR</t>
  </si>
  <si>
    <t>MR. GIRIRAJ AKAR</t>
  </si>
  <si>
    <t>MS. VINITA AKAR</t>
  </si>
  <si>
    <t>2017-2018/0371</t>
  </si>
  <si>
    <t>ARADHY SINGH</t>
  </si>
  <si>
    <t>MR PANKAJ KUMAR SINGH</t>
  </si>
  <si>
    <t>MS NEETU SINGH</t>
  </si>
  <si>
    <t>2023-2024/0171</t>
  </si>
  <si>
    <t>PARV JAIN</t>
  </si>
  <si>
    <t>MR JITENDRA JAIN</t>
  </si>
  <si>
    <t>MS RAKHI JAIN</t>
  </si>
  <si>
    <t>2014-2015/0123</t>
  </si>
  <si>
    <t>AARAV SAXENA</t>
  </si>
  <si>
    <t>MR VIVEK PRAKASH SAXENA</t>
  </si>
  <si>
    <t>MRS AASTHA SAXENA</t>
  </si>
  <si>
    <t>2015-2016/0068</t>
  </si>
  <si>
    <t>MIHIR MANGLANI</t>
  </si>
  <si>
    <t>MR HARISH MANGLANI</t>
  </si>
  <si>
    <t>MS NEELAM MANGLANI</t>
  </si>
  <si>
    <t>2013-2014/0323</t>
  </si>
  <si>
    <t>NAMAN AHUJA</t>
  </si>
  <si>
    <t>MR JAGDISH AHUJA</t>
  </si>
  <si>
    <t>MS DIYA AHUJA</t>
  </si>
  <si>
    <t>2016-2017/0189</t>
  </si>
  <si>
    <t>ISHITA CHHAWAL</t>
  </si>
  <si>
    <t>MR. SITA RAM MEENA</t>
  </si>
  <si>
    <t>MS. RASHMI MEENA</t>
  </si>
  <si>
    <t>2021-2022/0144</t>
  </si>
  <si>
    <t>KAVYA GUPTA</t>
  </si>
  <si>
    <t>MR. DILIP  KUMAR GUPTA</t>
  </si>
  <si>
    <t>MRS. ASHA AGRAWAL</t>
  </si>
  <si>
    <t>2019-2020/0292</t>
  </si>
  <si>
    <t>ANIKET SINGHAL</t>
  </si>
  <si>
    <t>MR KAILASH SINGHAL</t>
  </si>
  <si>
    <t>MS. RUCHI SINGHAL</t>
  </si>
  <si>
    <t>2020-2021/0105</t>
  </si>
  <si>
    <t>DAKSH CHOUDHARY</t>
  </si>
  <si>
    <t>MR VIJAY CHOUDHARY</t>
  </si>
  <si>
    <t>MS ALPA CHOUDHARY</t>
  </si>
  <si>
    <t>2014-2015/0019</t>
  </si>
  <si>
    <t>KRISH TIWARI</t>
  </si>
  <si>
    <t>MR.GYANENDRA TIWARI</t>
  </si>
  <si>
    <t>MS.SEEMA TIWARI</t>
  </si>
  <si>
    <t>2021-2022/0152</t>
  </si>
  <si>
    <t>GEET VASHISTHA</t>
  </si>
  <si>
    <t>MR JITENDRA KUMAR SHARMA</t>
  </si>
  <si>
    <t>MS POONAM SHARMA</t>
  </si>
  <si>
    <t>2012-2013/0392</t>
  </si>
  <si>
    <t>AARYAN BHANDARI</t>
  </si>
  <si>
    <t>MR AMIT BHANDARI</t>
  </si>
  <si>
    <t>MS SARITA BHANDARI</t>
  </si>
  <si>
    <t>2012-2013/0314</t>
  </si>
  <si>
    <t>KRITAGYA AGARWAL</t>
  </si>
  <si>
    <t>MR SANJAY AGARWAL</t>
  </si>
  <si>
    <t>MS SONAL AGARWAL</t>
  </si>
  <si>
    <t>2015-2016/0001</t>
  </si>
  <si>
    <t>MANAS MANGAL</t>
  </si>
  <si>
    <t>MR SAUNU MANGAL</t>
  </si>
  <si>
    <t>MS NEHA MANGAL</t>
  </si>
  <si>
    <t>2013-2014/0513</t>
  </si>
  <si>
    <t>ARYAN JAIN</t>
  </si>
  <si>
    <t>MR SHAILESH JAIN</t>
  </si>
  <si>
    <t>MS VIJAY SETHI</t>
  </si>
  <si>
    <t>2015-2016/0045</t>
  </si>
  <si>
    <t>ABHISHRI JAIN</t>
  </si>
  <si>
    <t>MR. ABHISHEK JAIN</t>
  </si>
  <si>
    <t>MS. ASHIMA JAIN</t>
  </si>
  <si>
    <t>2023-2024/0350</t>
  </si>
  <si>
    <t>KUNJAL .</t>
  </si>
  <si>
    <t>MR MANISH VERMA</t>
  </si>
  <si>
    <t>MS SURUCHI PIDIYAR</t>
  </si>
  <si>
    <t>2016-2017/0391</t>
  </si>
  <si>
    <t>BHAVYA AGRAWAL</t>
  </si>
  <si>
    <t>MR. VIKAS AGRAWAL</t>
  </si>
  <si>
    <t>MRS. NEHA AGRAWAL</t>
  </si>
  <si>
    <t>2022-2023/0176</t>
  </si>
  <si>
    <t>DIYA SHARMA</t>
  </si>
  <si>
    <t>MR ASHISH SHARMA</t>
  </si>
  <si>
    <t>MS. ARTI SHARMA</t>
  </si>
  <si>
    <t>2016-2017/0274</t>
  </si>
  <si>
    <t>CHITRANSH KUMAWAT</t>
  </si>
  <si>
    <t>MR JITENDRA KUMAWAT</t>
  </si>
  <si>
    <t>MS ANKITA KUMAWAT</t>
  </si>
  <si>
    <t>2023-2024/0040</t>
  </si>
  <si>
    <t>AADRIKA SHARMA</t>
  </si>
  <si>
    <t>MR JUGAL KISHORE SHARMA</t>
  </si>
  <si>
    <t>MS PUNAM SHARMA</t>
  </si>
  <si>
    <t>2017-2018/0197</t>
  </si>
  <si>
    <t>AYUSHMAN BHARDWAJ</t>
  </si>
  <si>
    <t>MR MAYANK BHARDWAJ</t>
  </si>
  <si>
    <t>MS RUBY BHARDWAJ</t>
  </si>
  <si>
    <t>2013-2014/0381</t>
  </si>
  <si>
    <t>NIKHIL LAMORIYA</t>
  </si>
  <si>
    <t>MR RAJESH KUMAR</t>
  </si>
  <si>
    <t>MS KAILASH</t>
  </si>
  <si>
    <t>2016-2017/0164</t>
  </si>
  <si>
    <t>NISHKARSH SACHDEV</t>
  </si>
  <si>
    <t>MR. JAY KUMAR SACHDEV</t>
  </si>
  <si>
    <t>MS. KANAK SACHDEV</t>
  </si>
  <si>
    <t>2014-2015/0392</t>
  </si>
  <si>
    <t>DHARIYA .</t>
  </si>
  <si>
    <t>MR. RAJENDRA SINGH</t>
  </si>
  <si>
    <t>MS. URMILA SINGH</t>
  </si>
  <si>
    <t>2013-2014/0154</t>
  </si>
  <si>
    <t>KASHWINI SHARMA</t>
  </si>
  <si>
    <t>MR DEEPAK SHARMA</t>
  </si>
  <si>
    <t>MS SEEMA SHARMA</t>
  </si>
  <si>
    <t>2023-2024/0348</t>
  </si>
  <si>
    <t>JASKIRAT SINGH CHAWLA</t>
  </si>
  <si>
    <t>MR SATPAL SINGH CHAWLA</t>
  </si>
  <si>
    <t>MS DARSHAN KAUR CHAWLA</t>
  </si>
  <si>
    <t>2013-2014/0131</t>
  </si>
  <si>
    <t>BHAVYA SRIVASTAVA</t>
  </si>
  <si>
    <t>MR VIJAY SRIVASTAVA</t>
  </si>
  <si>
    <t>MS SONIYA SRIVASTAVA</t>
  </si>
  <si>
    <t>2019-2020/0335</t>
  </si>
  <si>
    <t>DIYA JAIN</t>
  </si>
  <si>
    <t>MRS REENA JAIN</t>
  </si>
  <si>
    <t>2022-2023/0303</t>
  </si>
  <si>
    <t>ANGAD CHADHA</t>
  </si>
  <si>
    <t>MR.RAGHUVINDER CHADHA</t>
  </si>
  <si>
    <t>MS. HARMINDER KAUR</t>
  </si>
  <si>
    <t>2018-2019/0327</t>
  </si>
  <si>
    <t>ISHITA YADAV</t>
  </si>
  <si>
    <t>MR YASHWANT YADAV</t>
  </si>
  <si>
    <t>MS SUNITA YADAV</t>
  </si>
  <si>
    <t>2014-2015/0578</t>
  </si>
  <si>
    <t>ISHAAN MODI</t>
  </si>
  <si>
    <t>MR KAMAL KISHORE MODI</t>
  </si>
  <si>
    <t>MS POONAM MODI</t>
  </si>
  <si>
    <t>2015-2016/0051</t>
  </si>
  <si>
    <t>REETIKA SANTOSH RODE</t>
  </si>
  <si>
    <t>MR. RODE SANTOSH HARISCHANDRA</t>
  </si>
  <si>
    <t>MRS RODE MANMEET SANTOSH</t>
  </si>
  <si>
    <t>2014-2015/0040</t>
  </si>
  <si>
    <t>REHAN GAUTAM</t>
  </si>
  <si>
    <t>MR. MAYANK GAUTAM</t>
  </si>
  <si>
    <t>MA. URVASHI GAUTAM</t>
  </si>
  <si>
    <t>2017-2018/0104</t>
  </si>
  <si>
    <t>RISHI BANSAL</t>
  </si>
  <si>
    <t>MR LOKESH KUMAR BANSAL</t>
  </si>
  <si>
    <t>MS SUSHMA BANSAL</t>
  </si>
  <si>
    <t>2012-2013/0629</t>
  </si>
  <si>
    <t>SAANVI .</t>
  </si>
  <si>
    <t>MR KRISHAN KUMAR</t>
  </si>
  <si>
    <t>MS KAVITA</t>
  </si>
  <si>
    <t>2014-2015/0006</t>
  </si>
  <si>
    <t>SARANSH GAJWANI</t>
  </si>
  <si>
    <t>MR. LEELADHAR GAJWANI</t>
  </si>
  <si>
    <t>MS. SUNITA GAJWANI</t>
  </si>
  <si>
    <t>2016-2017/0159</t>
  </si>
  <si>
    <t>SARANSH VERMA</t>
  </si>
  <si>
    <t>MR SAMIR VERMA</t>
  </si>
  <si>
    <t>MS RUCHI KUMARI</t>
  </si>
  <si>
    <t>2023-2024/0259</t>
  </si>
  <si>
    <t>SHAURYA DHAMANIA</t>
  </si>
  <si>
    <t>MR SUNIL DHAMANIA</t>
  </si>
  <si>
    <t>MS KALPANA DHAMANIA</t>
  </si>
  <si>
    <t>2016-2017/0160</t>
  </si>
  <si>
    <t>SHIVISH VERMA</t>
  </si>
  <si>
    <t>MR SANDEEP VERMA</t>
  </si>
  <si>
    <t>MS RUCHI VERMA</t>
  </si>
  <si>
    <t>2020-2021/0074</t>
  </si>
  <si>
    <t>VAIBHAV RAI</t>
  </si>
  <si>
    <t>MR MANISH KUMAR</t>
  </si>
  <si>
    <t>MS SARITA KUMARI</t>
  </si>
  <si>
    <t>English    + 30</t>
  </si>
  <si>
    <t>Hindi  + 30</t>
  </si>
  <si>
    <t>Science +  30</t>
  </si>
  <si>
    <t>Social Science + 30</t>
  </si>
  <si>
    <t>2011-2012/0248</t>
  </si>
  <si>
    <t>AARAV AGARWAL</t>
  </si>
  <si>
    <t>MR SURESH AGARWAL</t>
  </si>
  <si>
    <t>MS ANJU AGARWAL</t>
  </si>
  <si>
    <t>2014-2015/0002</t>
  </si>
  <si>
    <t>AARAV GODHA</t>
  </si>
  <si>
    <t>MR. MANISH GODHA</t>
  </si>
  <si>
    <t>MS. NIDHI GODHA</t>
  </si>
  <si>
    <t>2022-2023/0295</t>
  </si>
  <si>
    <t>AAROHI GOSWAMI</t>
  </si>
  <si>
    <t>MR SANSKAR GOSWAMI</t>
  </si>
  <si>
    <t>MS MEGHA GOSWAMI</t>
  </si>
  <si>
    <t>2014-2015/0224</t>
  </si>
  <si>
    <t>AARYANSHI GAUTAM</t>
  </si>
  <si>
    <t>MR. MANOJ KUMAR SHARMA</t>
  </si>
  <si>
    <t>MS. PRAGYA GAUTAM</t>
  </si>
  <si>
    <t>2014-2015/0557</t>
  </si>
  <si>
    <t>ADITI MISHRA</t>
  </si>
  <si>
    <t>MR. KRISHAN KANT SHARMA</t>
  </si>
  <si>
    <t>MS. ANITA SHARMA</t>
  </si>
  <si>
    <t>2015-2016/0106</t>
  </si>
  <si>
    <t>ADITYA SINGH</t>
  </si>
  <si>
    <t>MR. UDAIVEER SINGH</t>
  </si>
  <si>
    <t>MS BEENA SINGH</t>
  </si>
  <si>
    <t>2014-2015/0005</t>
  </si>
  <si>
    <t>AGRIM SAXENA</t>
  </si>
  <si>
    <t>MR. PRAVEEN SAXENA</t>
  </si>
  <si>
    <t>MS. CHHAYA SAXENA</t>
  </si>
  <si>
    <t>2014-2015/0145</t>
  </si>
  <si>
    <t>ANSHUL JAIN</t>
  </si>
  <si>
    <t>MR. JITENDRA KUMAR JAIN</t>
  </si>
  <si>
    <t>MS. ARCHANA JAIN</t>
  </si>
  <si>
    <t>2022-2023/0012</t>
  </si>
  <si>
    <t>ANUSHKA SINGH</t>
  </si>
  <si>
    <t>MR ANUJ SINGH</t>
  </si>
  <si>
    <t>MS KALPANA SINGH</t>
  </si>
  <si>
    <t>2015-2016/0036</t>
  </si>
  <si>
    <t>ARNAV SONKHIYA</t>
  </si>
  <si>
    <t>MR. CHANDRA PRAKASH SONKHIYA</t>
  </si>
  <si>
    <t>MRS SNEHLATA SONKHIYA</t>
  </si>
  <si>
    <t>2022-2023/0216</t>
  </si>
  <si>
    <t>BHAVYA SAINI</t>
  </si>
  <si>
    <t>MR VINOD KUMAR</t>
  </si>
  <si>
    <t>2014-2015/0358</t>
  </si>
  <si>
    <t>BHAVYA SWAMI</t>
  </si>
  <si>
    <t>MR RAJESH KUMAR SWAMI</t>
  </si>
  <si>
    <t>MS. REKHA SWAMI</t>
  </si>
  <si>
    <t>2015-2016/0071</t>
  </si>
  <si>
    <t>CHAHAT CHATURVEDI</t>
  </si>
  <si>
    <t>MR. SHAILENDRA CHATURVEDI</t>
  </si>
  <si>
    <t>MRS SAPNA CHATURVEDI</t>
  </si>
  <si>
    <t>2014-2015/0439</t>
  </si>
  <si>
    <t>CHAITANYA JOSHI</t>
  </si>
  <si>
    <t>MR HITESH JOSHI</t>
  </si>
  <si>
    <t>MS. MANISHA JOSHI</t>
  </si>
  <si>
    <t>2013-2014/0140</t>
  </si>
  <si>
    <t>CHHAYANK KUMAWAT</t>
  </si>
  <si>
    <t>MR. RAMESH KUMAWAT</t>
  </si>
  <si>
    <t>MS.SANGEETA KUMAWAT</t>
  </si>
  <si>
    <t>2018-2019/0416</t>
  </si>
  <si>
    <t>DEEPTI GURJAR</t>
  </si>
  <si>
    <t>MR JITENDER SINGH GURJAR</t>
  </si>
  <si>
    <t>MS PRATIBHA GURJAR</t>
  </si>
  <si>
    <t>2012-2013/0255</t>
  </si>
  <si>
    <t>GAURANGI  HARGUN</t>
  </si>
  <si>
    <t>MR MANOJ KUMAR  HARGUN</t>
  </si>
  <si>
    <t>MS DEEPA  HARGUN</t>
  </si>
  <si>
    <t>2012-2013/0649</t>
  </si>
  <si>
    <t>HIMANSHU  YADAV</t>
  </si>
  <si>
    <t>MR. SHANKAR LAL YADAV</t>
  </si>
  <si>
    <t>MRS. MAMTA YADAV</t>
  </si>
  <si>
    <t>2014-2015/0074</t>
  </si>
  <si>
    <t>HIRANMAYA SINGH SOLANKI</t>
  </si>
  <si>
    <t>MR. MAHENDRA SINGH</t>
  </si>
  <si>
    <t>MS. ALAKNANDA RAJAWAT</t>
  </si>
  <si>
    <t>2014-2015/0273</t>
  </si>
  <si>
    <t>HRIDHYANSH MATHUR</t>
  </si>
  <si>
    <t>MR. MANISH MATHUR</t>
  </si>
  <si>
    <t>MS. TEENA MATHUR</t>
  </si>
  <si>
    <t>2012-2013/0156</t>
  </si>
  <si>
    <t>MANTHAN ARORA</t>
  </si>
  <si>
    <t>MR MANISH ARORA</t>
  </si>
  <si>
    <t>MS SNEHA ARORA</t>
  </si>
  <si>
    <t>2017-2018/0327</t>
  </si>
  <si>
    <t>MR RAMESH CHAND SHARMA</t>
  </si>
  <si>
    <t>MRS ANJU SHARMA</t>
  </si>
  <si>
    <t>2015-2016/0152</t>
  </si>
  <si>
    <t>NAVANSH SHARMA</t>
  </si>
  <si>
    <t>MR AJAY SHARMA</t>
  </si>
  <si>
    <t>MS. AAKANKSHA SHARMA</t>
  </si>
  <si>
    <t>2012-2013/0001</t>
  </si>
  <si>
    <t>NAVYA  BISHT</t>
  </si>
  <si>
    <t>MR BHUPENDRA SINGH BISHT</t>
  </si>
  <si>
    <t>MS. MEENU BISHT</t>
  </si>
  <si>
    <t>2012-2013/0319</t>
  </si>
  <si>
    <t>PRAKHAR SHARMA</t>
  </si>
  <si>
    <t>MR SATYA NARAYAN SHARMA</t>
  </si>
  <si>
    <t>MS ALKA SHARMA</t>
  </si>
  <si>
    <t>2014-2015/0286</t>
  </si>
  <si>
    <t>PRAKHYA MATHUR</t>
  </si>
  <si>
    <t>MR. NIKHLESH MATHUR</t>
  </si>
  <si>
    <t>MS. NISHA MATHUR</t>
  </si>
  <si>
    <t>2020-2021/0154</t>
  </si>
  <si>
    <t>PRANJAL SHARMA</t>
  </si>
  <si>
    <t>MR MUKESH SHARMA</t>
  </si>
  <si>
    <t>MS REENA SHARMA</t>
  </si>
  <si>
    <t>2014-2015/0250</t>
  </si>
  <si>
    <t>PURVAI KHATRI</t>
  </si>
  <si>
    <t>MR. ASHWANI KHATRI</t>
  </si>
  <si>
    <t>MS. KAVITA KHATRI</t>
  </si>
  <si>
    <t>2014-2015/0320</t>
  </si>
  <si>
    <t>RANI SENGER</t>
  </si>
  <si>
    <t>MR. PRAKASH SINGH</t>
  </si>
  <si>
    <t>MS. NEELAM SINGH</t>
  </si>
  <si>
    <t>2022-2023/0463</t>
  </si>
  <si>
    <t>RUDRA PRATAP SINGH</t>
  </si>
  <si>
    <t>MR MUNESH SINGH</t>
  </si>
  <si>
    <t>MS ROLI SINGH</t>
  </si>
  <si>
    <t>2017-2018/0256</t>
  </si>
  <si>
    <t>SAKHI CHANDNANI</t>
  </si>
  <si>
    <t>MR TARA CHAND CHANDNANI</t>
  </si>
  <si>
    <t>MRS SONIYA CHANDNANI</t>
  </si>
  <si>
    <t>2018-2019/0192</t>
  </si>
  <si>
    <t>TANMAY SAXENA</t>
  </si>
  <si>
    <t>MR RAJDEEP SAXENA</t>
  </si>
  <si>
    <t>MS PRITI SAXENA</t>
  </si>
  <si>
    <t>2014-2015/0548</t>
  </si>
  <si>
    <t>VIAAN SHARMA</t>
  </si>
  <si>
    <t>MR. SANTOSH KUMAR SHARMA</t>
  </si>
  <si>
    <t>MS. UMA SHARMA</t>
  </si>
  <si>
    <t>2011-2012/0336</t>
  </si>
  <si>
    <t>YASH SONEJA</t>
  </si>
  <si>
    <t>MR HITESH SONEJA</t>
  </si>
  <si>
    <t>MS NEHA SONEJA</t>
  </si>
  <si>
    <t>2023-2024/0238</t>
  </si>
  <si>
    <t>AAYUSHI AGARWAL</t>
  </si>
  <si>
    <t>MR ASHISH KUMAR AGRAWAL</t>
  </si>
  <si>
    <t>MS SURBHI AGRAWAL</t>
  </si>
  <si>
    <t>2013-2014/0382</t>
  </si>
  <si>
    <t>ADITI  MATHUR</t>
  </si>
  <si>
    <t>MR.HIMANSHU MATHUR</t>
  </si>
  <si>
    <t>MS. SWEETY MATHUR</t>
  </si>
  <si>
    <t>2015-2016/0162</t>
  </si>
  <si>
    <t>ADVIK  BHARGAVA</t>
  </si>
  <si>
    <t>MR ASHISH BHARGAVA</t>
  </si>
  <si>
    <t>MS. RASHU BHARGAVA</t>
  </si>
  <si>
    <t>2023-2024/0199</t>
  </si>
  <si>
    <t>AKSHAT SINGH</t>
  </si>
  <si>
    <t>MR YOGENDRA SINGH</t>
  </si>
  <si>
    <t>MS NAMRATA SINGH</t>
  </si>
  <si>
    <t>2014-2015/0425</t>
  </si>
  <si>
    <t>AKSHIT SHARMA</t>
  </si>
  <si>
    <t>MR MUKESH KUMAR SHARMA</t>
  </si>
  <si>
    <t>MS. NEELAM SHARMA</t>
  </si>
  <si>
    <t>2023-2024/0054</t>
  </si>
  <si>
    <t>ANANYA SRIVASTAVA</t>
  </si>
  <si>
    <t>MR ANSHUL SRIVASTAVA</t>
  </si>
  <si>
    <t>MS VARSHA SRIVASTAVA</t>
  </si>
  <si>
    <t>2022-2023/0380</t>
  </si>
  <si>
    <t>ANUSHA GUPTA</t>
  </si>
  <si>
    <t>MR SURENDRA KUMAR GUPTA</t>
  </si>
  <si>
    <t>MS PRIYANKA GUPTA</t>
  </si>
  <si>
    <t>2014-2015/0288</t>
  </si>
  <si>
    <t>ARNAV RAO</t>
  </si>
  <si>
    <t>MR AMAR RAO</t>
  </si>
  <si>
    <t>MS. GARIMA GOYAL</t>
  </si>
  <si>
    <t>2011-2012/0023</t>
  </si>
  <si>
    <t>AVNI BHATNAGAR</t>
  </si>
  <si>
    <t>MR NITIN BHATNAGAR</t>
  </si>
  <si>
    <t>MS AASTHA BHATNAGAR</t>
  </si>
  <si>
    <t>2023-2024/0209</t>
  </si>
  <si>
    <t>AYUSH VAISHNAV</t>
  </si>
  <si>
    <t>MR NEERAJ VAISHNAV</t>
  </si>
  <si>
    <t>MS ASHA VAISHNAV</t>
  </si>
  <si>
    <t>2015-2016/0188</t>
  </si>
  <si>
    <t>BHAVIK DAVERA</t>
  </si>
  <si>
    <t>MR. SURENDRA SHARMA</t>
  </si>
  <si>
    <t>MS. SANGEETA SHARMA</t>
  </si>
  <si>
    <t>2016-2017/0284</t>
  </si>
  <si>
    <t>BHAVIK  JAIN</t>
  </si>
  <si>
    <t>MR MANISH JAIN</t>
  </si>
  <si>
    <t>MS NEELAM JAIN</t>
  </si>
  <si>
    <t>2016-2017/0288</t>
  </si>
  <si>
    <t>BHAVYA GUPTA</t>
  </si>
  <si>
    <t>MR RAJENDRA KUMAR GUPTA</t>
  </si>
  <si>
    <t>MS ANAMIKA GUPTA</t>
  </si>
  <si>
    <t>2021-2022/0288</t>
  </si>
  <si>
    <t>CHHAVI SHARMA</t>
  </si>
  <si>
    <t>MR TARA CHAND SHARMA</t>
  </si>
  <si>
    <t>MS SHIVANI SHARMA</t>
  </si>
  <si>
    <t>2013-2014/0168</t>
  </si>
  <si>
    <t>CHITRANSH CHOUDHARY</t>
  </si>
  <si>
    <t>MR.GOPAL CHOUDHARY</t>
  </si>
  <si>
    <t>MS.MEENAKSHI CHOUDHARY</t>
  </si>
  <si>
    <t>2014-2015/0012</t>
  </si>
  <si>
    <t>DAKSHVARDHAN SINGH RATHORE</t>
  </si>
  <si>
    <t>MR. JITENDRA SINGH RATHORE</t>
  </si>
  <si>
    <t>MS. KIRAN KANWAR</t>
  </si>
  <si>
    <t>2023-2024/0214</t>
  </si>
  <si>
    <t>DIVYANSH VYAS</t>
  </si>
  <si>
    <t>MR ARUN KUMAR VYAS</t>
  </si>
  <si>
    <t>MS UCHCHHAV VYAS</t>
  </si>
  <si>
    <t>2018-2019/0329</t>
  </si>
  <si>
    <t>GARVIT JAISWAL</t>
  </si>
  <si>
    <t>MR LOKESH JAISWAL</t>
  </si>
  <si>
    <t>MS MONIKA</t>
  </si>
  <si>
    <t>2017-2018/0055</t>
  </si>
  <si>
    <t>GAURAKSH BANSAL</t>
  </si>
  <si>
    <t>MR ANIL BANSAL</t>
  </si>
  <si>
    <t>MS RASHMI BANSAL</t>
  </si>
  <si>
    <t>2015-2016/0186</t>
  </si>
  <si>
    <t>JIYA CHOUDHARY</t>
  </si>
  <si>
    <t>MR. RAJVEER SINGH</t>
  </si>
  <si>
    <t>MS. VIDYOTMA</t>
  </si>
  <si>
    <t>2023-2024/0338</t>
  </si>
  <si>
    <t>JYOTI SHARMA</t>
  </si>
  <si>
    <t>MR VINOD KUMAR SHARMA</t>
  </si>
  <si>
    <t>2013-2014/0063</t>
  </si>
  <si>
    <t>KSHEER BANSAL</t>
  </si>
  <si>
    <t>MR RAHUL BANSAL</t>
  </si>
  <si>
    <t>MS SHIKSHA BANSAL</t>
  </si>
  <si>
    <t>2015-2016/0037</t>
  </si>
  <si>
    <t>KUNSH SINGH CHOUDHARY</t>
  </si>
  <si>
    <t>MR RAJENDER SINGH</t>
  </si>
  <si>
    <t>MRS SANTOSH KUMARI</t>
  </si>
  <si>
    <t>2018-2019/0098</t>
  </si>
  <si>
    <t>MANAS CHOUDHARY</t>
  </si>
  <si>
    <t>MR MANOJ CHOUDHARY</t>
  </si>
  <si>
    <t>MS BIMLA DEVI</t>
  </si>
  <si>
    <t>2023-2024/0210</t>
  </si>
  <si>
    <t>MAULIK KUNDARA</t>
  </si>
  <si>
    <t>MR VISHRAM KUNDARA</t>
  </si>
  <si>
    <t>MS KAVITA KUNDARA</t>
  </si>
  <si>
    <t>2014-2015/0057</t>
  </si>
  <si>
    <t>NAMAN DUTT MATHUR</t>
  </si>
  <si>
    <t>MR. VIVEK DUTT MATHUR</t>
  </si>
  <si>
    <t>MS. JYOTSANA MATHUR</t>
  </si>
  <si>
    <t>2018-2019/0234</t>
  </si>
  <si>
    <t>NAMAN GUPTA</t>
  </si>
  <si>
    <t>MR ARUN GUPTA</t>
  </si>
  <si>
    <t>MS MANISHA GUPTA</t>
  </si>
  <si>
    <t>2023-2024/0286</t>
  </si>
  <si>
    <t>NANDINI JAIMAN</t>
  </si>
  <si>
    <t>MR CHANDRA PRAKASH SHARMA</t>
  </si>
  <si>
    <t>SUMAN LATA SHARMA</t>
  </si>
  <si>
    <t>2012-2013/0665</t>
  </si>
  <si>
    <t>PARSHVA JAIN</t>
  </si>
  <si>
    <t>MRS. INDU JAIN</t>
  </si>
  <si>
    <t>2018-2019/0341</t>
  </si>
  <si>
    <t>PARTH MANGAL</t>
  </si>
  <si>
    <t>MR ASHOK KUMAR MANGAL</t>
  </si>
  <si>
    <t>MS RICHA MANGAL</t>
  </si>
  <si>
    <t>2012-2013/0671</t>
  </si>
  <si>
    <t>PRERANSH TIWARI</t>
  </si>
  <si>
    <t>MR. ANSHUL TIWARI</t>
  </si>
  <si>
    <t>MRS. PRERNA SHARMA</t>
  </si>
  <si>
    <t>2016-2017/0115</t>
  </si>
  <si>
    <t>PRERIT PANDEY</t>
  </si>
  <si>
    <t>MR AMIT PANDEY</t>
  </si>
  <si>
    <t>MS SHARDA PANDEY</t>
  </si>
  <si>
    <t>2019-2020/0124</t>
  </si>
  <si>
    <t>PRIYAL UPADHYAY</t>
  </si>
  <si>
    <t>MR DEEPAK UPADHYAY</t>
  </si>
  <si>
    <t>MS RICHA SHARMA</t>
  </si>
  <si>
    <t>2016-2017/0112</t>
  </si>
  <si>
    <t>PURVI PATEL</t>
  </si>
  <si>
    <t>MR MAHESH PATEL</t>
  </si>
  <si>
    <t>MS ANUSUIYA PATEL</t>
  </si>
  <si>
    <t>2014-2015/0430</t>
  </si>
  <si>
    <t>RACHIT PARASHAR</t>
  </si>
  <si>
    <t>MR. RAJESH KUMAR PARASHAR</t>
  </si>
  <si>
    <t>MS. ARADHANA PARASHAR</t>
  </si>
  <si>
    <t>2016-2017/0157</t>
  </si>
  <si>
    <t>REWA AWASTHI</t>
  </si>
  <si>
    <t>MS RENU TIWARI</t>
  </si>
  <si>
    <t>2021-2022/0164</t>
  </si>
  <si>
    <t>RIDDHI GARG</t>
  </si>
  <si>
    <t>MR RAHUL KUMAR  GARG</t>
  </si>
  <si>
    <t>MS NIDHI GARG</t>
  </si>
  <si>
    <t>2014-2015/0301</t>
  </si>
  <si>
    <t>ROHAN GENANI</t>
  </si>
  <si>
    <t>MR. PRADEEP GENANI</t>
  </si>
  <si>
    <t>MS. NEELAM GENANI</t>
  </si>
  <si>
    <t>2019-2020/0092</t>
  </si>
  <si>
    <t>SARTHAK AGARWAL</t>
  </si>
  <si>
    <t>MR TANMAY AGARWAL</t>
  </si>
  <si>
    <t>MS SWATI AGARWAL</t>
  </si>
  <si>
    <t>2015-2016/0318</t>
  </si>
  <si>
    <t>SAUMYA SHARMA</t>
  </si>
  <si>
    <t>MR SHASHIKANT SHARMA</t>
  </si>
  <si>
    <t>MRS. REENA SHARMA</t>
  </si>
  <si>
    <t>2014-2015/0285</t>
  </si>
  <si>
    <t>SHRISHTI JAIN</t>
  </si>
  <si>
    <t>MR. ABHIJIT PATAWARI</t>
  </si>
  <si>
    <t>MS KAVITA PATAWARI</t>
  </si>
  <si>
    <t>2023-2024/0136</t>
  </si>
  <si>
    <t>SHUBHRA SINGHAL</t>
  </si>
  <si>
    <t>MR SANDEEP KUMAR</t>
  </si>
  <si>
    <t>MS SHUCHI SINGHAL</t>
  </si>
  <si>
    <t>2023-2024/0175</t>
  </si>
  <si>
    <t>SOURABH  YADAV</t>
  </si>
  <si>
    <t>MR LALIT KUMAR</t>
  </si>
  <si>
    <t>MS SAVITA YADAV</t>
  </si>
  <si>
    <t>2013-2014/0139</t>
  </si>
  <si>
    <t>VAIDIK AGRAWAL</t>
  </si>
  <si>
    <t>MR.KRISHAN AGRAWAL</t>
  </si>
  <si>
    <t>MS.SAROJ AGRAWAL</t>
  </si>
  <si>
    <t>2018-2019/0212</t>
  </si>
  <si>
    <t>VARU.N. MOUDGILL</t>
  </si>
  <si>
    <t>MR NIRAJ MOUDGILL</t>
  </si>
  <si>
    <t>MS MEENU MOUDGILL</t>
  </si>
  <si>
    <t>2012-2013/0411</t>
  </si>
  <si>
    <t>VEDANSH  JAIN</t>
  </si>
  <si>
    <t>MR VINOD JAIN</t>
  </si>
  <si>
    <t>MS VEENA JAIN</t>
  </si>
  <si>
    <t>2013-2014/0684</t>
  </si>
  <si>
    <t>VIVASWAAN  KAUSHAL</t>
  </si>
  <si>
    <t>MR. YASHASWI</t>
  </si>
  <si>
    <t>MS. PRATIBHA</t>
  </si>
  <si>
    <t>2022-2023/0226</t>
  </si>
  <si>
    <t>YASHASVI SHARMA</t>
  </si>
  <si>
    <t>MR RAKESH KUMAR SHARMA</t>
  </si>
  <si>
    <t>MS RITU SHREE SHARMA</t>
  </si>
  <si>
    <t>2014-2015/0521</t>
  </si>
  <si>
    <t>YASHASWI .</t>
  </si>
  <si>
    <t>MR RAJVEER</t>
  </si>
  <si>
    <t>MS. GEETA</t>
  </si>
  <si>
    <t>2023-2024/0282</t>
  </si>
  <si>
    <t>YASHVEER CHOUDHARY</t>
  </si>
  <si>
    <t>MR MUKESH KUMAR CHOUDHARY</t>
  </si>
  <si>
    <t>MS ASHA DEVI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</si>
</sst>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d/mm/yyyy"/>
  </numFmts>
  <fonts count="19" x14ac:knownFonts="1">
    <font>
      <sz val="11"/>
      <color theme="1"/>
      <name val="Calibri"/>
      <scheme val="minor"/>
    </font>
    <font>
      <b/>
      <u/>
      <sz val="8"/>
      <color rgb="FF0000FF"/>
      <name val="Times New Roman"/>
    </font>
    <font>
      <b/>
      <sz val="8"/>
      <color theme="1"/>
      <name val="Times New Roman"/>
    </font>
    <font>
      <sz val="11"/>
      <color theme="1"/>
      <name val="Times New Roman"/>
    </font>
    <font>
      <sz val="11"/>
      <color theme="1"/>
      <name val="Arial"/>
    </font>
    <font>
      <sz val="11"/>
      <color theme="1"/>
      <name val="Calibri"/>
    </font>
    <font>
      <sz val="11"/>
      <color rgb="FFFF0000"/>
      <name val="Calibri"/>
    </font>
    <font>
      <sz val="11"/>
      <color rgb="FF993300"/>
      <name val="Calibri"/>
    </font>
    <font>
      <sz val="9"/>
      <color theme="1"/>
      <name val="Times New Roman"/>
    </font>
    <font>
      <b/>
      <sz val="11"/>
      <color theme="1"/>
      <name val="Arial"/>
    </font>
    <font>
      <sz val="11"/>
      <color theme="1"/>
      <name val="Calibri"/>
    </font>
    <font>
      <b/>
      <sz val="3"/>
      <color theme="1"/>
      <name val="Times New Roman"/>
    </font>
    <font>
      <b/>
      <sz val="8"/>
      <color theme="1"/>
      <name val="Tahoma"/>
    </font>
    <font>
      <sz val="3"/>
      <color theme="1"/>
      <name val="Times New Roman"/>
    </font>
    <font>
      <sz val="3"/>
      <color theme="1"/>
      <name val="Calibri"/>
    </font>
    <font>
      <sz val="10"/>
      <color theme="1"/>
      <name val="Times New Roman"/>
    </font>
    <font>
      <sz val="7"/>
      <color theme="1"/>
      <name val="Times New Roman"/>
    </font>
    <font>
      <b/>
      <sz val="11"/>
      <color theme="1"/>
      <name val="Times New Roman"/>
    </font>
    <font>
      <sz val="11"/>
      <color rgb="FF993300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9900FF"/>
        <bgColor rgb="FF9900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72">
    <xf numFmtId="0" fontId="0" fillId="0" borderId="0" xfId="0"/>
    <xf numFmtId="1" fontId="1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left" vertical="center" wrapText="1"/>
    </xf>
    <xf numFmtId="1" fontId="3" fillId="2" borderId="2" xfId="0" applyNumberFormat="1" applyFont="1" applyFill="1" applyBorder="1" applyAlignment="1">
      <alignment wrapText="1"/>
    </xf>
    <xf numFmtId="0" fontId="3" fillId="2" borderId="3" xfId="0" applyFont="1" applyFill="1" applyBorder="1"/>
    <xf numFmtId="164" fontId="3" fillId="2" borderId="3" xfId="0" applyNumberFormat="1" applyFont="1" applyFill="1" applyBorder="1"/>
    <xf numFmtId="0" fontId="4" fillId="2" borderId="3" xfId="0" applyFont="1" applyFill="1" applyBorder="1" applyAlignment="1">
      <alignment horizontal="center" wrapText="1"/>
    </xf>
    <xf numFmtId="0" fontId="5" fillId="2" borderId="3" xfId="0" applyFont="1" applyFill="1" applyBorder="1"/>
    <xf numFmtId="0" fontId="5" fillId="2" borderId="3" xfId="0" applyFont="1" applyFill="1" applyBorder="1" applyAlignment="1">
      <alignment horizontal="center" wrapText="1"/>
    </xf>
    <xf numFmtId="2" fontId="5" fillId="2" borderId="3" xfId="0" applyNumberFormat="1" applyFont="1" applyFill="1" applyBorder="1" applyAlignment="1">
      <alignment horizontal="right" wrapText="1"/>
    </xf>
    <xf numFmtId="2" fontId="5" fillId="2" borderId="1" xfId="0" applyNumberFormat="1" applyFont="1" applyFill="1" applyBorder="1" applyAlignment="1">
      <alignment horizontal="right" wrapText="1"/>
    </xf>
    <xf numFmtId="2" fontId="5" fillId="0" borderId="1" xfId="0" applyNumberFormat="1" applyFont="1" applyBorder="1" applyAlignment="1">
      <alignment horizontal="right" wrapText="1"/>
    </xf>
    <xf numFmtId="1" fontId="3" fillId="3" borderId="2" xfId="0" applyNumberFormat="1" applyFont="1" applyFill="1" applyBorder="1" applyAlignment="1">
      <alignment wrapText="1"/>
    </xf>
    <xf numFmtId="0" fontId="3" fillId="3" borderId="3" xfId="0" applyFont="1" applyFill="1" applyBorder="1"/>
    <xf numFmtId="164" fontId="3" fillId="3" borderId="3" xfId="0" applyNumberFormat="1" applyFont="1" applyFill="1" applyBorder="1"/>
    <xf numFmtId="0" fontId="4" fillId="3" borderId="3" xfId="0" applyFont="1" applyFill="1" applyBorder="1" applyAlignment="1">
      <alignment horizontal="center" wrapText="1"/>
    </xf>
    <xf numFmtId="0" fontId="5" fillId="3" borderId="3" xfId="0" applyFont="1" applyFill="1" applyBorder="1"/>
    <xf numFmtId="0" fontId="6" fillId="3" borderId="3" xfId="0" applyFont="1" applyFill="1" applyBorder="1" applyAlignment="1">
      <alignment horizontal="center" wrapText="1"/>
    </xf>
    <xf numFmtId="0" fontId="5" fillId="3" borderId="3" xfId="0" applyFont="1" applyFill="1" applyBorder="1" applyAlignment="1">
      <alignment horizontal="center" wrapText="1"/>
    </xf>
    <xf numFmtId="2" fontId="5" fillId="3" borderId="3" xfId="0" applyNumberFormat="1" applyFont="1" applyFill="1" applyBorder="1" applyAlignment="1">
      <alignment horizontal="right" wrapText="1"/>
    </xf>
    <xf numFmtId="1" fontId="4" fillId="2" borderId="3" xfId="0" applyNumberFormat="1" applyFont="1" applyFill="1" applyBorder="1" applyAlignment="1">
      <alignment horizontal="center" wrapText="1"/>
    </xf>
    <xf numFmtId="1" fontId="3" fillId="4" borderId="2" xfId="0" applyNumberFormat="1" applyFont="1" applyFill="1" applyBorder="1" applyAlignment="1">
      <alignment wrapText="1"/>
    </xf>
    <xf numFmtId="0" fontId="3" fillId="4" borderId="3" xfId="0" applyFont="1" applyFill="1" applyBorder="1"/>
    <xf numFmtId="164" fontId="3" fillId="4" borderId="3" xfId="0" applyNumberFormat="1" applyFont="1" applyFill="1" applyBorder="1"/>
    <xf numFmtId="0" fontId="4" fillId="4" borderId="3" xfId="0" applyFont="1" applyFill="1" applyBorder="1" applyAlignment="1">
      <alignment horizontal="center" wrapText="1"/>
    </xf>
    <xf numFmtId="0" fontId="5" fillId="4" borderId="3" xfId="0" applyFont="1" applyFill="1" applyBorder="1"/>
    <xf numFmtId="1" fontId="4" fillId="4" borderId="3" xfId="0" applyNumberFormat="1" applyFont="1" applyFill="1" applyBorder="1" applyAlignment="1">
      <alignment horizontal="center" wrapText="1"/>
    </xf>
    <xf numFmtId="0" fontId="5" fillId="4" borderId="3" xfId="0" applyFont="1" applyFill="1" applyBorder="1" applyAlignment="1">
      <alignment horizontal="center" wrapText="1"/>
    </xf>
    <xf numFmtId="2" fontId="5" fillId="4" borderId="3" xfId="0" applyNumberFormat="1" applyFont="1" applyFill="1" applyBorder="1" applyAlignment="1">
      <alignment horizontal="right" wrapText="1"/>
    </xf>
    <xf numFmtId="1" fontId="4" fillId="3" borderId="3" xfId="0" applyNumberFormat="1" applyFont="1" applyFill="1" applyBorder="1" applyAlignment="1">
      <alignment horizontal="center" wrapText="1"/>
    </xf>
    <xf numFmtId="0" fontId="7" fillId="2" borderId="3" xfId="0" applyFont="1" applyFill="1" applyBorder="1" applyAlignment="1">
      <alignment horizontal="center" wrapText="1"/>
    </xf>
    <xf numFmtId="1" fontId="3" fillId="5" borderId="2" xfId="0" applyNumberFormat="1" applyFont="1" applyFill="1" applyBorder="1" applyAlignment="1">
      <alignment wrapText="1"/>
    </xf>
    <xf numFmtId="0" fontId="3" fillId="5" borderId="3" xfId="0" applyFont="1" applyFill="1" applyBorder="1"/>
    <xf numFmtId="164" fontId="3" fillId="5" borderId="3" xfId="0" applyNumberFormat="1" applyFont="1" applyFill="1" applyBorder="1"/>
    <xf numFmtId="0" fontId="4" fillId="5" borderId="3" xfId="0" applyFont="1" applyFill="1" applyBorder="1" applyAlignment="1">
      <alignment horizontal="center" wrapText="1"/>
    </xf>
    <xf numFmtId="0" fontId="5" fillId="5" borderId="3" xfId="0" applyFont="1" applyFill="1" applyBorder="1"/>
    <xf numFmtId="1" fontId="4" fillId="5" borderId="3" xfId="0" applyNumberFormat="1" applyFont="1" applyFill="1" applyBorder="1" applyAlignment="1">
      <alignment horizontal="center" wrapText="1"/>
    </xf>
    <xf numFmtId="0" fontId="5" fillId="5" borderId="3" xfId="0" applyFont="1" applyFill="1" applyBorder="1" applyAlignment="1">
      <alignment horizontal="center" wrapText="1"/>
    </xf>
    <xf numFmtId="2" fontId="5" fillId="5" borderId="3" xfId="0" applyNumberFormat="1" applyFont="1" applyFill="1" applyBorder="1" applyAlignment="1">
      <alignment horizontal="right" wrapText="1"/>
    </xf>
    <xf numFmtId="0" fontId="3" fillId="5" borderId="3" xfId="0" applyFont="1" applyFill="1" applyBorder="1" applyAlignment="1">
      <alignment horizontal="right"/>
    </xf>
    <xf numFmtId="164" fontId="3" fillId="5" borderId="3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wrapText="1"/>
    </xf>
    <xf numFmtId="0" fontId="3" fillId="5" borderId="3" xfId="0" applyFont="1" applyFill="1" applyBorder="1" applyAlignment="1">
      <alignment horizontal="center" wrapText="1"/>
    </xf>
    <xf numFmtId="2" fontId="3" fillId="5" borderId="3" xfId="0" applyNumberFormat="1" applyFont="1" applyFill="1" applyBorder="1" applyAlignment="1">
      <alignment horizontal="right" wrapText="1"/>
    </xf>
    <xf numFmtId="0" fontId="3" fillId="2" borderId="3" xfId="0" applyFont="1" applyFill="1" applyBorder="1" applyAlignment="1">
      <alignment horizontal="right"/>
    </xf>
    <xf numFmtId="164" fontId="3" fillId="2" borderId="3" xfId="0" applyNumberFormat="1" applyFont="1" applyFill="1" applyBorder="1" applyAlignment="1">
      <alignment horizontal="right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2" fontId="3" fillId="2" borderId="3" xfId="0" applyNumberFormat="1" applyFont="1" applyFill="1" applyBorder="1" applyAlignment="1">
      <alignment horizontal="right" wrapText="1"/>
    </xf>
    <xf numFmtId="0" fontId="4" fillId="4" borderId="3" xfId="0" applyFont="1" applyFill="1" applyBorder="1" applyAlignment="1">
      <alignment horizontal="right" wrapText="1"/>
    </xf>
    <xf numFmtId="0" fontId="3" fillId="3" borderId="1" xfId="0" applyFont="1" applyFill="1" applyBorder="1"/>
    <xf numFmtId="164" fontId="3" fillId="3" borderId="1" xfId="0" applyNumberFormat="1" applyFont="1" applyFill="1" applyBorder="1" applyAlignment="1">
      <alignment horizontal="right"/>
    </xf>
    <xf numFmtId="0" fontId="4" fillId="3" borderId="1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2" fontId="5" fillId="3" borderId="1" xfId="0" applyNumberFormat="1" applyFont="1" applyFill="1" applyBorder="1" applyAlignment="1">
      <alignment horizontal="right" wrapText="1"/>
    </xf>
    <xf numFmtId="164" fontId="8" fillId="3" borderId="3" xfId="0" applyNumberFormat="1" applyFont="1" applyFill="1" applyBorder="1" applyAlignment="1">
      <alignment horizontal="right"/>
    </xf>
    <xf numFmtId="0" fontId="8" fillId="3" borderId="3" xfId="0" applyFont="1" applyFill="1" applyBorder="1"/>
    <xf numFmtId="0" fontId="4" fillId="3" borderId="3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2" fontId="5" fillId="3" borderId="3" xfId="0" applyNumberFormat="1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4" fillId="0" borderId="4" xfId="0" applyFont="1" applyBorder="1" applyAlignment="1">
      <alignment horizontal="right" wrapText="1"/>
    </xf>
    <xf numFmtId="0" fontId="9" fillId="5" borderId="2" xfId="0" applyFont="1" applyFill="1" applyBorder="1" applyAlignment="1">
      <alignment wrapText="1"/>
    </xf>
    <xf numFmtId="0" fontId="4" fillId="0" borderId="3" xfId="0" applyFont="1" applyBorder="1" applyAlignment="1">
      <alignment horizontal="right" wrapText="1"/>
    </xf>
    <xf numFmtId="0" fontId="9" fillId="2" borderId="2" xfId="0" applyFont="1" applyFill="1" applyBorder="1" applyAlignment="1">
      <alignment wrapText="1"/>
    </xf>
    <xf numFmtId="0" fontId="9" fillId="3" borderId="2" xfId="0" applyFont="1" applyFill="1" applyBorder="1" applyAlignment="1">
      <alignment wrapText="1"/>
    </xf>
    <xf numFmtId="0" fontId="9" fillId="6" borderId="2" xfId="0" applyFont="1" applyFill="1" applyBorder="1" applyAlignment="1">
      <alignment wrapText="1"/>
    </xf>
    <xf numFmtId="0" fontId="9" fillId="7" borderId="5" xfId="0" applyFont="1" applyFill="1" applyBorder="1" applyAlignment="1">
      <alignment wrapText="1"/>
    </xf>
    <xf numFmtId="0" fontId="10" fillId="0" borderId="0" xfId="0" applyFont="1"/>
    <xf numFmtId="49" fontId="2" fillId="0" borderId="1" xfId="0" applyNumberFormat="1" applyFont="1" applyBorder="1" applyAlignment="1">
      <alignment wrapText="1"/>
    </xf>
    <xf numFmtId="49" fontId="2" fillId="0" borderId="4" xfId="0" applyNumberFormat="1" applyFont="1" applyBorder="1" applyAlignment="1">
      <alignment wrapText="1"/>
    </xf>
    <xf numFmtId="165" fontId="2" fillId="0" borderId="4" xfId="0" applyNumberFormat="1" applyFont="1" applyBorder="1" applyAlignment="1">
      <alignment wrapText="1"/>
    </xf>
    <xf numFmtId="49" fontId="11" fillId="0" borderId="4" xfId="0" applyNumberFormat="1" applyFont="1" applyBorder="1" applyAlignment="1">
      <alignment wrapText="1"/>
    </xf>
    <xf numFmtId="0" fontId="2" fillId="0" borderId="4" xfId="0" applyFont="1" applyBorder="1" applyAlignment="1">
      <alignment wrapText="1"/>
    </xf>
    <xf numFmtId="2" fontId="12" fillId="0" borderId="1" xfId="0" applyNumberFormat="1" applyFont="1" applyBorder="1" applyAlignment="1">
      <alignment wrapText="1"/>
    </xf>
    <xf numFmtId="164" fontId="8" fillId="4" borderId="3" xfId="0" applyNumberFormat="1" applyFont="1" applyFill="1" applyBorder="1" applyAlignment="1">
      <alignment horizontal="right"/>
    </xf>
    <xf numFmtId="0" fontId="13" fillId="4" borderId="3" xfId="0" applyFont="1" applyFill="1" applyBorder="1"/>
    <xf numFmtId="0" fontId="4" fillId="4" borderId="3" xfId="0" applyFont="1" applyFill="1" applyBorder="1" applyAlignment="1">
      <alignment wrapText="1"/>
    </xf>
    <xf numFmtId="0" fontId="5" fillId="4" borderId="3" xfId="0" applyFont="1" applyFill="1" applyBorder="1" applyAlignment="1">
      <alignment wrapText="1"/>
    </xf>
    <xf numFmtId="2" fontId="5" fillId="4" borderId="3" xfId="0" applyNumberFormat="1" applyFont="1" applyFill="1" applyBorder="1" applyAlignment="1">
      <alignment wrapText="1"/>
    </xf>
    <xf numFmtId="2" fontId="5" fillId="4" borderId="1" xfId="0" applyNumberFormat="1" applyFont="1" applyFill="1" applyBorder="1" applyAlignment="1">
      <alignment wrapText="1"/>
    </xf>
    <xf numFmtId="164" fontId="8" fillId="2" borderId="3" xfId="0" applyNumberFormat="1" applyFont="1" applyFill="1" applyBorder="1" applyAlignment="1">
      <alignment horizontal="right"/>
    </xf>
    <xf numFmtId="0" fontId="13" fillId="2" borderId="3" xfId="0" applyFont="1" applyFill="1" applyBorder="1"/>
    <xf numFmtId="0" fontId="4" fillId="2" borderId="3" xfId="0" applyFont="1" applyFill="1" applyBorder="1" applyAlignment="1">
      <alignment wrapText="1"/>
    </xf>
    <xf numFmtId="0" fontId="5" fillId="2" borderId="3" xfId="0" applyFont="1" applyFill="1" applyBorder="1" applyAlignment="1">
      <alignment wrapText="1"/>
    </xf>
    <xf numFmtId="2" fontId="5" fillId="2" borderId="3" xfId="0" applyNumberFormat="1" applyFont="1" applyFill="1" applyBorder="1" applyAlignment="1">
      <alignment wrapText="1"/>
    </xf>
    <xf numFmtId="164" fontId="8" fillId="5" borderId="3" xfId="0" applyNumberFormat="1" applyFont="1" applyFill="1" applyBorder="1" applyAlignment="1">
      <alignment horizontal="right"/>
    </xf>
    <xf numFmtId="0" fontId="13" fillId="5" borderId="3" xfId="0" applyFont="1" applyFill="1" applyBorder="1"/>
    <xf numFmtId="0" fontId="4" fillId="5" borderId="3" xfId="0" applyFont="1" applyFill="1" applyBorder="1" applyAlignment="1">
      <alignment wrapText="1"/>
    </xf>
    <xf numFmtId="0" fontId="5" fillId="5" borderId="3" xfId="0" applyFont="1" applyFill="1" applyBorder="1" applyAlignment="1">
      <alignment wrapText="1"/>
    </xf>
    <xf numFmtId="2" fontId="5" fillId="5" borderId="3" xfId="0" applyNumberFormat="1" applyFont="1" applyFill="1" applyBorder="1" applyAlignment="1">
      <alignment wrapText="1"/>
    </xf>
    <xf numFmtId="0" fontId="13" fillId="3" borderId="3" xfId="0" applyFont="1" applyFill="1" applyBorder="1"/>
    <xf numFmtId="0" fontId="3" fillId="4" borderId="3" xfId="0" applyFont="1" applyFill="1" applyBorder="1" applyAlignment="1">
      <alignment wrapText="1"/>
    </xf>
    <xf numFmtId="2" fontId="10" fillId="2" borderId="0" xfId="0" applyNumberFormat="1" applyFont="1" applyFill="1"/>
    <xf numFmtId="0" fontId="14" fillId="0" borderId="0" xfId="0" applyFont="1"/>
    <xf numFmtId="1" fontId="2" fillId="0" borderId="1" xfId="0" applyNumberFormat="1" applyFont="1" applyBorder="1" applyAlignment="1">
      <alignment horizontal="left" vertical="center" wrapText="1"/>
    </xf>
    <xf numFmtId="1" fontId="15" fillId="4" borderId="1" xfId="0" applyNumberFormat="1" applyFont="1" applyFill="1" applyBorder="1" applyAlignment="1">
      <alignment vertical="center" wrapText="1"/>
    </xf>
    <xf numFmtId="0" fontId="15" fillId="4" borderId="1" xfId="0" applyFont="1" applyFill="1" applyBorder="1" applyAlignment="1">
      <alignment vertical="center"/>
    </xf>
    <xf numFmtId="164" fontId="15" fillId="4" borderId="1" xfId="0" applyNumberFormat="1" applyFont="1" applyFill="1" applyBorder="1" applyAlignment="1">
      <alignment vertical="center"/>
    </xf>
    <xf numFmtId="0" fontId="15" fillId="4" borderId="1" xfId="0" applyFont="1" applyFill="1" applyBorder="1" applyAlignment="1">
      <alignment horizontal="left" vertical="center" wrapText="1"/>
    </xf>
    <xf numFmtId="2" fontId="15" fillId="4" borderId="1" xfId="0" applyNumberFormat="1" applyFont="1" applyFill="1" applyBorder="1" applyAlignment="1">
      <alignment horizontal="left" vertical="center" wrapText="1"/>
    </xf>
    <xf numFmtId="1" fontId="15" fillId="4" borderId="1" xfId="0" applyNumberFormat="1" applyFont="1" applyFill="1" applyBorder="1" applyAlignment="1">
      <alignment horizontal="left" vertical="center" wrapText="1"/>
    </xf>
    <xf numFmtId="1" fontId="15" fillId="5" borderId="1" xfId="0" applyNumberFormat="1" applyFont="1" applyFill="1" applyBorder="1" applyAlignment="1">
      <alignment vertical="center" wrapText="1"/>
    </xf>
    <xf numFmtId="0" fontId="15" fillId="5" borderId="1" xfId="0" applyFont="1" applyFill="1" applyBorder="1" applyAlignment="1">
      <alignment vertical="center"/>
    </xf>
    <xf numFmtId="0" fontId="15" fillId="4" borderId="3" xfId="0" applyFont="1" applyFill="1" applyBorder="1" applyAlignment="1">
      <alignment vertical="center"/>
    </xf>
    <xf numFmtId="164" fontId="15" fillId="4" borderId="3" xfId="0" applyNumberFormat="1" applyFont="1" applyFill="1" applyBorder="1" applyAlignment="1">
      <alignment vertical="center"/>
    </xf>
    <xf numFmtId="0" fontId="15" fillId="4" borderId="3" xfId="0" applyFont="1" applyFill="1" applyBorder="1" applyAlignment="1">
      <alignment horizontal="left" vertical="center" wrapText="1"/>
    </xf>
    <xf numFmtId="2" fontId="15" fillId="4" borderId="3" xfId="0" applyNumberFormat="1" applyFont="1" applyFill="1" applyBorder="1" applyAlignment="1">
      <alignment horizontal="left" vertical="center" wrapText="1"/>
    </xf>
    <xf numFmtId="1" fontId="15" fillId="4" borderId="3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/>
    <xf numFmtId="164" fontId="3" fillId="4" borderId="1" xfId="0" applyNumberFormat="1" applyFont="1" applyFill="1" applyBorder="1"/>
    <xf numFmtId="0" fontId="4" fillId="4" borderId="1" xfId="0" applyFont="1" applyFill="1" applyBorder="1" applyAlignment="1">
      <alignment horizontal="center" wrapText="1"/>
    </xf>
    <xf numFmtId="0" fontId="5" fillId="4" borderId="1" xfId="0" applyFont="1" applyFill="1" applyBorder="1"/>
    <xf numFmtId="1" fontId="4" fillId="4" borderId="1" xfId="0" applyNumberFormat="1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2" fontId="5" fillId="4" borderId="1" xfId="0" applyNumberFormat="1" applyFont="1" applyFill="1" applyBorder="1" applyAlignment="1">
      <alignment horizontal="right" wrapText="1"/>
    </xf>
    <xf numFmtId="164" fontId="15" fillId="5" borderId="1" xfId="0" applyNumberFormat="1" applyFont="1" applyFill="1" applyBorder="1" applyAlignment="1">
      <alignment vertical="center"/>
    </xf>
    <xf numFmtId="0" fontId="15" fillId="5" borderId="1" xfId="0" applyFont="1" applyFill="1" applyBorder="1" applyAlignment="1">
      <alignment horizontal="left" vertical="center" wrapText="1"/>
    </xf>
    <xf numFmtId="1" fontId="15" fillId="5" borderId="1" xfId="0" applyNumberFormat="1" applyFont="1" applyFill="1" applyBorder="1" applyAlignment="1">
      <alignment horizontal="left" vertical="center" wrapText="1"/>
    </xf>
    <xf numFmtId="2" fontId="15" fillId="5" borderId="1" xfId="0" applyNumberFormat="1" applyFont="1" applyFill="1" applyBorder="1" applyAlignment="1">
      <alignment horizontal="left" vertical="center" wrapText="1"/>
    </xf>
    <xf numFmtId="0" fontId="3" fillId="5" borderId="1" xfId="0" applyFont="1" applyFill="1" applyBorder="1"/>
    <xf numFmtId="164" fontId="3" fillId="5" borderId="1" xfId="0" applyNumberFormat="1" applyFont="1" applyFill="1" applyBorder="1"/>
    <xf numFmtId="0" fontId="4" fillId="5" borderId="1" xfId="0" applyFont="1" applyFill="1" applyBorder="1" applyAlignment="1">
      <alignment horizontal="center" wrapText="1"/>
    </xf>
    <xf numFmtId="0" fontId="5" fillId="5" borderId="1" xfId="0" applyFont="1" applyFill="1" applyBorder="1"/>
    <xf numFmtId="1" fontId="4" fillId="5" borderId="1" xfId="0" applyNumberFormat="1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2" fontId="5" fillId="5" borderId="1" xfId="0" applyNumberFormat="1" applyFont="1" applyFill="1" applyBorder="1" applyAlignment="1">
      <alignment horizontal="right" wrapText="1"/>
    </xf>
    <xf numFmtId="0" fontId="15" fillId="0" borderId="0" xfId="0" applyFont="1" applyAlignment="1">
      <alignment horizontal="left" wrapText="1"/>
    </xf>
    <xf numFmtId="14" fontId="15" fillId="0" borderId="0" xfId="0" applyNumberFormat="1" applyFont="1" applyAlignment="1">
      <alignment horizontal="left" wrapText="1"/>
    </xf>
    <xf numFmtId="2" fontId="15" fillId="0" borderId="0" xfId="0" applyNumberFormat="1" applyFont="1" applyAlignment="1">
      <alignment horizontal="left" wrapText="1"/>
    </xf>
    <xf numFmtId="0" fontId="15" fillId="0" borderId="0" xfId="0" applyFont="1" applyAlignment="1">
      <alignment horizontal="center" wrapText="1"/>
    </xf>
    <xf numFmtId="49" fontId="16" fillId="0" borderId="1" xfId="0" applyNumberFormat="1" applyFont="1" applyBorder="1" applyAlignment="1">
      <alignment wrapText="1"/>
    </xf>
    <xf numFmtId="49" fontId="17" fillId="0" borderId="1" xfId="0" applyNumberFormat="1" applyFont="1" applyBorder="1" applyAlignment="1">
      <alignment wrapText="1"/>
    </xf>
    <xf numFmtId="14" fontId="17" fillId="0" borderId="1" xfId="0" applyNumberFormat="1" applyFont="1" applyBorder="1" applyAlignment="1">
      <alignment wrapText="1"/>
    </xf>
    <xf numFmtId="0" fontId="17" fillId="0" borderId="1" xfId="0" applyFont="1" applyBorder="1" applyAlignment="1">
      <alignment wrapText="1"/>
    </xf>
    <xf numFmtId="1" fontId="3" fillId="0" borderId="2" xfId="0" applyNumberFormat="1" applyFont="1" applyBorder="1" applyAlignment="1">
      <alignment horizontal="center" wrapText="1"/>
    </xf>
    <xf numFmtId="0" fontId="3" fillId="0" borderId="1" xfId="0" applyFont="1" applyBorder="1"/>
    <xf numFmtId="164" fontId="3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3" fillId="0" borderId="3" xfId="0" applyFont="1" applyBorder="1"/>
    <xf numFmtId="164" fontId="3" fillId="0" borderId="3" xfId="0" applyNumberFormat="1" applyFont="1" applyBorder="1"/>
    <xf numFmtId="0" fontId="4" fillId="0" borderId="3" xfId="0" applyFont="1" applyBorder="1" applyAlignment="1">
      <alignment horizontal="center" wrapText="1"/>
    </xf>
    <xf numFmtId="1" fontId="18" fillId="0" borderId="3" xfId="0" applyNumberFormat="1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0" fillId="0" borderId="1" xfId="0" applyFont="1" applyBorder="1"/>
    <xf numFmtId="0" fontId="10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  <xf numFmtId="49" fontId="17" fillId="0" borderId="4" xfId="0" applyNumberFormat="1" applyFont="1" applyBorder="1" applyAlignment="1">
      <alignment wrapText="1"/>
    </xf>
    <xf numFmtId="14" fontId="17" fillId="0" borderId="4" xfId="0" applyNumberFormat="1" applyFont="1" applyBorder="1" applyAlignment="1">
      <alignment wrapText="1"/>
    </xf>
    <xf numFmtId="0" fontId="17" fillId="0" borderId="4" xfId="0" applyFont="1" applyBorder="1" applyAlignment="1">
      <alignment wrapText="1"/>
    </xf>
    <xf numFmtId="0" fontId="3" fillId="4" borderId="3" xfId="0" applyFont="1" applyFill="1" applyBorder="1" applyAlignment="1">
      <alignment horizontal="right"/>
    </xf>
    <xf numFmtId="164" fontId="3" fillId="4" borderId="3" xfId="0" applyNumberFormat="1" applyFont="1" applyFill="1" applyBorder="1" applyAlignment="1">
      <alignment horizontal="right"/>
    </xf>
    <xf numFmtId="0" fontId="3" fillId="4" borderId="3" xfId="0" applyFont="1" applyFill="1" applyBorder="1" applyAlignment="1">
      <alignment horizontal="center" wrapText="1"/>
    </xf>
    <xf numFmtId="2" fontId="3" fillId="4" borderId="3" xfId="0" applyNumberFormat="1" applyFont="1" applyFill="1" applyBorder="1" applyAlignment="1">
      <alignment horizontal="right" wrapText="1"/>
    </xf>
    <xf numFmtId="2" fontId="3" fillId="0" borderId="1" xfId="0" applyNumberFormat="1" applyFont="1" applyBorder="1" applyAlignment="1">
      <alignment horizontal="right" wrapText="1"/>
    </xf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0" fontId="4" fillId="2" borderId="1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0" fontId="6" fillId="3" borderId="1" xfId="0" applyFont="1" applyFill="1" applyBorder="1" applyAlignment="1">
      <alignment horizontal="center" wrapText="1"/>
    </xf>
    <xf numFmtId="164" fontId="3" fillId="4" borderId="1" xfId="0" applyNumberFormat="1" applyFont="1" applyFill="1" applyBorder="1" applyAlignment="1">
      <alignment horizontal="right"/>
    </xf>
    <xf numFmtId="164" fontId="3" fillId="5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XA!$C$51:$C$56</c:f>
              <c:strCache>
                <c:ptCount val="6"/>
                <c:pt idx="0">
                  <c:v>95-100</c:v>
                </c:pt>
                <c:pt idx="1">
                  <c:v>90-94</c:v>
                </c:pt>
                <c:pt idx="2">
                  <c:v>80-89</c:v>
                </c:pt>
                <c:pt idx="3">
                  <c:v>60-79</c:v>
                </c:pt>
                <c:pt idx="4">
                  <c:v>50-59</c:v>
                </c:pt>
                <c:pt idx="5">
                  <c:v>below 50</c:v>
                </c:pt>
              </c:strCache>
            </c:strRef>
          </c:cat>
          <c:val>
            <c:numRef>
              <c:f>XA!$D$51:$D$57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15</c:v>
                </c:pt>
                <c:pt idx="3">
                  <c:v>22</c:v>
                </c:pt>
                <c:pt idx="4">
                  <c:v>4</c:v>
                </c:pt>
                <c:pt idx="5">
                  <c:v>0</c:v>
                </c:pt>
                <c:pt idx="6">
                  <c:v>47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D1D-4731-AE3D-3E7AEC2D5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6632214"/>
        <c:axId val="1672389713"/>
      </c:barChart>
      <c:catAx>
        <c:axId val="21366322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72389713"/>
        <c:crosses val="autoZero"/>
        <c:auto val="1"/>
        <c:lblAlgn val="ctr"/>
        <c:lblOffset val="100"/>
        <c:noMultiLvlLbl val="1"/>
      </c:catAx>
      <c:valAx>
        <c:axId val="16723897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663221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'X B'!$C$53:$C$58</c:f>
              <c:strCache>
                <c:ptCount val="6"/>
                <c:pt idx="0">
                  <c:v>95-100</c:v>
                </c:pt>
                <c:pt idx="1">
                  <c:v>90-94</c:v>
                </c:pt>
                <c:pt idx="2">
                  <c:v>80-89</c:v>
                </c:pt>
                <c:pt idx="3">
                  <c:v>60-79</c:v>
                </c:pt>
                <c:pt idx="4">
                  <c:v>50-59</c:v>
                </c:pt>
                <c:pt idx="5">
                  <c:v>below 50</c:v>
                </c:pt>
              </c:strCache>
            </c:strRef>
          </c:cat>
          <c:val>
            <c:numRef>
              <c:f>'X B'!$D$53:$D$58</c:f>
              <c:numCache>
                <c:formatCode>General</c:formatCode>
                <c:ptCount val="6"/>
                <c:pt idx="0">
                  <c:v>27</c:v>
                </c:pt>
                <c:pt idx="1">
                  <c:v>6</c:v>
                </c:pt>
                <c:pt idx="2">
                  <c:v>10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8F0-4844-A762-C4D792135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13430803"/>
        <c:axId val="911940254"/>
      </c:barChart>
      <c:catAx>
        <c:axId val="1713430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1940254"/>
        <c:crosses val="autoZero"/>
        <c:auto val="1"/>
        <c:lblAlgn val="ctr"/>
        <c:lblOffset val="100"/>
        <c:noMultiLvlLbl val="1"/>
      </c:catAx>
      <c:valAx>
        <c:axId val="9119402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34308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Count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'X C'!$H$61:$H$66</c:f>
              <c:numCache>
                <c:formatCode>General</c:formatCode>
                <c:ptCount val="6"/>
                <c:pt idx="0">
                  <c:v>40</c:v>
                </c:pt>
                <c:pt idx="1">
                  <c:v>9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77C-4A47-8E3C-FD8D81B95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9415235"/>
        <c:axId val="2102801428"/>
      </c:barChart>
      <c:catAx>
        <c:axId val="1994152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2801428"/>
        <c:crosses val="autoZero"/>
        <c:auto val="1"/>
        <c:lblAlgn val="ctr"/>
        <c:lblOffset val="100"/>
        <c:noMultiLvlLbl val="1"/>
      </c:catAx>
      <c:valAx>
        <c:axId val="21028014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41523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'X D'!$D$40:$D$46</c:f>
              <c:strCache>
                <c:ptCount val="6"/>
                <c:pt idx="0">
                  <c:v>95-100</c:v>
                </c:pt>
                <c:pt idx="1">
                  <c:v>90-94</c:v>
                </c:pt>
                <c:pt idx="2">
                  <c:v>80-89</c:v>
                </c:pt>
                <c:pt idx="3">
                  <c:v>60-79</c:v>
                </c:pt>
                <c:pt idx="4">
                  <c:v>50-59</c:v>
                </c:pt>
                <c:pt idx="5">
                  <c:v>below 50</c:v>
                </c:pt>
              </c:strCache>
            </c:strRef>
          </c:cat>
          <c:val>
            <c:numRef>
              <c:f>'X D'!$E$40:$E$46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23</c:v>
                </c:pt>
                <c:pt idx="4">
                  <c:v>4</c:v>
                </c:pt>
                <c:pt idx="5">
                  <c:v>0</c:v>
                </c:pt>
                <c:pt idx="6">
                  <c:v>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939-413B-895D-4B3849088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6638606"/>
        <c:axId val="1385536356"/>
      </c:barChart>
      <c:catAx>
        <c:axId val="626638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85536356"/>
        <c:crosses val="autoZero"/>
        <c:auto val="1"/>
        <c:lblAlgn val="ctr"/>
        <c:lblOffset val="100"/>
        <c:noMultiLvlLbl val="1"/>
      </c:catAx>
      <c:valAx>
        <c:axId val="13855363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66386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'X E'!$C$55:$C$60</c:f>
              <c:strCache>
                <c:ptCount val="6"/>
                <c:pt idx="0">
                  <c:v>95-100</c:v>
                </c:pt>
                <c:pt idx="1">
                  <c:v>90-94</c:v>
                </c:pt>
                <c:pt idx="2">
                  <c:v>80-89</c:v>
                </c:pt>
                <c:pt idx="3">
                  <c:v>60-79</c:v>
                </c:pt>
                <c:pt idx="4">
                  <c:v>50-59</c:v>
                </c:pt>
                <c:pt idx="5">
                  <c:v>below 50</c:v>
                </c:pt>
              </c:strCache>
            </c:strRef>
          </c:cat>
          <c:val>
            <c:numRef>
              <c:f>'X E'!$D$55:$D$61</c:f>
              <c:numCache>
                <c:formatCode>General</c:formatCode>
                <c:ptCount val="7"/>
                <c:pt idx="0">
                  <c:v>30</c:v>
                </c:pt>
                <c:pt idx="1">
                  <c:v>6</c:v>
                </c:pt>
                <c:pt idx="2">
                  <c:v>10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6E-4BF9-A481-F5860E14E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0353184"/>
        <c:axId val="1897082806"/>
      </c:barChart>
      <c:catAx>
        <c:axId val="1790353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7082806"/>
        <c:crosses val="autoZero"/>
        <c:auto val="1"/>
        <c:lblAlgn val="ctr"/>
        <c:lblOffset val="100"/>
        <c:noMultiLvlLbl val="1"/>
      </c:catAx>
      <c:valAx>
        <c:axId val="18970828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9035318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495300</xdr:colOff>
      <xdr:row>53</xdr:row>
      <xdr:rowOff>19050</xdr:rowOff>
    </xdr:from>
    <xdr:ext cx="5715000" cy="3533775"/>
    <xdr:graphicFrame macro="">
      <xdr:nvGraphicFramePr>
        <xdr:cNvPr id="1036392672" name="Chart 1" title="Chart">
          <a:extLst>
            <a:ext uri="{FF2B5EF4-FFF2-40B4-BE49-F238E27FC236}">
              <a16:creationId xmlns:a16="http://schemas.microsoft.com/office/drawing/2014/main" id="{00000000-0008-0000-0000-0000E018C6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95250</xdr:colOff>
      <xdr:row>51</xdr:row>
      <xdr:rowOff>142875</xdr:rowOff>
    </xdr:from>
    <xdr:ext cx="5715000" cy="3533775"/>
    <xdr:graphicFrame macro="">
      <xdr:nvGraphicFramePr>
        <xdr:cNvPr id="318247241" name="Chart 2" title="Chart">
          <a:extLst>
            <a:ext uri="{FF2B5EF4-FFF2-40B4-BE49-F238E27FC236}">
              <a16:creationId xmlns:a16="http://schemas.microsoft.com/office/drawing/2014/main" id="{00000000-0008-0000-0100-00004911F8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419100</xdr:colOff>
      <xdr:row>60</xdr:row>
      <xdr:rowOff>57150</xdr:rowOff>
    </xdr:from>
    <xdr:ext cx="5715000" cy="3533775"/>
    <xdr:graphicFrame macro="">
      <xdr:nvGraphicFramePr>
        <xdr:cNvPr id="1323864863" name="Chart 3" title="Chart">
          <a:extLst>
            <a:ext uri="{FF2B5EF4-FFF2-40B4-BE49-F238E27FC236}">
              <a16:creationId xmlns:a16="http://schemas.microsoft.com/office/drawing/2014/main" id="{00000000-0008-0000-0200-00001F93E8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485775</xdr:colOff>
      <xdr:row>38</xdr:row>
      <xdr:rowOff>180975</xdr:rowOff>
    </xdr:from>
    <xdr:ext cx="5715000" cy="3533775"/>
    <xdr:graphicFrame macro="">
      <xdr:nvGraphicFramePr>
        <xdr:cNvPr id="1850013088" name="Chart 4" title="Chart">
          <a:extLst>
            <a:ext uri="{FF2B5EF4-FFF2-40B4-BE49-F238E27FC236}">
              <a16:creationId xmlns:a16="http://schemas.microsoft.com/office/drawing/2014/main" id="{00000000-0008-0000-0300-0000A0F544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628650</xdr:colOff>
      <xdr:row>51</xdr:row>
      <xdr:rowOff>133350</xdr:rowOff>
    </xdr:from>
    <xdr:ext cx="5715000" cy="3533775"/>
    <xdr:graphicFrame macro="">
      <xdr:nvGraphicFramePr>
        <xdr:cNvPr id="1947525161" name="Chart 5" title="Chart">
          <a:extLst>
            <a:ext uri="{FF2B5EF4-FFF2-40B4-BE49-F238E27FC236}">
              <a16:creationId xmlns:a16="http://schemas.microsoft.com/office/drawing/2014/main" id="{00000000-0008-0000-0400-000029E014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s.n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8" customWidth="1"/>
    <col min="2" max="2" width="15" customWidth="1"/>
    <col min="3" max="3" width="30.109375" customWidth="1"/>
    <col min="4" max="26" width="8" customWidth="1"/>
  </cols>
  <sheetData>
    <row r="1" spans="1:26" ht="4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ht="14.4" x14ac:dyDescent="0.3">
      <c r="A2" s="6">
        <v>1</v>
      </c>
      <c r="B2" s="7" t="s">
        <v>26</v>
      </c>
      <c r="C2" s="7" t="s">
        <v>27</v>
      </c>
      <c r="D2" s="7" t="s">
        <v>28</v>
      </c>
      <c r="E2" s="7" t="s">
        <v>29</v>
      </c>
      <c r="F2" s="8">
        <v>39692</v>
      </c>
      <c r="G2" s="7" t="s">
        <v>30</v>
      </c>
      <c r="H2" s="9">
        <v>32</v>
      </c>
      <c r="I2" s="9">
        <v>37</v>
      </c>
      <c r="J2" s="10"/>
      <c r="K2" s="10"/>
      <c r="L2" s="9">
        <v>21</v>
      </c>
      <c r="M2" s="11">
        <v>34</v>
      </c>
      <c r="N2" s="11">
        <v>37</v>
      </c>
      <c r="O2" s="11">
        <v>41</v>
      </c>
      <c r="P2" s="11">
        <f t="shared" ref="P2:P20" si="0">SUM(H2:N2)</f>
        <v>161</v>
      </c>
      <c r="Q2" s="12">
        <f t="shared" ref="Q2:Q48" si="1">(P2/400)*100</f>
        <v>40.25</v>
      </c>
      <c r="R2" s="13">
        <f t="shared" ref="R2:R48" si="2">Q2+30</f>
        <v>70.25</v>
      </c>
      <c r="S2" s="14">
        <f t="shared" ref="S2:S48" si="3">H2/80*100</f>
        <v>40</v>
      </c>
      <c r="T2" s="14">
        <f t="shared" ref="T2:U2" si="4">H2+30</f>
        <v>62</v>
      </c>
      <c r="U2" s="14">
        <f t="shared" si="4"/>
        <v>67</v>
      </c>
      <c r="V2" s="14"/>
      <c r="W2" s="14"/>
      <c r="X2" s="14">
        <f t="shared" ref="X2:Z2" si="5">L2+30</f>
        <v>51</v>
      </c>
      <c r="Y2" s="14">
        <f t="shared" si="5"/>
        <v>64</v>
      </c>
      <c r="Z2" s="14">
        <f t="shared" si="5"/>
        <v>67</v>
      </c>
    </row>
    <row r="3" spans="1:26" ht="14.4" x14ac:dyDescent="0.3">
      <c r="A3" s="15">
        <v>2</v>
      </c>
      <c r="B3" s="16" t="s">
        <v>31</v>
      </c>
      <c r="C3" s="16" t="s">
        <v>32</v>
      </c>
      <c r="D3" s="16" t="s">
        <v>33</v>
      </c>
      <c r="E3" s="16" t="s">
        <v>34</v>
      </c>
      <c r="F3" s="17">
        <v>40177</v>
      </c>
      <c r="G3" s="16" t="s">
        <v>30</v>
      </c>
      <c r="H3" s="18">
        <v>32</v>
      </c>
      <c r="I3" s="19"/>
      <c r="J3" s="18">
        <v>44</v>
      </c>
      <c r="K3" s="19"/>
      <c r="L3" s="18">
        <v>28</v>
      </c>
      <c r="M3" s="20">
        <v>10</v>
      </c>
      <c r="N3" s="21">
        <v>23</v>
      </c>
      <c r="O3" s="21">
        <v>31</v>
      </c>
      <c r="P3" s="21">
        <f t="shared" si="0"/>
        <v>137</v>
      </c>
      <c r="Q3" s="22">
        <f t="shared" si="1"/>
        <v>34.25</v>
      </c>
      <c r="R3" s="13">
        <f t="shared" si="2"/>
        <v>64.25</v>
      </c>
      <c r="S3" s="14">
        <f t="shared" si="3"/>
        <v>40</v>
      </c>
      <c r="T3" s="14">
        <f t="shared" ref="T3:T48" si="6">H3+30</f>
        <v>62</v>
      </c>
      <c r="U3" s="14"/>
      <c r="V3" s="14">
        <f>J3+30</f>
        <v>74</v>
      </c>
      <c r="W3" s="14"/>
      <c r="X3" s="14">
        <f t="shared" ref="X3:Z3" si="7">L3+30</f>
        <v>58</v>
      </c>
      <c r="Y3" s="14">
        <f t="shared" si="7"/>
        <v>40</v>
      </c>
      <c r="Z3" s="14">
        <f t="shared" si="7"/>
        <v>53</v>
      </c>
    </row>
    <row r="4" spans="1:26" ht="14.4" x14ac:dyDescent="0.3">
      <c r="A4" s="6">
        <v>3</v>
      </c>
      <c r="B4" s="7" t="s">
        <v>35</v>
      </c>
      <c r="C4" s="7" t="s">
        <v>36</v>
      </c>
      <c r="D4" s="7" t="s">
        <v>37</v>
      </c>
      <c r="E4" s="7" t="s">
        <v>38</v>
      </c>
      <c r="F4" s="8">
        <v>40071</v>
      </c>
      <c r="G4" s="7" t="s">
        <v>39</v>
      </c>
      <c r="H4" s="9">
        <v>27</v>
      </c>
      <c r="I4" s="9">
        <v>53</v>
      </c>
      <c r="J4" s="10"/>
      <c r="K4" s="10"/>
      <c r="L4" s="23">
        <v>31</v>
      </c>
      <c r="M4" s="11">
        <v>27</v>
      </c>
      <c r="N4" s="11">
        <v>31</v>
      </c>
      <c r="O4" s="11">
        <v>40</v>
      </c>
      <c r="P4" s="11">
        <f t="shared" si="0"/>
        <v>169</v>
      </c>
      <c r="Q4" s="12">
        <f t="shared" si="1"/>
        <v>42.25</v>
      </c>
      <c r="R4" s="13">
        <f t="shared" si="2"/>
        <v>72.25</v>
      </c>
      <c r="S4" s="14">
        <f t="shared" si="3"/>
        <v>33.75</v>
      </c>
      <c r="T4" s="14">
        <f t="shared" si="6"/>
        <v>57</v>
      </c>
      <c r="U4" s="14">
        <f t="shared" ref="U4:U5" si="8">I4+30</f>
        <v>83</v>
      </c>
      <c r="V4" s="14"/>
      <c r="W4" s="14"/>
      <c r="X4" s="14">
        <f t="shared" ref="X4:Z4" si="9">L4+30</f>
        <v>61</v>
      </c>
      <c r="Y4" s="14">
        <f t="shared" si="9"/>
        <v>57</v>
      </c>
      <c r="Z4" s="14">
        <f t="shared" si="9"/>
        <v>61</v>
      </c>
    </row>
    <row r="5" spans="1:26" ht="14.4" x14ac:dyDescent="0.3">
      <c r="A5" s="6">
        <v>4</v>
      </c>
      <c r="B5" s="7" t="s">
        <v>40</v>
      </c>
      <c r="C5" s="7" t="s">
        <v>41</v>
      </c>
      <c r="D5" s="7" t="s">
        <v>42</v>
      </c>
      <c r="E5" s="7" t="s">
        <v>43</v>
      </c>
      <c r="F5" s="8">
        <v>39974</v>
      </c>
      <c r="G5" s="7" t="s">
        <v>39</v>
      </c>
      <c r="H5" s="9">
        <v>43</v>
      </c>
      <c r="I5" s="9">
        <v>52</v>
      </c>
      <c r="J5" s="10"/>
      <c r="K5" s="10"/>
      <c r="L5" s="23">
        <v>26</v>
      </c>
      <c r="M5" s="11">
        <v>30</v>
      </c>
      <c r="N5" s="11">
        <v>42</v>
      </c>
      <c r="O5" s="11">
        <v>49</v>
      </c>
      <c r="P5" s="11">
        <f t="shared" si="0"/>
        <v>193</v>
      </c>
      <c r="Q5" s="12">
        <f t="shared" si="1"/>
        <v>48.25</v>
      </c>
      <c r="R5" s="13">
        <f t="shared" si="2"/>
        <v>78.25</v>
      </c>
      <c r="S5" s="14">
        <f t="shared" si="3"/>
        <v>53.75</v>
      </c>
      <c r="T5" s="14">
        <f t="shared" si="6"/>
        <v>73</v>
      </c>
      <c r="U5" s="14">
        <f t="shared" si="8"/>
        <v>82</v>
      </c>
      <c r="V5" s="14"/>
      <c r="W5" s="14"/>
      <c r="X5" s="14">
        <f t="shared" ref="X5:Z5" si="10">L5+30</f>
        <v>56</v>
      </c>
      <c r="Y5" s="14">
        <f t="shared" si="10"/>
        <v>60</v>
      </c>
      <c r="Z5" s="14">
        <f t="shared" si="10"/>
        <v>72</v>
      </c>
    </row>
    <row r="6" spans="1:26" ht="14.4" x14ac:dyDescent="0.3">
      <c r="A6" s="6">
        <v>5</v>
      </c>
      <c r="B6" s="7" t="s">
        <v>44</v>
      </c>
      <c r="C6" s="7" t="s">
        <v>45</v>
      </c>
      <c r="D6" s="7" t="s">
        <v>46</v>
      </c>
      <c r="E6" s="7" t="s">
        <v>47</v>
      </c>
      <c r="F6" s="8">
        <v>40190</v>
      </c>
      <c r="G6" s="7" t="s">
        <v>30</v>
      </c>
      <c r="H6" s="9">
        <v>27</v>
      </c>
      <c r="I6" s="10"/>
      <c r="J6" s="9">
        <v>42</v>
      </c>
      <c r="K6" s="10"/>
      <c r="L6" s="23">
        <v>42</v>
      </c>
      <c r="M6" s="11">
        <v>37</v>
      </c>
      <c r="N6" s="11">
        <v>26</v>
      </c>
      <c r="O6" s="11">
        <v>39</v>
      </c>
      <c r="P6" s="11">
        <f t="shared" si="0"/>
        <v>174</v>
      </c>
      <c r="Q6" s="12">
        <f t="shared" si="1"/>
        <v>43.5</v>
      </c>
      <c r="R6" s="13">
        <f t="shared" si="2"/>
        <v>73.5</v>
      </c>
      <c r="S6" s="14">
        <f t="shared" si="3"/>
        <v>33.75</v>
      </c>
      <c r="T6" s="14">
        <f t="shared" si="6"/>
        <v>57</v>
      </c>
      <c r="U6" s="14"/>
      <c r="V6" s="14">
        <f>J6+30</f>
        <v>72</v>
      </c>
      <c r="W6" s="14"/>
      <c r="X6" s="14">
        <f t="shared" ref="X6:Z6" si="11">L6+30</f>
        <v>72</v>
      </c>
      <c r="Y6" s="14">
        <f t="shared" si="11"/>
        <v>67</v>
      </c>
      <c r="Z6" s="14">
        <f t="shared" si="11"/>
        <v>56</v>
      </c>
    </row>
    <row r="7" spans="1:26" ht="14.4" x14ac:dyDescent="0.3">
      <c r="A7" s="24">
        <v>6</v>
      </c>
      <c r="B7" s="25" t="s">
        <v>48</v>
      </c>
      <c r="C7" s="25" t="s">
        <v>49</v>
      </c>
      <c r="D7" s="25" t="s">
        <v>50</v>
      </c>
      <c r="E7" s="25" t="s">
        <v>51</v>
      </c>
      <c r="F7" s="26">
        <v>40031</v>
      </c>
      <c r="G7" s="25" t="s">
        <v>39</v>
      </c>
      <c r="H7" s="27">
        <v>52</v>
      </c>
      <c r="I7" s="27">
        <v>63</v>
      </c>
      <c r="J7" s="28"/>
      <c r="K7" s="28"/>
      <c r="L7" s="29">
        <v>49</v>
      </c>
      <c r="M7" s="30">
        <v>57</v>
      </c>
      <c r="N7" s="30">
        <v>46</v>
      </c>
      <c r="O7" s="30">
        <v>47</v>
      </c>
      <c r="P7" s="30">
        <f t="shared" si="0"/>
        <v>267</v>
      </c>
      <c r="Q7" s="31">
        <f t="shared" si="1"/>
        <v>66.75</v>
      </c>
      <c r="R7" s="13">
        <f t="shared" si="2"/>
        <v>96.75</v>
      </c>
      <c r="S7" s="14">
        <f t="shared" si="3"/>
        <v>65</v>
      </c>
      <c r="T7" s="14">
        <f t="shared" si="6"/>
        <v>82</v>
      </c>
      <c r="U7" s="14">
        <f t="shared" ref="U7:U17" si="12">I7+30</f>
        <v>93</v>
      </c>
      <c r="V7" s="14"/>
      <c r="W7" s="14"/>
      <c r="X7" s="14">
        <f t="shared" ref="X7:Z7" si="13">L7+30</f>
        <v>79</v>
      </c>
      <c r="Y7" s="14">
        <f t="shared" si="13"/>
        <v>87</v>
      </c>
      <c r="Z7" s="14">
        <f t="shared" si="13"/>
        <v>76</v>
      </c>
    </row>
    <row r="8" spans="1:26" ht="14.4" x14ac:dyDescent="0.3">
      <c r="A8" s="24">
        <v>7</v>
      </c>
      <c r="B8" s="25" t="s">
        <v>52</v>
      </c>
      <c r="C8" s="25" t="s">
        <v>53</v>
      </c>
      <c r="D8" s="25" t="s">
        <v>54</v>
      </c>
      <c r="E8" s="25" t="s">
        <v>55</v>
      </c>
      <c r="F8" s="26">
        <v>40256</v>
      </c>
      <c r="G8" s="25" t="s">
        <v>39</v>
      </c>
      <c r="H8" s="27">
        <v>41</v>
      </c>
      <c r="I8" s="27">
        <v>58</v>
      </c>
      <c r="J8" s="28"/>
      <c r="K8" s="28"/>
      <c r="L8" s="29">
        <v>45</v>
      </c>
      <c r="M8" s="30">
        <v>39</v>
      </c>
      <c r="N8" s="30">
        <v>50</v>
      </c>
      <c r="O8" s="30">
        <v>38</v>
      </c>
      <c r="P8" s="30">
        <f t="shared" si="0"/>
        <v>233</v>
      </c>
      <c r="Q8" s="31">
        <f t="shared" si="1"/>
        <v>58.25</v>
      </c>
      <c r="R8" s="13">
        <f t="shared" si="2"/>
        <v>88.25</v>
      </c>
      <c r="S8" s="14">
        <f t="shared" si="3"/>
        <v>51.249999999999993</v>
      </c>
      <c r="T8" s="14">
        <f t="shared" si="6"/>
        <v>71</v>
      </c>
      <c r="U8" s="14">
        <f t="shared" si="12"/>
        <v>88</v>
      </c>
      <c r="V8" s="14"/>
      <c r="W8" s="14"/>
      <c r="X8" s="14">
        <f t="shared" ref="X8:Z8" si="14">L8+30</f>
        <v>75</v>
      </c>
      <c r="Y8" s="14">
        <f t="shared" si="14"/>
        <v>69</v>
      </c>
      <c r="Z8" s="14">
        <f t="shared" si="14"/>
        <v>80</v>
      </c>
    </row>
    <row r="9" spans="1:26" ht="14.4" x14ac:dyDescent="0.3">
      <c r="A9" s="6">
        <v>8</v>
      </c>
      <c r="B9" s="7" t="s">
        <v>56</v>
      </c>
      <c r="C9" s="7" t="s">
        <v>57</v>
      </c>
      <c r="D9" s="7" t="s">
        <v>58</v>
      </c>
      <c r="E9" s="7" t="s">
        <v>59</v>
      </c>
      <c r="F9" s="8">
        <v>39869</v>
      </c>
      <c r="G9" s="7" t="s">
        <v>30</v>
      </c>
      <c r="H9" s="9">
        <v>32</v>
      </c>
      <c r="I9" s="9">
        <v>45</v>
      </c>
      <c r="J9" s="10"/>
      <c r="K9" s="10"/>
      <c r="L9" s="23">
        <v>44</v>
      </c>
      <c r="M9" s="11">
        <v>34</v>
      </c>
      <c r="N9" s="11">
        <v>41</v>
      </c>
      <c r="O9" s="11">
        <v>41</v>
      </c>
      <c r="P9" s="11">
        <f t="shared" si="0"/>
        <v>196</v>
      </c>
      <c r="Q9" s="12">
        <f t="shared" si="1"/>
        <v>49</v>
      </c>
      <c r="R9" s="13">
        <f t="shared" si="2"/>
        <v>79</v>
      </c>
      <c r="S9" s="14">
        <f t="shared" si="3"/>
        <v>40</v>
      </c>
      <c r="T9" s="14">
        <f t="shared" si="6"/>
        <v>62</v>
      </c>
      <c r="U9" s="14">
        <f t="shared" si="12"/>
        <v>75</v>
      </c>
      <c r="V9" s="14"/>
      <c r="W9" s="14"/>
      <c r="X9" s="14">
        <f t="shared" ref="X9:Z9" si="15">L9+30</f>
        <v>74</v>
      </c>
      <c r="Y9" s="14">
        <f t="shared" si="15"/>
        <v>64</v>
      </c>
      <c r="Z9" s="14">
        <f t="shared" si="15"/>
        <v>71</v>
      </c>
    </row>
    <row r="10" spans="1:26" ht="14.4" x14ac:dyDescent="0.3">
      <c r="A10" s="24">
        <v>9</v>
      </c>
      <c r="B10" s="25" t="s">
        <v>60</v>
      </c>
      <c r="C10" s="25" t="s">
        <v>61</v>
      </c>
      <c r="D10" s="25" t="s">
        <v>62</v>
      </c>
      <c r="E10" s="25" t="s">
        <v>63</v>
      </c>
      <c r="F10" s="26">
        <v>39927</v>
      </c>
      <c r="G10" s="25" t="s">
        <v>30</v>
      </c>
      <c r="H10" s="27">
        <v>36</v>
      </c>
      <c r="I10" s="27">
        <v>54</v>
      </c>
      <c r="J10" s="28"/>
      <c r="K10" s="28"/>
      <c r="L10" s="29">
        <v>55</v>
      </c>
      <c r="M10" s="30">
        <v>37</v>
      </c>
      <c r="N10" s="30">
        <v>38</v>
      </c>
      <c r="O10" s="30">
        <v>45</v>
      </c>
      <c r="P10" s="30">
        <f t="shared" si="0"/>
        <v>220</v>
      </c>
      <c r="Q10" s="31">
        <f t="shared" si="1"/>
        <v>55.000000000000007</v>
      </c>
      <c r="R10" s="13">
        <f t="shared" si="2"/>
        <v>85</v>
      </c>
      <c r="S10" s="14">
        <f t="shared" si="3"/>
        <v>45</v>
      </c>
      <c r="T10" s="14">
        <f t="shared" si="6"/>
        <v>66</v>
      </c>
      <c r="U10" s="14">
        <f t="shared" si="12"/>
        <v>84</v>
      </c>
      <c r="V10" s="14"/>
      <c r="W10" s="14"/>
      <c r="X10" s="14">
        <f t="shared" ref="X10:Z10" si="16">L10+30</f>
        <v>85</v>
      </c>
      <c r="Y10" s="14">
        <f t="shared" si="16"/>
        <v>67</v>
      </c>
      <c r="Z10" s="14">
        <f t="shared" si="16"/>
        <v>68</v>
      </c>
    </row>
    <row r="11" spans="1:26" ht="14.4" x14ac:dyDescent="0.3">
      <c r="A11" s="6">
        <v>10</v>
      </c>
      <c r="B11" s="7" t="s">
        <v>64</v>
      </c>
      <c r="C11" s="7" t="s">
        <v>65</v>
      </c>
      <c r="D11" s="7" t="s">
        <v>66</v>
      </c>
      <c r="E11" s="7" t="s">
        <v>67</v>
      </c>
      <c r="F11" s="8">
        <v>39948</v>
      </c>
      <c r="G11" s="7" t="s">
        <v>30</v>
      </c>
      <c r="H11" s="9">
        <v>27</v>
      </c>
      <c r="I11" s="9">
        <v>40</v>
      </c>
      <c r="J11" s="10"/>
      <c r="K11" s="10"/>
      <c r="L11" s="23">
        <v>38</v>
      </c>
      <c r="M11" s="11">
        <v>31</v>
      </c>
      <c r="N11" s="11">
        <v>33</v>
      </c>
      <c r="O11" s="11">
        <v>32</v>
      </c>
      <c r="P11" s="11">
        <f t="shared" si="0"/>
        <v>169</v>
      </c>
      <c r="Q11" s="12">
        <f t="shared" si="1"/>
        <v>42.25</v>
      </c>
      <c r="R11" s="13">
        <f t="shared" si="2"/>
        <v>72.25</v>
      </c>
      <c r="S11" s="14">
        <f t="shared" si="3"/>
        <v>33.75</v>
      </c>
      <c r="T11" s="14">
        <f t="shared" si="6"/>
        <v>57</v>
      </c>
      <c r="U11" s="14">
        <f t="shared" si="12"/>
        <v>70</v>
      </c>
      <c r="V11" s="14"/>
      <c r="W11" s="14"/>
      <c r="X11" s="14">
        <f t="shared" ref="X11:Z11" si="17">L11+30</f>
        <v>68</v>
      </c>
      <c r="Y11" s="14">
        <f t="shared" si="17"/>
        <v>61</v>
      </c>
      <c r="Z11" s="14">
        <f t="shared" si="17"/>
        <v>63</v>
      </c>
    </row>
    <row r="12" spans="1:26" ht="14.4" x14ac:dyDescent="0.3">
      <c r="A12" s="6">
        <v>11</v>
      </c>
      <c r="B12" s="7" t="s">
        <v>68</v>
      </c>
      <c r="C12" s="7" t="s">
        <v>69</v>
      </c>
      <c r="D12" s="7" t="s">
        <v>70</v>
      </c>
      <c r="E12" s="7" t="s">
        <v>71</v>
      </c>
      <c r="F12" s="8">
        <v>40050</v>
      </c>
      <c r="G12" s="7" t="s">
        <v>30</v>
      </c>
      <c r="H12" s="9">
        <v>27</v>
      </c>
      <c r="I12" s="9">
        <v>48</v>
      </c>
      <c r="J12" s="10"/>
      <c r="K12" s="10"/>
      <c r="L12" s="23">
        <v>45</v>
      </c>
      <c r="M12" s="11">
        <v>41</v>
      </c>
      <c r="N12" s="11">
        <v>29</v>
      </c>
      <c r="O12" s="11">
        <v>45</v>
      </c>
      <c r="P12" s="11">
        <f t="shared" si="0"/>
        <v>190</v>
      </c>
      <c r="Q12" s="12">
        <f t="shared" si="1"/>
        <v>47.5</v>
      </c>
      <c r="R12" s="13">
        <f t="shared" si="2"/>
        <v>77.5</v>
      </c>
      <c r="S12" s="14">
        <f t="shared" si="3"/>
        <v>33.75</v>
      </c>
      <c r="T12" s="14">
        <f t="shared" si="6"/>
        <v>57</v>
      </c>
      <c r="U12" s="14">
        <f t="shared" si="12"/>
        <v>78</v>
      </c>
      <c r="V12" s="14"/>
      <c r="W12" s="14"/>
      <c r="X12" s="14">
        <f t="shared" ref="X12:Z12" si="18">L12+30</f>
        <v>75</v>
      </c>
      <c r="Y12" s="14">
        <f t="shared" si="18"/>
        <v>71</v>
      </c>
      <c r="Z12" s="14">
        <f t="shared" si="18"/>
        <v>59</v>
      </c>
    </row>
    <row r="13" spans="1:26" ht="14.4" x14ac:dyDescent="0.3">
      <c r="A13" s="15">
        <v>13</v>
      </c>
      <c r="B13" s="16" t="s">
        <v>72</v>
      </c>
      <c r="C13" s="16" t="s">
        <v>73</v>
      </c>
      <c r="D13" s="16" t="s">
        <v>74</v>
      </c>
      <c r="E13" s="16" t="s">
        <v>75</v>
      </c>
      <c r="F13" s="17">
        <v>39599</v>
      </c>
      <c r="G13" s="16" t="s">
        <v>30</v>
      </c>
      <c r="H13" s="18">
        <v>23</v>
      </c>
      <c r="I13" s="18">
        <v>37</v>
      </c>
      <c r="J13" s="19"/>
      <c r="K13" s="19"/>
      <c r="L13" s="32">
        <v>29</v>
      </c>
      <c r="M13" s="21">
        <v>25</v>
      </c>
      <c r="N13" s="21">
        <v>27</v>
      </c>
      <c r="O13" s="21">
        <v>43</v>
      </c>
      <c r="P13" s="21">
        <f t="shared" si="0"/>
        <v>141</v>
      </c>
      <c r="Q13" s="22">
        <f t="shared" si="1"/>
        <v>35.25</v>
      </c>
      <c r="R13" s="13">
        <f t="shared" si="2"/>
        <v>65.25</v>
      </c>
      <c r="S13" s="14">
        <f t="shared" si="3"/>
        <v>28.749999999999996</v>
      </c>
      <c r="T13" s="14">
        <f t="shared" si="6"/>
        <v>53</v>
      </c>
      <c r="U13" s="14">
        <f t="shared" si="12"/>
        <v>67</v>
      </c>
      <c r="V13" s="14"/>
      <c r="W13" s="14"/>
      <c r="X13" s="14">
        <f t="shared" ref="X13:Z13" si="19">L13+30</f>
        <v>59</v>
      </c>
      <c r="Y13" s="14">
        <f t="shared" si="19"/>
        <v>55</v>
      </c>
      <c r="Z13" s="14">
        <f t="shared" si="19"/>
        <v>57</v>
      </c>
    </row>
    <row r="14" spans="1:26" ht="14.4" x14ac:dyDescent="0.3">
      <c r="A14" s="6">
        <v>14</v>
      </c>
      <c r="B14" s="7" t="s">
        <v>76</v>
      </c>
      <c r="C14" s="7" t="s">
        <v>77</v>
      </c>
      <c r="D14" s="7" t="s">
        <v>78</v>
      </c>
      <c r="E14" s="7" t="s">
        <v>79</v>
      </c>
      <c r="F14" s="8">
        <v>40072</v>
      </c>
      <c r="G14" s="7" t="s">
        <v>30</v>
      </c>
      <c r="H14" s="9">
        <v>29</v>
      </c>
      <c r="I14" s="9">
        <v>52</v>
      </c>
      <c r="J14" s="10"/>
      <c r="K14" s="10"/>
      <c r="L14" s="23">
        <v>36</v>
      </c>
      <c r="M14" s="11">
        <v>26</v>
      </c>
      <c r="N14" s="11">
        <v>32</v>
      </c>
      <c r="O14" s="11">
        <v>42</v>
      </c>
      <c r="P14" s="11">
        <f t="shared" si="0"/>
        <v>175</v>
      </c>
      <c r="Q14" s="12">
        <f t="shared" si="1"/>
        <v>43.75</v>
      </c>
      <c r="R14" s="13">
        <f t="shared" si="2"/>
        <v>73.75</v>
      </c>
      <c r="S14" s="14">
        <f t="shared" si="3"/>
        <v>36.25</v>
      </c>
      <c r="T14" s="14">
        <f t="shared" si="6"/>
        <v>59</v>
      </c>
      <c r="U14" s="14">
        <f t="shared" si="12"/>
        <v>82</v>
      </c>
      <c r="V14" s="14"/>
      <c r="W14" s="14"/>
      <c r="X14" s="14">
        <f t="shared" ref="X14:Z14" si="20">L14+30</f>
        <v>66</v>
      </c>
      <c r="Y14" s="14">
        <f t="shared" si="20"/>
        <v>56</v>
      </c>
      <c r="Z14" s="14">
        <f t="shared" si="20"/>
        <v>62</v>
      </c>
    </row>
    <row r="15" spans="1:26" ht="14.4" x14ac:dyDescent="0.3">
      <c r="A15" s="6">
        <v>15</v>
      </c>
      <c r="B15" s="7" t="s">
        <v>80</v>
      </c>
      <c r="C15" s="7" t="s">
        <v>81</v>
      </c>
      <c r="D15" s="7" t="s">
        <v>82</v>
      </c>
      <c r="E15" s="7" t="s">
        <v>83</v>
      </c>
      <c r="F15" s="8">
        <v>39650</v>
      </c>
      <c r="G15" s="7" t="s">
        <v>39</v>
      </c>
      <c r="H15" s="9">
        <v>31</v>
      </c>
      <c r="I15" s="9">
        <v>45</v>
      </c>
      <c r="J15" s="10"/>
      <c r="K15" s="10"/>
      <c r="L15" s="23">
        <v>40</v>
      </c>
      <c r="M15" s="11">
        <v>34</v>
      </c>
      <c r="N15" s="33">
        <v>19</v>
      </c>
      <c r="O15" s="11">
        <v>41</v>
      </c>
      <c r="P15" s="11">
        <f t="shared" si="0"/>
        <v>169</v>
      </c>
      <c r="Q15" s="12">
        <f t="shared" si="1"/>
        <v>42.25</v>
      </c>
      <c r="R15" s="13">
        <f t="shared" si="2"/>
        <v>72.25</v>
      </c>
      <c r="S15" s="14">
        <f t="shared" si="3"/>
        <v>38.75</v>
      </c>
      <c r="T15" s="14">
        <f t="shared" si="6"/>
        <v>61</v>
      </c>
      <c r="U15" s="14">
        <f t="shared" si="12"/>
        <v>75</v>
      </c>
      <c r="V15" s="14"/>
      <c r="W15" s="14"/>
      <c r="X15" s="14">
        <f t="shared" ref="X15:Z15" si="21">L15+30</f>
        <v>70</v>
      </c>
      <c r="Y15" s="14">
        <f t="shared" si="21"/>
        <v>64</v>
      </c>
      <c r="Z15" s="14">
        <f t="shared" si="21"/>
        <v>49</v>
      </c>
    </row>
    <row r="16" spans="1:26" ht="14.4" x14ac:dyDescent="0.3">
      <c r="A16" s="6">
        <v>16</v>
      </c>
      <c r="B16" s="7" t="s">
        <v>84</v>
      </c>
      <c r="C16" s="7" t="s">
        <v>85</v>
      </c>
      <c r="D16" s="7" t="s">
        <v>86</v>
      </c>
      <c r="E16" s="7" t="s">
        <v>87</v>
      </c>
      <c r="F16" s="8">
        <v>39675</v>
      </c>
      <c r="G16" s="7" t="s">
        <v>30</v>
      </c>
      <c r="H16" s="9">
        <v>28</v>
      </c>
      <c r="I16" s="9">
        <v>44</v>
      </c>
      <c r="J16" s="10"/>
      <c r="K16" s="10"/>
      <c r="L16" s="23">
        <v>39</v>
      </c>
      <c r="M16" s="11">
        <v>31</v>
      </c>
      <c r="N16" s="11">
        <v>41</v>
      </c>
      <c r="O16" s="11">
        <v>37</v>
      </c>
      <c r="P16" s="11">
        <f t="shared" si="0"/>
        <v>183</v>
      </c>
      <c r="Q16" s="12">
        <f t="shared" si="1"/>
        <v>45.75</v>
      </c>
      <c r="R16" s="13">
        <f t="shared" si="2"/>
        <v>75.75</v>
      </c>
      <c r="S16" s="14">
        <f t="shared" si="3"/>
        <v>35</v>
      </c>
      <c r="T16" s="14">
        <f t="shared" si="6"/>
        <v>58</v>
      </c>
      <c r="U16" s="14">
        <f t="shared" si="12"/>
        <v>74</v>
      </c>
      <c r="V16" s="14"/>
      <c r="W16" s="14"/>
      <c r="X16" s="14">
        <f t="shared" ref="X16:Z16" si="22">L16+30</f>
        <v>69</v>
      </c>
      <c r="Y16" s="14">
        <f t="shared" si="22"/>
        <v>61</v>
      </c>
      <c r="Z16" s="14">
        <f t="shared" si="22"/>
        <v>71</v>
      </c>
    </row>
    <row r="17" spans="1:26" ht="15.75" customHeight="1" x14ac:dyDescent="0.3">
      <c r="A17" s="6">
        <v>17</v>
      </c>
      <c r="B17" s="7" t="s">
        <v>88</v>
      </c>
      <c r="C17" s="7" t="s">
        <v>89</v>
      </c>
      <c r="D17" s="7" t="s">
        <v>90</v>
      </c>
      <c r="E17" s="7" t="s">
        <v>91</v>
      </c>
      <c r="F17" s="8">
        <v>39675</v>
      </c>
      <c r="G17" s="7" t="s">
        <v>30</v>
      </c>
      <c r="H17" s="9">
        <v>41</v>
      </c>
      <c r="I17" s="9">
        <v>42</v>
      </c>
      <c r="J17" s="10"/>
      <c r="K17" s="10"/>
      <c r="L17" s="23">
        <v>31</v>
      </c>
      <c r="M17" s="11">
        <v>25</v>
      </c>
      <c r="N17" s="11">
        <v>30</v>
      </c>
      <c r="O17" s="11">
        <v>32</v>
      </c>
      <c r="P17" s="11">
        <f t="shared" si="0"/>
        <v>169</v>
      </c>
      <c r="Q17" s="12">
        <f t="shared" si="1"/>
        <v>42.25</v>
      </c>
      <c r="R17" s="13">
        <f t="shared" si="2"/>
        <v>72.25</v>
      </c>
      <c r="S17" s="14">
        <f t="shared" si="3"/>
        <v>51.249999999999993</v>
      </c>
      <c r="T17" s="14">
        <f t="shared" si="6"/>
        <v>71</v>
      </c>
      <c r="U17" s="14">
        <f t="shared" si="12"/>
        <v>72</v>
      </c>
      <c r="V17" s="14"/>
      <c r="W17" s="14"/>
      <c r="X17" s="14">
        <f t="shared" ref="X17:Z17" si="23">L17+30</f>
        <v>61</v>
      </c>
      <c r="Y17" s="14">
        <f t="shared" si="23"/>
        <v>55</v>
      </c>
      <c r="Z17" s="14">
        <f t="shared" si="23"/>
        <v>60</v>
      </c>
    </row>
    <row r="18" spans="1:26" ht="15.75" customHeight="1" x14ac:dyDescent="0.3">
      <c r="A18" s="34">
        <v>18</v>
      </c>
      <c r="B18" s="35" t="s">
        <v>92</v>
      </c>
      <c r="C18" s="35" t="s">
        <v>93</v>
      </c>
      <c r="D18" s="35" t="s">
        <v>94</v>
      </c>
      <c r="E18" s="35" t="s">
        <v>95</v>
      </c>
      <c r="F18" s="36">
        <v>40078</v>
      </c>
      <c r="G18" s="35" t="s">
        <v>39</v>
      </c>
      <c r="H18" s="37">
        <v>36</v>
      </c>
      <c r="I18" s="38"/>
      <c r="J18" s="37">
        <v>55</v>
      </c>
      <c r="K18" s="38"/>
      <c r="L18" s="39">
        <v>48</v>
      </c>
      <c r="M18" s="40">
        <v>35</v>
      </c>
      <c r="N18" s="40">
        <v>38</v>
      </c>
      <c r="O18" s="40">
        <v>44</v>
      </c>
      <c r="P18" s="40">
        <f t="shared" si="0"/>
        <v>212</v>
      </c>
      <c r="Q18" s="41">
        <f t="shared" si="1"/>
        <v>53</v>
      </c>
      <c r="R18" s="13">
        <f t="shared" si="2"/>
        <v>83</v>
      </c>
      <c r="S18" s="14">
        <f t="shared" si="3"/>
        <v>45</v>
      </c>
      <c r="T18" s="14">
        <f t="shared" si="6"/>
        <v>66</v>
      </c>
      <c r="U18" s="14"/>
      <c r="V18" s="14">
        <f>J18+30</f>
        <v>85</v>
      </c>
      <c r="W18" s="14"/>
      <c r="X18" s="14">
        <f t="shared" ref="X18:Z18" si="24">L18+30</f>
        <v>78</v>
      </c>
      <c r="Y18" s="14">
        <f t="shared" si="24"/>
        <v>65</v>
      </c>
      <c r="Z18" s="14">
        <f t="shared" si="24"/>
        <v>68</v>
      </c>
    </row>
    <row r="19" spans="1:26" ht="15.75" customHeight="1" x14ac:dyDescent="0.3">
      <c r="A19" s="6">
        <v>19</v>
      </c>
      <c r="B19" s="7" t="s">
        <v>96</v>
      </c>
      <c r="C19" s="7" t="s">
        <v>97</v>
      </c>
      <c r="D19" s="7" t="s">
        <v>98</v>
      </c>
      <c r="E19" s="7" t="s">
        <v>99</v>
      </c>
      <c r="F19" s="8">
        <v>40088</v>
      </c>
      <c r="G19" s="7" t="s">
        <v>39</v>
      </c>
      <c r="H19" s="9">
        <v>30</v>
      </c>
      <c r="I19" s="9">
        <v>58</v>
      </c>
      <c r="J19" s="10"/>
      <c r="K19" s="10"/>
      <c r="L19" s="23">
        <v>21</v>
      </c>
      <c r="M19" s="11">
        <v>23</v>
      </c>
      <c r="N19" s="11">
        <v>34</v>
      </c>
      <c r="O19" s="11">
        <v>33</v>
      </c>
      <c r="P19" s="11">
        <f t="shared" si="0"/>
        <v>166</v>
      </c>
      <c r="Q19" s="12">
        <f t="shared" si="1"/>
        <v>41.5</v>
      </c>
      <c r="R19" s="13">
        <f t="shared" si="2"/>
        <v>71.5</v>
      </c>
      <c r="S19" s="14">
        <f t="shared" si="3"/>
        <v>37.5</v>
      </c>
      <c r="T19" s="14">
        <f t="shared" si="6"/>
        <v>60</v>
      </c>
      <c r="U19" s="14">
        <f t="shared" ref="U19:U23" si="25">I19+30</f>
        <v>88</v>
      </c>
      <c r="V19" s="14"/>
      <c r="W19" s="14"/>
      <c r="X19" s="14">
        <f t="shared" ref="X19:Z19" si="26">L19+30</f>
        <v>51</v>
      </c>
      <c r="Y19" s="14">
        <f t="shared" si="26"/>
        <v>53</v>
      </c>
      <c r="Z19" s="14">
        <f t="shared" si="26"/>
        <v>64</v>
      </c>
    </row>
    <row r="20" spans="1:26" ht="15.75" customHeight="1" x14ac:dyDescent="0.3">
      <c r="A20" s="34">
        <v>20</v>
      </c>
      <c r="B20" s="35" t="s">
        <v>100</v>
      </c>
      <c r="C20" s="35" t="s">
        <v>101</v>
      </c>
      <c r="D20" s="35" t="s">
        <v>102</v>
      </c>
      <c r="E20" s="35" t="s">
        <v>103</v>
      </c>
      <c r="F20" s="36">
        <v>39934</v>
      </c>
      <c r="G20" s="35" t="s">
        <v>30</v>
      </c>
      <c r="H20" s="37">
        <v>18</v>
      </c>
      <c r="I20" s="37">
        <v>54</v>
      </c>
      <c r="J20" s="38"/>
      <c r="K20" s="38"/>
      <c r="L20" s="39">
        <v>59</v>
      </c>
      <c r="M20" s="40">
        <v>48</v>
      </c>
      <c r="N20" s="40">
        <v>36</v>
      </c>
      <c r="O20" s="40">
        <v>36</v>
      </c>
      <c r="P20" s="40">
        <f t="shared" si="0"/>
        <v>215</v>
      </c>
      <c r="Q20" s="41">
        <f t="shared" si="1"/>
        <v>53.75</v>
      </c>
      <c r="R20" s="13">
        <f t="shared" si="2"/>
        <v>83.75</v>
      </c>
      <c r="S20" s="14">
        <f t="shared" si="3"/>
        <v>22.5</v>
      </c>
      <c r="T20" s="14">
        <f t="shared" si="6"/>
        <v>48</v>
      </c>
      <c r="U20" s="14">
        <f t="shared" si="25"/>
        <v>84</v>
      </c>
      <c r="V20" s="14"/>
      <c r="W20" s="14"/>
      <c r="X20" s="14">
        <f t="shared" ref="X20:Z20" si="27">L20+30</f>
        <v>89</v>
      </c>
      <c r="Y20" s="14">
        <f t="shared" si="27"/>
        <v>78</v>
      </c>
      <c r="Z20" s="14">
        <f t="shared" si="27"/>
        <v>66</v>
      </c>
    </row>
    <row r="21" spans="1:26" ht="15.75" customHeight="1" x14ac:dyDescent="0.3">
      <c r="A21" s="34">
        <v>21</v>
      </c>
      <c r="B21" s="42" t="s">
        <v>104</v>
      </c>
      <c r="C21" s="35" t="s">
        <v>105</v>
      </c>
      <c r="D21" s="35" t="s">
        <v>106</v>
      </c>
      <c r="E21" s="35" t="s">
        <v>107</v>
      </c>
      <c r="F21" s="43">
        <v>39770</v>
      </c>
      <c r="G21" s="35" t="s">
        <v>30</v>
      </c>
      <c r="H21" s="44">
        <v>56</v>
      </c>
      <c r="I21" s="44">
        <v>47</v>
      </c>
      <c r="J21" s="44"/>
      <c r="K21" s="44"/>
      <c r="L21" s="44">
        <v>34</v>
      </c>
      <c r="M21" s="44">
        <v>39</v>
      </c>
      <c r="N21" s="44">
        <v>36</v>
      </c>
      <c r="O21" s="44">
        <v>37</v>
      </c>
      <c r="P21" s="45">
        <f>SUM(J21:N21)</f>
        <v>109</v>
      </c>
      <c r="Q21" s="46">
        <f t="shared" si="1"/>
        <v>27.250000000000004</v>
      </c>
      <c r="R21" s="13">
        <f t="shared" si="2"/>
        <v>57.25</v>
      </c>
      <c r="S21" s="14">
        <f t="shared" si="3"/>
        <v>70</v>
      </c>
      <c r="T21" s="14">
        <f t="shared" si="6"/>
        <v>86</v>
      </c>
      <c r="U21" s="14">
        <f t="shared" si="25"/>
        <v>77</v>
      </c>
      <c r="V21" s="14"/>
      <c r="W21" s="14"/>
      <c r="X21" s="14">
        <f t="shared" ref="X21:Z21" si="28">L21+30</f>
        <v>64</v>
      </c>
      <c r="Y21" s="14">
        <f t="shared" si="28"/>
        <v>69</v>
      </c>
      <c r="Z21" s="14">
        <f t="shared" si="28"/>
        <v>66</v>
      </c>
    </row>
    <row r="22" spans="1:26" ht="15.75" customHeight="1" x14ac:dyDescent="0.3">
      <c r="A22" s="34">
        <v>22</v>
      </c>
      <c r="B22" s="35" t="s">
        <v>108</v>
      </c>
      <c r="C22" s="35" t="s">
        <v>109</v>
      </c>
      <c r="D22" s="35" t="s">
        <v>110</v>
      </c>
      <c r="E22" s="35" t="s">
        <v>111</v>
      </c>
      <c r="F22" s="36">
        <v>39596</v>
      </c>
      <c r="G22" s="35" t="s">
        <v>39</v>
      </c>
      <c r="H22" s="37">
        <v>37</v>
      </c>
      <c r="I22" s="37">
        <v>54</v>
      </c>
      <c r="J22" s="38"/>
      <c r="K22" s="38"/>
      <c r="L22" s="39">
        <v>46</v>
      </c>
      <c r="M22" s="40">
        <v>40</v>
      </c>
      <c r="N22" s="40">
        <v>32</v>
      </c>
      <c r="O22" s="40">
        <v>41</v>
      </c>
      <c r="P22" s="40">
        <f t="shared" ref="P22:P30" si="29">SUM(H22:N22)</f>
        <v>209</v>
      </c>
      <c r="Q22" s="41">
        <f t="shared" si="1"/>
        <v>52.25</v>
      </c>
      <c r="R22" s="13">
        <f t="shared" si="2"/>
        <v>82.25</v>
      </c>
      <c r="S22" s="14">
        <f t="shared" si="3"/>
        <v>46.25</v>
      </c>
      <c r="T22" s="14">
        <f t="shared" si="6"/>
        <v>67</v>
      </c>
      <c r="U22" s="14">
        <f t="shared" si="25"/>
        <v>84</v>
      </c>
      <c r="V22" s="14"/>
      <c r="W22" s="14"/>
      <c r="X22" s="14">
        <f t="shared" ref="X22:Z22" si="30">L22+30</f>
        <v>76</v>
      </c>
      <c r="Y22" s="14">
        <f t="shared" si="30"/>
        <v>70</v>
      </c>
      <c r="Z22" s="14">
        <f t="shared" si="30"/>
        <v>62</v>
      </c>
    </row>
    <row r="23" spans="1:26" ht="15.75" customHeight="1" x14ac:dyDescent="0.3">
      <c r="A23" s="24">
        <v>23</v>
      </c>
      <c r="B23" s="25" t="s">
        <v>112</v>
      </c>
      <c r="C23" s="25" t="s">
        <v>113</v>
      </c>
      <c r="D23" s="25" t="s">
        <v>114</v>
      </c>
      <c r="E23" s="25" t="s">
        <v>115</v>
      </c>
      <c r="F23" s="26">
        <v>39608</v>
      </c>
      <c r="G23" s="25" t="s">
        <v>30</v>
      </c>
      <c r="H23" s="27">
        <v>34</v>
      </c>
      <c r="I23" s="27">
        <v>49</v>
      </c>
      <c r="J23" s="28"/>
      <c r="K23" s="28"/>
      <c r="L23" s="29">
        <v>55</v>
      </c>
      <c r="M23" s="30">
        <v>40</v>
      </c>
      <c r="N23" s="30">
        <v>44</v>
      </c>
      <c r="O23" s="30">
        <v>42</v>
      </c>
      <c r="P23" s="30">
        <f t="shared" si="29"/>
        <v>222</v>
      </c>
      <c r="Q23" s="31">
        <f t="shared" si="1"/>
        <v>55.500000000000007</v>
      </c>
      <c r="R23" s="13">
        <f t="shared" si="2"/>
        <v>85.5</v>
      </c>
      <c r="S23" s="14">
        <f t="shared" si="3"/>
        <v>42.5</v>
      </c>
      <c r="T23" s="14">
        <f t="shared" si="6"/>
        <v>64</v>
      </c>
      <c r="U23" s="14">
        <f t="shared" si="25"/>
        <v>79</v>
      </c>
      <c r="V23" s="14"/>
      <c r="W23" s="14"/>
      <c r="X23" s="14">
        <f t="shared" ref="X23:Z23" si="31">L23+30</f>
        <v>85</v>
      </c>
      <c r="Y23" s="14">
        <f t="shared" si="31"/>
        <v>70</v>
      </c>
      <c r="Z23" s="14">
        <f t="shared" si="31"/>
        <v>74</v>
      </c>
    </row>
    <row r="24" spans="1:26" ht="15.75" customHeight="1" x14ac:dyDescent="0.3">
      <c r="A24" s="34">
        <v>24</v>
      </c>
      <c r="B24" s="35" t="s">
        <v>116</v>
      </c>
      <c r="C24" s="35" t="s">
        <v>117</v>
      </c>
      <c r="D24" s="35" t="s">
        <v>118</v>
      </c>
      <c r="E24" s="35" t="s">
        <v>119</v>
      </c>
      <c r="F24" s="36">
        <v>39828</v>
      </c>
      <c r="G24" s="35" t="s">
        <v>39</v>
      </c>
      <c r="H24" s="37">
        <v>30</v>
      </c>
      <c r="I24" s="38"/>
      <c r="J24" s="38"/>
      <c r="K24" s="37">
        <v>54</v>
      </c>
      <c r="L24" s="39">
        <v>46</v>
      </c>
      <c r="M24" s="40">
        <v>35</v>
      </c>
      <c r="N24" s="40">
        <v>36</v>
      </c>
      <c r="O24" s="40">
        <v>32</v>
      </c>
      <c r="P24" s="40">
        <f t="shared" si="29"/>
        <v>201</v>
      </c>
      <c r="Q24" s="41">
        <f t="shared" si="1"/>
        <v>50.249999999999993</v>
      </c>
      <c r="R24" s="13">
        <f t="shared" si="2"/>
        <v>80.25</v>
      </c>
      <c r="S24" s="14">
        <f t="shared" si="3"/>
        <v>37.5</v>
      </c>
      <c r="T24" s="14">
        <f t="shared" si="6"/>
        <v>60</v>
      </c>
      <c r="U24" s="14"/>
      <c r="V24" s="14"/>
      <c r="W24" s="14">
        <f t="shared" ref="W24:Z24" si="32">K24+30</f>
        <v>84</v>
      </c>
      <c r="X24" s="14">
        <f t="shared" si="32"/>
        <v>76</v>
      </c>
      <c r="Y24" s="14">
        <f t="shared" si="32"/>
        <v>65</v>
      </c>
      <c r="Z24" s="14">
        <f t="shared" si="32"/>
        <v>66</v>
      </c>
    </row>
    <row r="25" spans="1:26" ht="15.75" customHeight="1" x14ac:dyDescent="0.3">
      <c r="A25" s="24">
        <v>25</v>
      </c>
      <c r="B25" s="25" t="s">
        <v>120</v>
      </c>
      <c r="C25" s="25" t="s">
        <v>121</v>
      </c>
      <c r="D25" s="25" t="s">
        <v>122</v>
      </c>
      <c r="E25" s="25" t="s">
        <v>123</v>
      </c>
      <c r="F25" s="26">
        <v>39908</v>
      </c>
      <c r="G25" s="25" t="s">
        <v>30</v>
      </c>
      <c r="H25" s="27">
        <v>37</v>
      </c>
      <c r="I25" s="27">
        <v>58</v>
      </c>
      <c r="J25" s="28"/>
      <c r="K25" s="28"/>
      <c r="L25" s="29">
        <v>48</v>
      </c>
      <c r="M25" s="30">
        <v>48</v>
      </c>
      <c r="N25" s="30">
        <v>36</v>
      </c>
      <c r="O25" s="30">
        <v>47</v>
      </c>
      <c r="P25" s="30">
        <f t="shared" si="29"/>
        <v>227</v>
      </c>
      <c r="Q25" s="31">
        <f t="shared" si="1"/>
        <v>56.75</v>
      </c>
      <c r="R25" s="13">
        <f t="shared" si="2"/>
        <v>86.75</v>
      </c>
      <c r="S25" s="14">
        <f t="shared" si="3"/>
        <v>46.25</v>
      </c>
      <c r="T25" s="14">
        <f t="shared" si="6"/>
        <v>67</v>
      </c>
      <c r="U25" s="14">
        <f t="shared" ref="U25:U27" si="33">I25+30</f>
        <v>88</v>
      </c>
      <c r="V25" s="14"/>
      <c r="W25" s="14"/>
      <c r="X25" s="14">
        <f t="shared" ref="X25:Z25" si="34">L25+30</f>
        <v>78</v>
      </c>
      <c r="Y25" s="14">
        <f t="shared" si="34"/>
        <v>78</v>
      </c>
      <c r="Z25" s="14">
        <f t="shared" si="34"/>
        <v>66</v>
      </c>
    </row>
    <row r="26" spans="1:26" ht="15.75" customHeight="1" x14ac:dyDescent="0.3">
      <c r="A26" s="34">
        <v>26</v>
      </c>
      <c r="B26" s="35" t="s">
        <v>124</v>
      </c>
      <c r="C26" s="35" t="s">
        <v>125</v>
      </c>
      <c r="D26" s="35" t="s">
        <v>126</v>
      </c>
      <c r="E26" s="35" t="s">
        <v>127</v>
      </c>
      <c r="F26" s="36">
        <v>39725</v>
      </c>
      <c r="G26" s="35" t="s">
        <v>30</v>
      </c>
      <c r="H26" s="37">
        <v>38</v>
      </c>
      <c r="I26" s="37">
        <v>57</v>
      </c>
      <c r="J26" s="38"/>
      <c r="K26" s="38"/>
      <c r="L26" s="39">
        <v>45</v>
      </c>
      <c r="M26" s="40">
        <v>34</v>
      </c>
      <c r="N26" s="40">
        <v>39</v>
      </c>
      <c r="O26" s="40">
        <v>46</v>
      </c>
      <c r="P26" s="40">
        <f t="shared" si="29"/>
        <v>213</v>
      </c>
      <c r="Q26" s="41">
        <f t="shared" si="1"/>
        <v>53.25</v>
      </c>
      <c r="R26" s="13">
        <f t="shared" si="2"/>
        <v>83.25</v>
      </c>
      <c r="S26" s="14">
        <f t="shared" si="3"/>
        <v>47.5</v>
      </c>
      <c r="T26" s="14">
        <f t="shared" si="6"/>
        <v>68</v>
      </c>
      <c r="U26" s="14">
        <f t="shared" si="33"/>
        <v>87</v>
      </c>
      <c r="V26" s="14"/>
      <c r="W26" s="14"/>
      <c r="X26" s="14">
        <f t="shared" ref="X26:Z26" si="35">L26+30</f>
        <v>75</v>
      </c>
      <c r="Y26" s="14">
        <f t="shared" si="35"/>
        <v>64</v>
      </c>
      <c r="Z26" s="14">
        <f t="shared" si="35"/>
        <v>69</v>
      </c>
    </row>
    <row r="27" spans="1:26" ht="15.75" customHeight="1" x14ac:dyDescent="0.3">
      <c r="A27" s="6">
        <v>27</v>
      </c>
      <c r="B27" s="7" t="s">
        <v>128</v>
      </c>
      <c r="C27" s="7" t="s">
        <v>129</v>
      </c>
      <c r="D27" s="7" t="s">
        <v>130</v>
      </c>
      <c r="E27" s="7" t="s">
        <v>131</v>
      </c>
      <c r="F27" s="8">
        <v>39943</v>
      </c>
      <c r="G27" s="7" t="s">
        <v>30</v>
      </c>
      <c r="H27" s="9">
        <v>41</v>
      </c>
      <c r="I27" s="9">
        <v>55</v>
      </c>
      <c r="J27" s="10"/>
      <c r="K27" s="10"/>
      <c r="L27" s="23">
        <v>39</v>
      </c>
      <c r="M27" s="11">
        <v>27</v>
      </c>
      <c r="N27" s="11">
        <v>33</v>
      </c>
      <c r="O27" s="11">
        <v>45</v>
      </c>
      <c r="P27" s="11">
        <f t="shared" si="29"/>
        <v>195</v>
      </c>
      <c r="Q27" s="12">
        <f t="shared" si="1"/>
        <v>48.75</v>
      </c>
      <c r="R27" s="13">
        <f t="shared" si="2"/>
        <v>78.75</v>
      </c>
      <c r="S27" s="14">
        <f t="shared" si="3"/>
        <v>51.249999999999993</v>
      </c>
      <c r="T27" s="14">
        <f t="shared" si="6"/>
        <v>71</v>
      </c>
      <c r="U27" s="14">
        <f t="shared" si="33"/>
        <v>85</v>
      </c>
      <c r="V27" s="14"/>
      <c r="W27" s="14"/>
      <c r="X27" s="14">
        <f t="shared" ref="X27:Z27" si="36">L27+30</f>
        <v>69</v>
      </c>
      <c r="Y27" s="14">
        <f t="shared" si="36"/>
        <v>57</v>
      </c>
      <c r="Z27" s="14">
        <f t="shared" si="36"/>
        <v>63</v>
      </c>
    </row>
    <row r="28" spans="1:26" ht="15.75" customHeight="1" x14ac:dyDescent="0.3">
      <c r="A28" s="6">
        <v>28</v>
      </c>
      <c r="B28" s="7" t="s">
        <v>132</v>
      </c>
      <c r="C28" s="7" t="s">
        <v>133</v>
      </c>
      <c r="D28" s="7" t="s">
        <v>134</v>
      </c>
      <c r="E28" s="7" t="s">
        <v>135</v>
      </c>
      <c r="F28" s="8">
        <v>39993</v>
      </c>
      <c r="G28" s="7" t="s">
        <v>30</v>
      </c>
      <c r="H28" s="9">
        <v>27</v>
      </c>
      <c r="I28" s="10"/>
      <c r="J28" s="9">
        <v>52</v>
      </c>
      <c r="K28" s="10"/>
      <c r="L28" s="23">
        <v>39</v>
      </c>
      <c r="M28" s="11">
        <v>23</v>
      </c>
      <c r="N28" s="11">
        <v>27</v>
      </c>
      <c r="O28" s="11">
        <v>34</v>
      </c>
      <c r="P28" s="11">
        <f t="shared" si="29"/>
        <v>168</v>
      </c>
      <c r="Q28" s="12">
        <f t="shared" si="1"/>
        <v>42</v>
      </c>
      <c r="R28" s="13">
        <f t="shared" si="2"/>
        <v>72</v>
      </c>
      <c r="S28" s="14">
        <f t="shared" si="3"/>
        <v>33.75</v>
      </c>
      <c r="T28" s="14">
        <f t="shared" si="6"/>
        <v>57</v>
      </c>
      <c r="U28" s="14"/>
      <c r="V28" s="14">
        <f>J28+30</f>
        <v>82</v>
      </c>
      <c r="W28" s="14"/>
      <c r="X28" s="14">
        <f t="shared" ref="X28:Z28" si="37">L28+30</f>
        <v>69</v>
      </c>
      <c r="Y28" s="14">
        <f t="shared" si="37"/>
        <v>53</v>
      </c>
      <c r="Z28" s="14">
        <f t="shared" si="37"/>
        <v>57</v>
      </c>
    </row>
    <row r="29" spans="1:26" ht="15.75" customHeight="1" x14ac:dyDescent="0.3">
      <c r="A29" s="24">
        <v>29</v>
      </c>
      <c r="B29" s="25" t="s">
        <v>136</v>
      </c>
      <c r="C29" s="25" t="s">
        <v>137</v>
      </c>
      <c r="D29" s="25" t="s">
        <v>138</v>
      </c>
      <c r="E29" s="25" t="s">
        <v>139</v>
      </c>
      <c r="F29" s="26">
        <v>39856</v>
      </c>
      <c r="G29" s="25" t="s">
        <v>30</v>
      </c>
      <c r="H29" s="27">
        <v>29</v>
      </c>
      <c r="I29" s="28"/>
      <c r="J29" s="28"/>
      <c r="K29" s="27">
        <v>54</v>
      </c>
      <c r="L29" s="29">
        <v>59</v>
      </c>
      <c r="M29" s="30">
        <v>45</v>
      </c>
      <c r="N29" s="30">
        <v>35</v>
      </c>
      <c r="O29" s="30">
        <v>25</v>
      </c>
      <c r="P29" s="30">
        <f t="shared" si="29"/>
        <v>222</v>
      </c>
      <c r="Q29" s="31">
        <f t="shared" si="1"/>
        <v>55.500000000000007</v>
      </c>
      <c r="R29" s="13">
        <f t="shared" si="2"/>
        <v>85.5</v>
      </c>
      <c r="S29" s="14">
        <f t="shared" si="3"/>
        <v>36.25</v>
      </c>
      <c r="T29" s="14">
        <f t="shared" si="6"/>
        <v>59</v>
      </c>
      <c r="U29" s="14"/>
      <c r="V29" s="14"/>
      <c r="W29" s="14">
        <f t="shared" ref="W29:Z29" si="38">K29+30</f>
        <v>84</v>
      </c>
      <c r="X29" s="14">
        <f t="shared" si="38"/>
        <v>89</v>
      </c>
      <c r="Y29" s="14">
        <f t="shared" si="38"/>
        <v>75</v>
      </c>
      <c r="Z29" s="14">
        <f t="shared" si="38"/>
        <v>65</v>
      </c>
    </row>
    <row r="30" spans="1:26" ht="15.75" customHeight="1" x14ac:dyDescent="0.3">
      <c r="A30" s="6">
        <v>30</v>
      </c>
      <c r="B30" s="7" t="s">
        <v>140</v>
      </c>
      <c r="C30" s="7" t="s">
        <v>141</v>
      </c>
      <c r="D30" s="7" t="s">
        <v>142</v>
      </c>
      <c r="E30" s="7" t="s">
        <v>143</v>
      </c>
      <c r="F30" s="8">
        <v>40022</v>
      </c>
      <c r="G30" s="7" t="s">
        <v>39</v>
      </c>
      <c r="H30" s="9">
        <v>35</v>
      </c>
      <c r="I30" s="9">
        <v>43</v>
      </c>
      <c r="J30" s="10"/>
      <c r="K30" s="10"/>
      <c r="L30" s="23">
        <v>35</v>
      </c>
      <c r="M30" s="11">
        <v>22</v>
      </c>
      <c r="N30" s="11">
        <v>27</v>
      </c>
      <c r="O30" s="11">
        <v>35</v>
      </c>
      <c r="P30" s="11">
        <f t="shared" si="29"/>
        <v>162</v>
      </c>
      <c r="Q30" s="12">
        <f t="shared" si="1"/>
        <v>40.5</v>
      </c>
      <c r="R30" s="13">
        <f t="shared" si="2"/>
        <v>70.5</v>
      </c>
      <c r="S30" s="14">
        <f t="shared" si="3"/>
        <v>43.75</v>
      </c>
      <c r="T30" s="14">
        <f t="shared" si="6"/>
        <v>65</v>
      </c>
      <c r="U30" s="14">
        <f t="shared" ref="U30:U31" si="39">I30+30</f>
        <v>73</v>
      </c>
      <c r="V30" s="14"/>
      <c r="W30" s="14"/>
      <c r="X30" s="14">
        <f t="shared" ref="X30:Z30" si="40">L30+30</f>
        <v>65</v>
      </c>
      <c r="Y30" s="14">
        <f t="shared" si="40"/>
        <v>52</v>
      </c>
      <c r="Z30" s="14">
        <f t="shared" si="40"/>
        <v>57</v>
      </c>
    </row>
    <row r="31" spans="1:26" ht="15.75" customHeight="1" x14ac:dyDescent="0.3">
      <c r="A31" s="6">
        <v>31</v>
      </c>
      <c r="B31" s="47" t="s">
        <v>144</v>
      </c>
      <c r="C31" s="7" t="s">
        <v>145</v>
      </c>
      <c r="D31" s="7" t="s">
        <v>146</v>
      </c>
      <c r="E31" s="7" t="s">
        <v>147</v>
      </c>
      <c r="F31" s="48">
        <v>39831</v>
      </c>
      <c r="G31" s="7" t="s">
        <v>39</v>
      </c>
      <c r="H31" s="49">
        <v>57</v>
      </c>
      <c r="I31" s="49">
        <v>50</v>
      </c>
      <c r="J31" s="49"/>
      <c r="K31" s="49"/>
      <c r="L31" s="49">
        <v>38</v>
      </c>
      <c r="M31" s="49">
        <v>21</v>
      </c>
      <c r="N31" s="49">
        <v>31</v>
      </c>
      <c r="O31" s="49">
        <v>38</v>
      </c>
      <c r="P31" s="50">
        <f>SUM(J31:N31)</f>
        <v>90</v>
      </c>
      <c r="Q31" s="51">
        <f t="shared" si="1"/>
        <v>22.5</v>
      </c>
      <c r="R31" s="13">
        <f t="shared" si="2"/>
        <v>52.5</v>
      </c>
      <c r="S31" s="14">
        <f t="shared" si="3"/>
        <v>71.25</v>
      </c>
      <c r="T31" s="14">
        <f t="shared" si="6"/>
        <v>87</v>
      </c>
      <c r="U31" s="14">
        <f t="shared" si="39"/>
        <v>80</v>
      </c>
      <c r="V31" s="14"/>
      <c r="W31" s="14"/>
      <c r="X31" s="14">
        <f t="shared" ref="X31:Z31" si="41">L31+30</f>
        <v>68</v>
      </c>
      <c r="Y31" s="14">
        <f t="shared" si="41"/>
        <v>51</v>
      </c>
      <c r="Z31" s="14">
        <f t="shared" si="41"/>
        <v>61</v>
      </c>
    </row>
    <row r="32" spans="1:26" ht="15.75" customHeight="1" x14ac:dyDescent="0.3">
      <c r="A32" s="24">
        <v>32</v>
      </c>
      <c r="B32" s="25" t="s">
        <v>148</v>
      </c>
      <c r="C32" s="25" t="s">
        <v>149</v>
      </c>
      <c r="D32" s="25" t="s">
        <v>150</v>
      </c>
      <c r="E32" s="25" t="s">
        <v>151</v>
      </c>
      <c r="F32" s="26">
        <v>40241</v>
      </c>
      <c r="G32" s="25" t="s">
        <v>39</v>
      </c>
      <c r="H32" s="27">
        <v>60</v>
      </c>
      <c r="I32" s="28"/>
      <c r="J32" s="28"/>
      <c r="K32" s="52">
        <v>68</v>
      </c>
      <c r="L32" s="27">
        <v>72</v>
      </c>
      <c r="M32" s="30">
        <v>59</v>
      </c>
      <c r="N32" s="30">
        <v>64</v>
      </c>
      <c r="O32" s="30">
        <v>48</v>
      </c>
      <c r="P32" s="30">
        <f>SUM(H32:N32)</f>
        <v>323</v>
      </c>
      <c r="Q32" s="31">
        <f t="shared" si="1"/>
        <v>80.75</v>
      </c>
      <c r="R32" s="13">
        <f t="shared" si="2"/>
        <v>110.75</v>
      </c>
      <c r="S32" s="14">
        <f t="shared" si="3"/>
        <v>75</v>
      </c>
      <c r="T32" s="14">
        <f t="shared" si="6"/>
        <v>90</v>
      </c>
      <c r="U32" s="14"/>
      <c r="V32" s="14"/>
      <c r="W32" s="14">
        <f t="shared" ref="W32:Z32" si="42">K32+30</f>
        <v>98</v>
      </c>
      <c r="X32" s="14">
        <f t="shared" si="42"/>
        <v>102</v>
      </c>
      <c r="Y32" s="14">
        <f t="shared" si="42"/>
        <v>89</v>
      </c>
      <c r="Z32" s="14">
        <f t="shared" si="42"/>
        <v>94</v>
      </c>
    </row>
    <row r="33" spans="1:26" ht="15.75" customHeight="1" x14ac:dyDescent="0.3">
      <c r="A33" s="6">
        <v>32</v>
      </c>
      <c r="B33" s="47" t="s">
        <v>152</v>
      </c>
      <c r="C33" s="7" t="s">
        <v>153</v>
      </c>
      <c r="D33" s="7" t="s">
        <v>154</v>
      </c>
      <c r="E33" s="7" t="s">
        <v>155</v>
      </c>
      <c r="F33" s="48">
        <v>40038</v>
      </c>
      <c r="G33" s="7" t="s">
        <v>30</v>
      </c>
      <c r="H33" s="49">
        <v>40</v>
      </c>
      <c r="I33" s="49">
        <v>51</v>
      </c>
      <c r="J33" s="49"/>
      <c r="K33" s="49"/>
      <c r="L33" s="49">
        <v>26</v>
      </c>
      <c r="M33" s="49">
        <v>27</v>
      </c>
      <c r="N33" s="49">
        <v>26</v>
      </c>
      <c r="O33" s="49">
        <v>34</v>
      </c>
      <c r="P33" s="50">
        <f>SUM(J33:N33)</f>
        <v>79</v>
      </c>
      <c r="Q33" s="51">
        <f t="shared" si="1"/>
        <v>19.75</v>
      </c>
      <c r="R33" s="13">
        <f t="shared" si="2"/>
        <v>49.75</v>
      </c>
      <c r="S33" s="14">
        <f t="shared" si="3"/>
        <v>50</v>
      </c>
      <c r="T33" s="14">
        <f t="shared" si="6"/>
        <v>70</v>
      </c>
      <c r="U33" s="14">
        <f>I33+30</f>
        <v>81</v>
      </c>
      <c r="V33" s="14"/>
      <c r="W33" s="14"/>
      <c r="X33" s="14">
        <f t="shared" ref="X33:Z33" si="43">L33+30</f>
        <v>56</v>
      </c>
      <c r="Y33" s="14">
        <f t="shared" si="43"/>
        <v>57</v>
      </c>
      <c r="Z33" s="14">
        <f t="shared" si="43"/>
        <v>56</v>
      </c>
    </row>
    <row r="34" spans="1:26" ht="15.75" customHeight="1" x14ac:dyDescent="0.3">
      <c r="A34" s="6">
        <v>33</v>
      </c>
      <c r="B34" s="7" t="s">
        <v>156</v>
      </c>
      <c r="C34" s="7" t="s">
        <v>157</v>
      </c>
      <c r="D34" s="7" t="s">
        <v>158</v>
      </c>
      <c r="E34" s="7" t="s">
        <v>159</v>
      </c>
      <c r="F34" s="8">
        <v>39641</v>
      </c>
      <c r="G34" s="7" t="s">
        <v>30</v>
      </c>
      <c r="H34" s="9">
        <v>24</v>
      </c>
      <c r="I34" s="10"/>
      <c r="J34" s="9">
        <v>44</v>
      </c>
      <c r="K34" s="10"/>
      <c r="L34" s="9">
        <v>31</v>
      </c>
      <c r="M34" s="11">
        <v>36</v>
      </c>
      <c r="N34" s="11">
        <v>26</v>
      </c>
      <c r="O34" s="11">
        <v>44</v>
      </c>
      <c r="P34" s="11">
        <f t="shared" ref="P34:P39" si="44">SUM(H34:N34)</f>
        <v>161</v>
      </c>
      <c r="Q34" s="12">
        <f t="shared" si="1"/>
        <v>40.25</v>
      </c>
      <c r="R34" s="13">
        <f t="shared" si="2"/>
        <v>70.25</v>
      </c>
      <c r="S34" s="14">
        <f t="shared" si="3"/>
        <v>30</v>
      </c>
      <c r="T34" s="14">
        <f t="shared" si="6"/>
        <v>54</v>
      </c>
      <c r="U34" s="14"/>
      <c r="V34" s="14">
        <f>J34+30</f>
        <v>74</v>
      </c>
      <c r="W34" s="14"/>
      <c r="X34" s="14">
        <f t="shared" ref="X34:Z34" si="45">L34+30</f>
        <v>61</v>
      </c>
      <c r="Y34" s="14">
        <f t="shared" si="45"/>
        <v>66</v>
      </c>
      <c r="Z34" s="14">
        <f t="shared" si="45"/>
        <v>56</v>
      </c>
    </row>
    <row r="35" spans="1:26" ht="15.75" customHeight="1" x14ac:dyDescent="0.3">
      <c r="A35" s="34">
        <v>34</v>
      </c>
      <c r="B35" s="35" t="s">
        <v>160</v>
      </c>
      <c r="C35" s="35" t="s">
        <v>161</v>
      </c>
      <c r="D35" s="35" t="s">
        <v>162</v>
      </c>
      <c r="E35" s="35" t="s">
        <v>163</v>
      </c>
      <c r="F35" s="36">
        <v>39995</v>
      </c>
      <c r="G35" s="35" t="s">
        <v>30</v>
      </c>
      <c r="H35" s="37">
        <v>57</v>
      </c>
      <c r="I35" s="38"/>
      <c r="J35" s="38"/>
      <c r="K35" s="37">
        <v>46</v>
      </c>
      <c r="L35" s="37">
        <v>34</v>
      </c>
      <c r="M35" s="40">
        <v>40</v>
      </c>
      <c r="N35" s="40">
        <v>34</v>
      </c>
      <c r="O35" s="40">
        <v>38</v>
      </c>
      <c r="P35" s="40">
        <f t="shared" si="44"/>
        <v>211</v>
      </c>
      <c r="Q35" s="41">
        <f t="shared" si="1"/>
        <v>52.75</v>
      </c>
      <c r="R35" s="13">
        <f t="shared" si="2"/>
        <v>82.75</v>
      </c>
      <c r="S35" s="14">
        <f t="shared" si="3"/>
        <v>71.25</v>
      </c>
      <c r="T35" s="14">
        <f t="shared" si="6"/>
        <v>87</v>
      </c>
      <c r="U35" s="14"/>
      <c r="V35" s="14"/>
      <c r="W35" s="14">
        <f t="shared" ref="W35:Z35" si="46">K35+30</f>
        <v>76</v>
      </c>
      <c r="X35" s="14">
        <f t="shared" si="46"/>
        <v>64</v>
      </c>
      <c r="Y35" s="14">
        <f t="shared" si="46"/>
        <v>70</v>
      </c>
      <c r="Z35" s="14">
        <f t="shared" si="46"/>
        <v>64</v>
      </c>
    </row>
    <row r="36" spans="1:26" ht="15.75" customHeight="1" x14ac:dyDescent="0.3">
      <c r="A36" s="6">
        <v>35</v>
      </c>
      <c r="B36" s="7" t="s">
        <v>164</v>
      </c>
      <c r="C36" s="7" t="s">
        <v>165</v>
      </c>
      <c r="D36" s="7" t="s">
        <v>166</v>
      </c>
      <c r="E36" s="7" t="s">
        <v>167</v>
      </c>
      <c r="F36" s="8">
        <v>39893</v>
      </c>
      <c r="G36" s="7" t="s">
        <v>30</v>
      </c>
      <c r="H36" s="9">
        <v>33</v>
      </c>
      <c r="I36" s="9">
        <v>50</v>
      </c>
      <c r="J36" s="10"/>
      <c r="K36" s="10"/>
      <c r="L36" s="9">
        <v>24</v>
      </c>
      <c r="M36" s="11">
        <v>30</v>
      </c>
      <c r="N36" s="11">
        <v>29</v>
      </c>
      <c r="O36" s="11">
        <v>32</v>
      </c>
      <c r="P36" s="11">
        <f t="shared" si="44"/>
        <v>166</v>
      </c>
      <c r="Q36" s="12">
        <f t="shared" si="1"/>
        <v>41.5</v>
      </c>
      <c r="R36" s="13">
        <f t="shared" si="2"/>
        <v>71.5</v>
      </c>
      <c r="S36" s="14">
        <f t="shared" si="3"/>
        <v>41.25</v>
      </c>
      <c r="T36" s="14">
        <f t="shared" si="6"/>
        <v>63</v>
      </c>
      <c r="U36" s="14">
        <f t="shared" ref="U36:U40" si="47">I36+30</f>
        <v>80</v>
      </c>
      <c r="V36" s="14"/>
      <c r="W36" s="14"/>
      <c r="X36" s="14">
        <f t="shared" ref="X36:Z36" si="48">L36+30</f>
        <v>54</v>
      </c>
      <c r="Y36" s="14">
        <f t="shared" si="48"/>
        <v>60</v>
      </c>
      <c r="Z36" s="14">
        <f t="shared" si="48"/>
        <v>59</v>
      </c>
    </row>
    <row r="37" spans="1:26" ht="15.75" customHeight="1" x14ac:dyDescent="0.3">
      <c r="A37" s="34">
        <v>36</v>
      </c>
      <c r="B37" s="35" t="s">
        <v>168</v>
      </c>
      <c r="C37" s="35" t="s">
        <v>169</v>
      </c>
      <c r="D37" s="35" t="s">
        <v>170</v>
      </c>
      <c r="E37" s="35" t="s">
        <v>171</v>
      </c>
      <c r="F37" s="36">
        <v>40035</v>
      </c>
      <c r="G37" s="35" t="s">
        <v>39</v>
      </c>
      <c r="H37" s="37">
        <v>34</v>
      </c>
      <c r="I37" s="37">
        <v>48</v>
      </c>
      <c r="J37" s="38"/>
      <c r="K37" s="38"/>
      <c r="L37" s="37">
        <v>44</v>
      </c>
      <c r="M37" s="40">
        <v>45</v>
      </c>
      <c r="N37" s="40">
        <v>36</v>
      </c>
      <c r="O37" s="40">
        <v>42</v>
      </c>
      <c r="P37" s="40">
        <f t="shared" si="44"/>
        <v>207</v>
      </c>
      <c r="Q37" s="41">
        <f t="shared" si="1"/>
        <v>51.749999999999993</v>
      </c>
      <c r="R37" s="13">
        <f t="shared" si="2"/>
        <v>81.75</v>
      </c>
      <c r="S37" s="14">
        <f t="shared" si="3"/>
        <v>42.5</v>
      </c>
      <c r="T37" s="14">
        <f t="shared" si="6"/>
        <v>64</v>
      </c>
      <c r="U37" s="14">
        <f t="shared" si="47"/>
        <v>78</v>
      </c>
      <c r="V37" s="14"/>
      <c r="W37" s="14"/>
      <c r="X37" s="14">
        <f t="shared" ref="X37:Z37" si="49">L37+30</f>
        <v>74</v>
      </c>
      <c r="Y37" s="14">
        <f t="shared" si="49"/>
        <v>75</v>
      </c>
      <c r="Z37" s="14">
        <f t="shared" si="49"/>
        <v>66</v>
      </c>
    </row>
    <row r="38" spans="1:26" ht="15.75" customHeight="1" x14ac:dyDescent="0.3">
      <c r="A38" s="24">
        <v>37</v>
      </c>
      <c r="B38" s="25" t="s">
        <v>172</v>
      </c>
      <c r="C38" s="25" t="s">
        <v>173</v>
      </c>
      <c r="D38" s="25" t="s">
        <v>174</v>
      </c>
      <c r="E38" s="25" t="s">
        <v>175</v>
      </c>
      <c r="F38" s="26">
        <v>39897</v>
      </c>
      <c r="G38" s="25" t="s">
        <v>30</v>
      </c>
      <c r="H38" s="27">
        <v>33</v>
      </c>
      <c r="I38" s="27">
        <v>63</v>
      </c>
      <c r="J38" s="28"/>
      <c r="K38" s="28"/>
      <c r="L38" s="27">
        <v>68</v>
      </c>
      <c r="M38" s="30">
        <v>44</v>
      </c>
      <c r="N38" s="30">
        <v>45</v>
      </c>
      <c r="O38" s="30">
        <v>46</v>
      </c>
      <c r="P38" s="30">
        <f t="shared" si="44"/>
        <v>253</v>
      </c>
      <c r="Q38" s="31">
        <f t="shared" si="1"/>
        <v>63.249999999999993</v>
      </c>
      <c r="R38" s="13">
        <f t="shared" si="2"/>
        <v>93.25</v>
      </c>
      <c r="S38" s="14">
        <f t="shared" si="3"/>
        <v>41.25</v>
      </c>
      <c r="T38" s="14">
        <f t="shared" si="6"/>
        <v>63</v>
      </c>
      <c r="U38" s="14">
        <f t="shared" si="47"/>
        <v>93</v>
      </c>
      <c r="V38" s="14"/>
      <c r="W38" s="14"/>
      <c r="X38" s="14">
        <f t="shared" ref="X38:Z38" si="50">L38+30</f>
        <v>98</v>
      </c>
      <c r="Y38" s="14">
        <f t="shared" si="50"/>
        <v>74</v>
      </c>
      <c r="Z38" s="14">
        <f t="shared" si="50"/>
        <v>75</v>
      </c>
    </row>
    <row r="39" spans="1:26" ht="15.75" customHeight="1" x14ac:dyDescent="0.3">
      <c r="A39" s="24">
        <v>38</v>
      </c>
      <c r="B39" s="25" t="s">
        <v>176</v>
      </c>
      <c r="C39" s="25" t="s">
        <v>177</v>
      </c>
      <c r="D39" s="25" t="s">
        <v>178</v>
      </c>
      <c r="E39" s="25" t="s">
        <v>179</v>
      </c>
      <c r="F39" s="26">
        <v>40033</v>
      </c>
      <c r="G39" s="25" t="s">
        <v>30</v>
      </c>
      <c r="H39" s="27">
        <v>40</v>
      </c>
      <c r="I39" s="27">
        <v>53</v>
      </c>
      <c r="J39" s="28"/>
      <c r="K39" s="28"/>
      <c r="L39" s="27">
        <v>59</v>
      </c>
      <c r="M39" s="30">
        <v>39</v>
      </c>
      <c r="N39" s="30">
        <v>36</v>
      </c>
      <c r="O39" s="30">
        <v>42</v>
      </c>
      <c r="P39" s="30">
        <f t="shared" si="44"/>
        <v>227</v>
      </c>
      <c r="Q39" s="31">
        <f t="shared" si="1"/>
        <v>56.75</v>
      </c>
      <c r="R39" s="13">
        <f t="shared" si="2"/>
        <v>86.75</v>
      </c>
      <c r="S39" s="14">
        <f t="shared" si="3"/>
        <v>50</v>
      </c>
      <c r="T39" s="14">
        <f t="shared" si="6"/>
        <v>70</v>
      </c>
      <c r="U39" s="14">
        <f t="shared" si="47"/>
        <v>83</v>
      </c>
      <c r="V39" s="14"/>
      <c r="W39" s="14"/>
      <c r="X39" s="14">
        <f t="shared" ref="X39:Z39" si="51">L39+30</f>
        <v>89</v>
      </c>
      <c r="Y39" s="14">
        <f t="shared" si="51"/>
        <v>69</v>
      </c>
      <c r="Z39" s="14">
        <f t="shared" si="51"/>
        <v>66</v>
      </c>
    </row>
    <row r="40" spans="1:26" ht="15.75" customHeight="1" x14ac:dyDescent="0.3">
      <c r="A40" s="15">
        <v>39</v>
      </c>
      <c r="B40" s="53" t="s">
        <v>180</v>
      </c>
      <c r="C40" s="53" t="s">
        <v>181</v>
      </c>
      <c r="D40" s="53" t="s">
        <v>182</v>
      </c>
      <c r="E40" s="53" t="s">
        <v>183</v>
      </c>
      <c r="F40" s="54">
        <v>39864</v>
      </c>
      <c r="G40" s="53" t="s">
        <v>39</v>
      </c>
      <c r="H40" s="55">
        <v>23</v>
      </c>
      <c r="I40" s="55">
        <v>43</v>
      </c>
      <c r="J40" s="55"/>
      <c r="K40" s="56"/>
      <c r="L40" s="55">
        <v>23</v>
      </c>
      <c r="M40" s="56">
        <v>15</v>
      </c>
      <c r="N40" s="57">
        <v>31</v>
      </c>
      <c r="O40" s="57">
        <v>32</v>
      </c>
      <c r="P40" s="57">
        <v>135</v>
      </c>
      <c r="Q40" s="58">
        <f t="shared" si="1"/>
        <v>33.75</v>
      </c>
      <c r="R40" s="13">
        <f t="shared" si="2"/>
        <v>63.75</v>
      </c>
      <c r="S40" s="14">
        <f t="shared" si="3"/>
        <v>28.749999999999996</v>
      </c>
      <c r="T40" s="14">
        <f t="shared" si="6"/>
        <v>53</v>
      </c>
      <c r="U40" s="14">
        <f t="shared" si="47"/>
        <v>73</v>
      </c>
      <c r="V40" s="14"/>
      <c r="W40" s="14"/>
      <c r="X40" s="14">
        <f t="shared" ref="X40:Z40" si="52">L40+30</f>
        <v>53</v>
      </c>
      <c r="Y40" s="14">
        <f t="shared" si="52"/>
        <v>45</v>
      </c>
      <c r="Z40" s="14">
        <f t="shared" si="52"/>
        <v>61</v>
      </c>
    </row>
    <row r="41" spans="1:26" ht="15.75" customHeight="1" x14ac:dyDescent="0.3">
      <c r="A41" s="24">
        <v>40</v>
      </c>
      <c r="B41" s="25" t="s">
        <v>184</v>
      </c>
      <c r="C41" s="25" t="s">
        <v>185</v>
      </c>
      <c r="D41" s="25" t="s">
        <v>186</v>
      </c>
      <c r="E41" s="25" t="s">
        <v>187</v>
      </c>
      <c r="F41" s="26">
        <v>39924</v>
      </c>
      <c r="G41" s="25" t="s">
        <v>39</v>
      </c>
      <c r="H41" s="27">
        <v>42</v>
      </c>
      <c r="I41" s="28"/>
      <c r="J41" s="28"/>
      <c r="K41" s="27">
        <v>36</v>
      </c>
      <c r="L41" s="27">
        <v>64</v>
      </c>
      <c r="M41" s="30">
        <v>65</v>
      </c>
      <c r="N41" s="30">
        <v>34</v>
      </c>
      <c r="O41" s="30">
        <v>44</v>
      </c>
      <c r="P41" s="30">
        <f t="shared" ref="P41:P43" si="53">SUM(H41:N41)</f>
        <v>241</v>
      </c>
      <c r="Q41" s="31">
        <f t="shared" si="1"/>
        <v>60.25</v>
      </c>
      <c r="R41" s="13">
        <f t="shared" si="2"/>
        <v>90.25</v>
      </c>
      <c r="S41" s="14">
        <f t="shared" si="3"/>
        <v>52.5</v>
      </c>
      <c r="T41" s="14">
        <f t="shared" si="6"/>
        <v>72</v>
      </c>
      <c r="U41" s="14"/>
      <c r="V41" s="14"/>
      <c r="W41" s="14">
        <f t="shared" ref="W41:Z41" si="54">K41+30</f>
        <v>66</v>
      </c>
      <c r="X41" s="14">
        <f t="shared" si="54"/>
        <v>94</v>
      </c>
      <c r="Y41" s="14">
        <f t="shared" si="54"/>
        <v>95</v>
      </c>
      <c r="Z41" s="14">
        <f t="shared" si="54"/>
        <v>64</v>
      </c>
    </row>
    <row r="42" spans="1:26" ht="15.75" customHeight="1" x14ac:dyDescent="0.3">
      <c r="A42" s="15">
        <v>41</v>
      </c>
      <c r="B42" s="16" t="s">
        <v>188</v>
      </c>
      <c r="C42" s="16" t="s">
        <v>189</v>
      </c>
      <c r="D42" s="16" t="s">
        <v>190</v>
      </c>
      <c r="E42" s="16" t="s">
        <v>191</v>
      </c>
      <c r="F42" s="17">
        <v>39875</v>
      </c>
      <c r="G42" s="16" t="s">
        <v>30</v>
      </c>
      <c r="H42" s="18">
        <v>27</v>
      </c>
      <c r="I42" s="19"/>
      <c r="J42" s="18">
        <v>47</v>
      </c>
      <c r="K42" s="19"/>
      <c r="L42" s="18">
        <v>28</v>
      </c>
      <c r="M42" s="21">
        <v>27</v>
      </c>
      <c r="N42" s="21">
        <v>25</v>
      </c>
      <c r="O42" s="21">
        <v>47</v>
      </c>
      <c r="P42" s="21">
        <f t="shared" si="53"/>
        <v>154</v>
      </c>
      <c r="Q42" s="22">
        <f t="shared" si="1"/>
        <v>38.5</v>
      </c>
      <c r="R42" s="13">
        <f t="shared" si="2"/>
        <v>68.5</v>
      </c>
      <c r="S42" s="14">
        <f t="shared" si="3"/>
        <v>33.75</v>
      </c>
      <c r="T42" s="14">
        <f t="shared" si="6"/>
        <v>57</v>
      </c>
      <c r="U42" s="14"/>
      <c r="V42" s="14">
        <f>J42+30</f>
        <v>77</v>
      </c>
      <c r="W42" s="14"/>
      <c r="X42" s="14">
        <f t="shared" ref="X42:Z42" si="55">L42+30</f>
        <v>58</v>
      </c>
      <c r="Y42" s="14">
        <f t="shared" si="55"/>
        <v>57</v>
      </c>
      <c r="Z42" s="14">
        <f t="shared" si="55"/>
        <v>55</v>
      </c>
    </row>
    <row r="43" spans="1:26" ht="15.75" customHeight="1" x14ac:dyDescent="0.3">
      <c r="A43" s="6">
        <v>42</v>
      </c>
      <c r="B43" s="7" t="s">
        <v>192</v>
      </c>
      <c r="C43" s="7" t="s">
        <v>193</v>
      </c>
      <c r="D43" s="7" t="s">
        <v>194</v>
      </c>
      <c r="E43" s="7" t="s">
        <v>195</v>
      </c>
      <c r="F43" s="8">
        <v>40040</v>
      </c>
      <c r="G43" s="7" t="s">
        <v>39</v>
      </c>
      <c r="H43" s="9">
        <v>35</v>
      </c>
      <c r="I43" s="9">
        <v>47</v>
      </c>
      <c r="J43" s="10"/>
      <c r="K43" s="10"/>
      <c r="L43" s="9">
        <v>32</v>
      </c>
      <c r="M43" s="11">
        <v>27</v>
      </c>
      <c r="N43" s="11">
        <v>36</v>
      </c>
      <c r="O43" s="11">
        <v>42</v>
      </c>
      <c r="P43" s="11">
        <f t="shared" si="53"/>
        <v>177</v>
      </c>
      <c r="Q43" s="12">
        <f t="shared" si="1"/>
        <v>44.25</v>
      </c>
      <c r="R43" s="13">
        <f t="shared" si="2"/>
        <v>74.25</v>
      </c>
      <c r="S43" s="14">
        <f t="shared" si="3"/>
        <v>43.75</v>
      </c>
      <c r="T43" s="14">
        <f t="shared" si="6"/>
        <v>65</v>
      </c>
      <c r="U43" s="14">
        <f>I43+30</f>
        <v>77</v>
      </c>
      <c r="V43" s="14"/>
      <c r="W43" s="14"/>
      <c r="X43" s="14">
        <f t="shared" ref="X43:Z43" si="56">L43+30</f>
        <v>62</v>
      </c>
      <c r="Y43" s="14">
        <f t="shared" si="56"/>
        <v>57</v>
      </c>
      <c r="Z43" s="14">
        <f t="shared" si="56"/>
        <v>66</v>
      </c>
    </row>
    <row r="44" spans="1:26" ht="15.75" customHeight="1" x14ac:dyDescent="0.3">
      <c r="A44" s="15">
        <v>43</v>
      </c>
      <c r="B44" s="16" t="s">
        <v>196</v>
      </c>
      <c r="C44" s="16" t="s">
        <v>197</v>
      </c>
      <c r="D44" s="16" t="s">
        <v>198</v>
      </c>
      <c r="E44" s="16" t="s">
        <v>199</v>
      </c>
      <c r="F44" s="59">
        <v>39657</v>
      </c>
      <c r="G44" s="60" t="s">
        <v>30</v>
      </c>
      <c r="H44" s="61">
        <v>16</v>
      </c>
      <c r="I44" s="61"/>
      <c r="J44" s="61">
        <v>32</v>
      </c>
      <c r="K44" s="61"/>
      <c r="L44" s="61">
        <v>19</v>
      </c>
      <c r="M44" s="61">
        <v>17</v>
      </c>
      <c r="N44" s="62">
        <v>12</v>
      </c>
      <c r="O44" s="62">
        <v>28</v>
      </c>
      <c r="P44" s="62">
        <f>SUM(J44:N44)</f>
        <v>80</v>
      </c>
      <c r="Q44" s="63">
        <f t="shared" si="1"/>
        <v>20</v>
      </c>
      <c r="R44" s="13">
        <f t="shared" si="2"/>
        <v>50</v>
      </c>
      <c r="S44" s="14">
        <f t="shared" si="3"/>
        <v>20</v>
      </c>
      <c r="T44" s="14">
        <f t="shared" si="6"/>
        <v>46</v>
      </c>
      <c r="U44" s="14"/>
      <c r="V44" s="14">
        <f>J44+30</f>
        <v>62</v>
      </c>
      <c r="W44" s="14"/>
      <c r="X44" s="14">
        <f t="shared" ref="X44:Z44" si="57">L44+30</f>
        <v>49</v>
      </c>
      <c r="Y44" s="14">
        <f t="shared" si="57"/>
        <v>47</v>
      </c>
      <c r="Z44" s="14">
        <f t="shared" si="57"/>
        <v>42</v>
      </c>
    </row>
    <row r="45" spans="1:26" ht="15.75" customHeight="1" x14ac:dyDescent="0.3">
      <c r="A45" s="24">
        <v>44</v>
      </c>
      <c r="B45" s="25" t="s">
        <v>200</v>
      </c>
      <c r="C45" s="25" t="s">
        <v>201</v>
      </c>
      <c r="D45" s="25" t="s">
        <v>202</v>
      </c>
      <c r="E45" s="25" t="s">
        <v>203</v>
      </c>
      <c r="F45" s="26">
        <v>39822</v>
      </c>
      <c r="G45" s="25" t="s">
        <v>30</v>
      </c>
      <c r="H45" s="27">
        <v>35</v>
      </c>
      <c r="I45" s="27">
        <v>59</v>
      </c>
      <c r="J45" s="28"/>
      <c r="K45" s="28"/>
      <c r="L45" s="27">
        <v>62</v>
      </c>
      <c r="M45" s="30">
        <v>50</v>
      </c>
      <c r="N45" s="30">
        <v>31</v>
      </c>
      <c r="O45" s="30">
        <v>31</v>
      </c>
      <c r="P45" s="30">
        <f t="shared" ref="P45:P48" si="58">SUM(H45:N45)</f>
        <v>237</v>
      </c>
      <c r="Q45" s="31">
        <f t="shared" si="1"/>
        <v>59.25</v>
      </c>
      <c r="R45" s="13">
        <f t="shared" si="2"/>
        <v>89.25</v>
      </c>
      <c r="S45" s="14">
        <f t="shared" si="3"/>
        <v>43.75</v>
      </c>
      <c r="T45" s="14">
        <f t="shared" si="6"/>
        <v>65</v>
      </c>
      <c r="U45" s="14">
        <f>I45+30</f>
        <v>89</v>
      </c>
      <c r="V45" s="14"/>
      <c r="W45" s="14"/>
      <c r="X45" s="14">
        <f t="shared" ref="X45:Z45" si="59">L45+30</f>
        <v>92</v>
      </c>
      <c r="Y45" s="14">
        <f t="shared" si="59"/>
        <v>80</v>
      </c>
      <c r="Z45" s="14">
        <f t="shared" si="59"/>
        <v>61</v>
      </c>
    </row>
    <row r="46" spans="1:26" ht="15.75" customHeight="1" x14ac:dyDescent="0.3">
      <c r="A46" s="24">
        <v>45</v>
      </c>
      <c r="B46" s="25" t="s">
        <v>204</v>
      </c>
      <c r="C46" s="25" t="s">
        <v>205</v>
      </c>
      <c r="D46" s="25" t="s">
        <v>206</v>
      </c>
      <c r="E46" s="25" t="s">
        <v>207</v>
      </c>
      <c r="F46" s="26">
        <v>40231</v>
      </c>
      <c r="G46" s="25" t="s">
        <v>30</v>
      </c>
      <c r="H46" s="27">
        <v>40</v>
      </c>
      <c r="I46" s="28"/>
      <c r="J46" s="28"/>
      <c r="K46" s="27">
        <v>67</v>
      </c>
      <c r="L46" s="27">
        <v>67</v>
      </c>
      <c r="M46" s="30">
        <v>46</v>
      </c>
      <c r="N46" s="30">
        <v>36</v>
      </c>
      <c r="O46" s="30">
        <v>47</v>
      </c>
      <c r="P46" s="30">
        <f t="shared" si="58"/>
        <v>256</v>
      </c>
      <c r="Q46" s="31">
        <f t="shared" si="1"/>
        <v>64</v>
      </c>
      <c r="R46" s="13">
        <f t="shared" si="2"/>
        <v>94</v>
      </c>
      <c r="S46" s="14">
        <f t="shared" si="3"/>
        <v>50</v>
      </c>
      <c r="T46" s="14">
        <f t="shared" si="6"/>
        <v>70</v>
      </c>
      <c r="U46" s="14"/>
      <c r="V46" s="14"/>
      <c r="W46" s="14">
        <f t="shared" ref="W46:Z46" si="60">K46+30</f>
        <v>97</v>
      </c>
      <c r="X46" s="14">
        <f t="shared" si="60"/>
        <v>97</v>
      </c>
      <c r="Y46" s="14">
        <f t="shared" si="60"/>
        <v>76</v>
      </c>
      <c r="Z46" s="14">
        <f t="shared" si="60"/>
        <v>66</v>
      </c>
    </row>
    <row r="47" spans="1:26" ht="15.75" customHeight="1" x14ac:dyDescent="0.3">
      <c r="A47" s="24">
        <v>46</v>
      </c>
      <c r="B47" s="25" t="s">
        <v>208</v>
      </c>
      <c r="C47" s="25" t="s">
        <v>209</v>
      </c>
      <c r="D47" s="25" t="s">
        <v>210</v>
      </c>
      <c r="E47" s="25" t="s">
        <v>211</v>
      </c>
      <c r="F47" s="26">
        <v>39822</v>
      </c>
      <c r="G47" s="25" t="s">
        <v>39</v>
      </c>
      <c r="H47" s="27">
        <v>49</v>
      </c>
      <c r="I47" s="28"/>
      <c r="J47" s="28"/>
      <c r="K47" s="27">
        <v>60</v>
      </c>
      <c r="L47" s="27">
        <v>67</v>
      </c>
      <c r="M47" s="30">
        <v>59</v>
      </c>
      <c r="N47" s="30">
        <v>41</v>
      </c>
      <c r="O47" s="30">
        <v>48</v>
      </c>
      <c r="P47" s="30">
        <f t="shared" si="58"/>
        <v>276</v>
      </c>
      <c r="Q47" s="31">
        <f t="shared" si="1"/>
        <v>69</v>
      </c>
      <c r="R47" s="13">
        <f t="shared" si="2"/>
        <v>99</v>
      </c>
      <c r="S47" s="14">
        <f t="shared" si="3"/>
        <v>61.250000000000007</v>
      </c>
      <c r="T47" s="14">
        <f t="shared" si="6"/>
        <v>79</v>
      </c>
      <c r="U47" s="14"/>
      <c r="V47" s="14"/>
      <c r="W47" s="14">
        <f t="shared" ref="W47:Z47" si="61">K47+30</f>
        <v>90</v>
      </c>
      <c r="X47" s="14">
        <f t="shared" si="61"/>
        <v>97</v>
      </c>
      <c r="Y47" s="14">
        <f t="shared" si="61"/>
        <v>89</v>
      </c>
      <c r="Z47" s="14">
        <f t="shared" si="61"/>
        <v>71</v>
      </c>
    </row>
    <row r="48" spans="1:26" ht="15.75" customHeight="1" x14ac:dyDescent="0.3">
      <c r="A48" s="34">
        <v>47</v>
      </c>
      <c r="B48" s="35" t="s">
        <v>212</v>
      </c>
      <c r="C48" s="35" t="s">
        <v>213</v>
      </c>
      <c r="D48" s="35" t="s">
        <v>214</v>
      </c>
      <c r="E48" s="35" t="s">
        <v>215</v>
      </c>
      <c r="F48" s="36">
        <v>40081</v>
      </c>
      <c r="G48" s="35" t="s">
        <v>39</v>
      </c>
      <c r="H48" s="37">
        <v>34</v>
      </c>
      <c r="I48" s="38"/>
      <c r="J48" s="38"/>
      <c r="K48" s="37">
        <v>64</v>
      </c>
      <c r="L48" s="37">
        <v>37</v>
      </c>
      <c r="M48" s="40">
        <v>33</v>
      </c>
      <c r="N48" s="40">
        <v>33</v>
      </c>
      <c r="O48" s="40">
        <v>44</v>
      </c>
      <c r="P48" s="40">
        <f t="shared" si="58"/>
        <v>201</v>
      </c>
      <c r="Q48" s="41">
        <f t="shared" si="1"/>
        <v>50.249999999999993</v>
      </c>
      <c r="R48" s="13">
        <f t="shared" si="2"/>
        <v>80.25</v>
      </c>
      <c r="S48" s="14">
        <f t="shared" si="3"/>
        <v>42.5</v>
      </c>
      <c r="T48" s="14">
        <f t="shared" si="6"/>
        <v>64</v>
      </c>
      <c r="U48" s="14"/>
      <c r="V48" s="14"/>
      <c r="W48" s="14">
        <f t="shared" ref="W48:Z48" si="62">K48+30</f>
        <v>94</v>
      </c>
      <c r="X48" s="14">
        <f t="shared" si="62"/>
        <v>67</v>
      </c>
      <c r="Y48" s="14">
        <f t="shared" si="62"/>
        <v>63</v>
      </c>
      <c r="Z48" s="14">
        <f t="shared" si="62"/>
        <v>63</v>
      </c>
    </row>
    <row r="49" spans="3:19" ht="15.75" customHeight="1" x14ac:dyDescent="0.3">
      <c r="S49" s="14"/>
    </row>
    <row r="50" spans="3:19" ht="15.75" customHeight="1" x14ac:dyDescent="0.3">
      <c r="S50" s="14"/>
    </row>
    <row r="51" spans="3:19" ht="15.75" customHeight="1" x14ac:dyDescent="0.3">
      <c r="C51" s="64" t="s">
        <v>216</v>
      </c>
      <c r="D51" s="65">
        <v>3</v>
      </c>
      <c r="S51" s="14"/>
    </row>
    <row r="52" spans="3:19" ht="15.75" customHeight="1" x14ac:dyDescent="0.3">
      <c r="C52" s="66" t="s">
        <v>217</v>
      </c>
      <c r="D52" s="67">
        <v>3</v>
      </c>
      <c r="S52" s="14"/>
    </row>
    <row r="53" spans="3:19" ht="15.75" customHeight="1" x14ac:dyDescent="0.3">
      <c r="C53" s="68" t="s">
        <v>218</v>
      </c>
      <c r="D53" s="67">
        <v>15</v>
      </c>
      <c r="S53" s="14"/>
    </row>
    <row r="54" spans="3:19" ht="15.75" customHeight="1" x14ac:dyDescent="0.3">
      <c r="C54" s="69" t="s">
        <v>219</v>
      </c>
      <c r="D54" s="67">
        <v>22</v>
      </c>
      <c r="S54" s="14"/>
    </row>
    <row r="55" spans="3:19" ht="15.75" customHeight="1" x14ac:dyDescent="0.3">
      <c r="C55" s="70" t="s">
        <v>220</v>
      </c>
      <c r="D55" s="67">
        <v>4</v>
      </c>
      <c r="S55" s="14"/>
    </row>
    <row r="56" spans="3:19" ht="15.75" customHeight="1" x14ac:dyDescent="0.3">
      <c r="C56" s="71" t="s">
        <v>221</v>
      </c>
      <c r="D56" s="67">
        <v>0</v>
      </c>
      <c r="S56" s="14"/>
    </row>
    <row r="57" spans="3:19" ht="15.75" customHeight="1" x14ac:dyDescent="0.3">
      <c r="D57" s="72">
        <f>SUM(D51:D56)</f>
        <v>47</v>
      </c>
      <c r="S57" s="14"/>
    </row>
    <row r="58" spans="3:19" ht="15.75" customHeight="1" x14ac:dyDescent="0.3">
      <c r="S58" s="14"/>
    </row>
    <row r="59" spans="3:19" ht="15.75" customHeight="1" x14ac:dyDescent="0.3">
      <c r="S59" s="14"/>
    </row>
    <row r="60" spans="3:19" ht="15.75" customHeight="1" x14ac:dyDescent="0.3">
      <c r="S60" s="14"/>
    </row>
    <row r="61" spans="3:19" ht="15.75" customHeight="1" x14ac:dyDescent="0.3">
      <c r="S61" s="14"/>
    </row>
    <row r="62" spans="3:19" ht="15.75" customHeight="1" x14ac:dyDescent="0.3">
      <c r="S62" s="14"/>
    </row>
    <row r="63" spans="3:19" ht="15.75" customHeight="1" x14ac:dyDescent="0.3">
      <c r="S63" s="14"/>
    </row>
    <row r="64" spans="3:19" ht="15.75" customHeight="1" x14ac:dyDescent="0.3">
      <c r="S64" s="14"/>
    </row>
    <row r="65" spans="19:19" ht="15.75" customHeight="1" x14ac:dyDescent="0.3">
      <c r="S65" s="14"/>
    </row>
    <row r="66" spans="19:19" ht="15.75" customHeight="1" x14ac:dyDescent="0.3">
      <c r="S66" s="14"/>
    </row>
    <row r="67" spans="19:19" ht="15.75" customHeight="1" x14ac:dyDescent="0.3">
      <c r="S67" s="14"/>
    </row>
    <row r="68" spans="19:19" ht="15.75" customHeight="1" x14ac:dyDescent="0.3">
      <c r="S68" s="14"/>
    </row>
    <row r="69" spans="19:19" ht="15.75" customHeight="1" x14ac:dyDescent="0.3">
      <c r="S69" s="14"/>
    </row>
    <row r="70" spans="19:19" ht="15.75" customHeight="1" x14ac:dyDescent="0.3">
      <c r="S70" s="14"/>
    </row>
    <row r="71" spans="19:19" ht="15.75" customHeight="1" x14ac:dyDescent="0.3">
      <c r="S71" s="14"/>
    </row>
    <row r="72" spans="19:19" ht="15.75" customHeight="1" x14ac:dyDescent="0.3">
      <c r="S72" s="14"/>
    </row>
    <row r="73" spans="19:19" ht="15.75" customHeight="1" x14ac:dyDescent="0.3">
      <c r="S73" s="14"/>
    </row>
    <row r="74" spans="19:19" ht="15.75" customHeight="1" x14ac:dyDescent="0.3">
      <c r="S74" s="14"/>
    </row>
    <row r="75" spans="19:19" ht="15.75" customHeight="1" x14ac:dyDescent="0.3">
      <c r="S75" s="14"/>
    </row>
    <row r="76" spans="19:19" ht="15.75" customHeight="1" x14ac:dyDescent="0.3">
      <c r="S76" s="14"/>
    </row>
    <row r="77" spans="19:19" ht="15.75" customHeight="1" x14ac:dyDescent="0.3">
      <c r="S77" s="14"/>
    </row>
    <row r="78" spans="19:19" ht="15.75" customHeight="1" x14ac:dyDescent="0.3">
      <c r="S78" s="14"/>
    </row>
    <row r="79" spans="19:19" ht="15.75" customHeight="1" x14ac:dyDescent="0.3">
      <c r="S79" s="14"/>
    </row>
    <row r="80" spans="19:19" ht="15.75" customHeight="1" x14ac:dyDescent="0.3">
      <c r="S80" s="14"/>
    </row>
    <row r="81" spans="19:19" ht="15.75" customHeight="1" x14ac:dyDescent="0.3">
      <c r="S81" s="14"/>
    </row>
    <row r="82" spans="19:19" ht="15.75" customHeight="1" x14ac:dyDescent="0.3">
      <c r="S82" s="14"/>
    </row>
    <row r="83" spans="19:19" ht="15.75" customHeight="1" x14ac:dyDescent="0.3">
      <c r="S83" s="14"/>
    </row>
    <row r="84" spans="19:19" ht="15.75" customHeight="1" x14ac:dyDescent="0.3">
      <c r="S84" s="14"/>
    </row>
    <row r="85" spans="19:19" ht="15.75" customHeight="1" x14ac:dyDescent="0.3">
      <c r="S85" s="14"/>
    </row>
    <row r="86" spans="19:19" ht="15.75" customHeight="1" x14ac:dyDescent="0.3">
      <c r="S86" s="14"/>
    </row>
    <row r="87" spans="19:19" ht="15.75" customHeight="1" x14ac:dyDescent="0.3">
      <c r="S87" s="14"/>
    </row>
    <row r="88" spans="19:19" ht="15.75" customHeight="1" x14ac:dyDescent="0.3">
      <c r="S88" s="14"/>
    </row>
    <row r="89" spans="19:19" ht="15.75" customHeight="1" x14ac:dyDescent="0.3">
      <c r="S89" s="14"/>
    </row>
    <row r="90" spans="19:19" ht="15.75" customHeight="1" x14ac:dyDescent="0.3">
      <c r="S90" s="14"/>
    </row>
    <row r="91" spans="19:19" ht="15.75" customHeight="1" x14ac:dyDescent="0.3">
      <c r="S91" s="14"/>
    </row>
    <row r="92" spans="19:19" ht="15.75" customHeight="1" x14ac:dyDescent="0.3">
      <c r="S92" s="14"/>
    </row>
    <row r="93" spans="19:19" ht="15.75" customHeight="1" x14ac:dyDescent="0.3">
      <c r="S93" s="14"/>
    </row>
    <row r="94" spans="19:19" ht="15.75" customHeight="1" x14ac:dyDescent="0.3">
      <c r="S94" s="14"/>
    </row>
    <row r="95" spans="19:19" ht="15.75" customHeight="1" x14ac:dyDescent="0.3">
      <c r="S95" s="14"/>
    </row>
    <row r="96" spans="19:19" ht="15.75" customHeight="1" x14ac:dyDescent="0.3">
      <c r="S96" s="14"/>
    </row>
    <row r="97" spans="19:19" ht="15.75" customHeight="1" x14ac:dyDescent="0.3">
      <c r="S97" s="14"/>
    </row>
    <row r="98" spans="19:19" ht="15.75" customHeight="1" x14ac:dyDescent="0.3">
      <c r="S98" s="14"/>
    </row>
    <row r="99" spans="19:19" ht="15.75" customHeight="1" x14ac:dyDescent="0.3">
      <c r="S99" s="14"/>
    </row>
    <row r="100" spans="19:19" ht="15.75" customHeight="1" x14ac:dyDescent="0.3">
      <c r="S100" s="14"/>
    </row>
    <row r="101" spans="19:19" ht="15.75" customHeight="1" x14ac:dyDescent="0.3">
      <c r="S101" s="14"/>
    </row>
    <row r="102" spans="19:19" ht="15.75" customHeight="1" x14ac:dyDescent="0.3">
      <c r="S102" s="14"/>
    </row>
    <row r="103" spans="19:19" ht="15.75" customHeight="1" x14ac:dyDescent="0.3">
      <c r="S103" s="14"/>
    </row>
    <row r="104" spans="19:19" ht="15.75" customHeight="1" x14ac:dyDescent="0.3">
      <c r="S104" s="14"/>
    </row>
    <row r="105" spans="19:19" ht="15.75" customHeight="1" x14ac:dyDescent="0.3">
      <c r="S105" s="14"/>
    </row>
    <row r="106" spans="19:19" ht="15.75" customHeight="1" x14ac:dyDescent="0.3">
      <c r="S106" s="14"/>
    </row>
    <row r="107" spans="19:19" ht="15.75" customHeight="1" x14ac:dyDescent="0.3">
      <c r="S107" s="14"/>
    </row>
    <row r="108" spans="19:19" ht="15.75" customHeight="1" x14ac:dyDescent="0.3">
      <c r="S108" s="14"/>
    </row>
    <row r="109" spans="19:19" ht="15.75" customHeight="1" x14ac:dyDescent="0.3">
      <c r="S109" s="14"/>
    </row>
    <row r="110" spans="19:19" ht="15.75" customHeight="1" x14ac:dyDescent="0.3">
      <c r="S110" s="14"/>
    </row>
    <row r="111" spans="19:19" ht="15.75" customHeight="1" x14ac:dyDescent="0.3">
      <c r="S111" s="14"/>
    </row>
    <row r="112" spans="19:19" ht="15.75" customHeight="1" x14ac:dyDescent="0.3">
      <c r="S112" s="14"/>
    </row>
    <row r="113" spans="19:19" ht="15.75" customHeight="1" x14ac:dyDescent="0.3">
      <c r="S113" s="14"/>
    </row>
    <row r="114" spans="19:19" ht="15.75" customHeight="1" x14ac:dyDescent="0.3">
      <c r="S114" s="14"/>
    </row>
    <row r="115" spans="19:19" ht="15.75" customHeight="1" x14ac:dyDescent="0.3">
      <c r="S115" s="14"/>
    </row>
    <row r="116" spans="19:19" ht="15.75" customHeight="1" x14ac:dyDescent="0.3">
      <c r="S116" s="14"/>
    </row>
    <row r="117" spans="19:19" ht="15.75" customHeight="1" x14ac:dyDescent="0.3">
      <c r="S117" s="14"/>
    </row>
    <row r="118" spans="19:19" ht="15.75" customHeight="1" x14ac:dyDescent="0.3">
      <c r="S118" s="14"/>
    </row>
    <row r="119" spans="19:19" ht="15.75" customHeight="1" x14ac:dyDescent="0.3">
      <c r="S119" s="14"/>
    </row>
    <row r="120" spans="19:19" ht="15.75" customHeight="1" x14ac:dyDescent="0.3">
      <c r="S120" s="14"/>
    </row>
    <row r="121" spans="19:19" ht="15.75" customHeight="1" x14ac:dyDescent="0.3">
      <c r="S121" s="14"/>
    </row>
    <row r="122" spans="19:19" ht="15.75" customHeight="1" x14ac:dyDescent="0.3">
      <c r="S122" s="14"/>
    </row>
    <row r="123" spans="19:19" ht="15.75" customHeight="1" x14ac:dyDescent="0.3">
      <c r="S123" s="14"/>
    </row>
    <row r="124" spans="19:19" ht="15.75" customHeight="1" x14ac:dyDescent="0.3">
      <c r="S124" s="14"/>
    </row>
    <row r="125" spans="19:19" ht="15.75" customHeight="1" x14ac:dyDescent="0.3">
      <c r="S125" s="14"/>
    </row>
    <row r="126" spans="19:19" ht="15.75" customHeight="1" x14ac:dyDescent="0.3">
      <c r="S126" s="14"/>
    </row>
    <row r="127" spans="19:19" ht="15.75" customHeight="1" x14ac:dyDescent="0.3">
      <c r="S127" s="14"/>
    </row>
    <row r="128" spans="19:19" ht="15.75" customHeight="1" x14ac:dyDescent="0.3">
      <c r="S128" s="14"/>
    </row>
    <row r="129" spans="19:19" ht="15.75" customHeight="1" x14ac:dyDescent="0.3">
      <c r="S129" s="14"/>
    </row>
    <row r="130" spans="19:19" ht="15.75" customHeight="1" x14ac:dyDescent="0.3">
      <c r="S130" s="14"/>
    </row>
    <row r="131" spans="19:19" ht="15.75" customHeight="1" x14ac:dyDescent="0.3">
      <c r="S131" s="14"/>
    </row>
    <row r="132" spans="19:19" ht="15.75" customHeight="1" x14ac:dyDescent="0.3">
      <c r="S132" s="14"/>
    </row>
    <row r="133" spans="19:19" ht="15.75" customHeight="1" x14ac:dyDescent="0.3">
      <c r="S133" s="14"/>
    </row>
    <row r="134" spans="19:19" ht="15.75" customHeight="1" x14ac:dyDescent="0.3">
      <c r="S134" s="14"/>
    </row>
    <row r="135" spans="19:19" ht="15.75" customHeight="1" x14ac:dyDescent="0.3">
      <c r="S135" s="14"/>
    </row>
    <row r="136" spans="19:19" ht="15.75" customHeight="1" x14ac:dyDescent="0.3">
      <c r="S136" s="14"/>
    </row>
    <row r="137" spans="19:19" ht="15.75" customHeight="1" x14ac:dyDescent="0.3">
      <c r="S137" s="14"/>
    </row>
    <row r="138" spans="19:19" ht="15.75" customHeight="1" x14ac:dyDescent="0.3">
      <c r="S138" s="14"/>
    </row>
    <row r="139" spans="19:19" ht="15.75" customHeight="1" x14ac:dyDescent="0.3">
      <c r="S139" s="14"/>
    </row>
    <row r="140" spans="19:19" ht="15.75" customHeight="1" x14ac:dyDescent="0.3">
      <c r="S140" s="14"/>
    </row>
    <row r="141" spans="19:19" ht="15.75" customHeight="1" x14ac:dyDescent="0.3">
      <c r="S141" s="14"/>
    </row>
    <row r="142" spans="19:19" ht="15.75" customHeight="1" x14ac:dyDescent="0.3">
      <c r="S142" s="14"/>
    </row>
    <row r="143" spans="19:19" ht="15.75" customHeight="1" x14ac:dyDescent="0.3">
      <c r="S143" s="14"/>
    </row>
    <row r="144" spans="19:19" ht="15.75" customHeight="1" x14ac:dyDescent="0.3">
      <c r="S144" s="14"/>
    </row>
    <row r="145" spans="19:19" ht="15.75" customHeight="1" x14ac:dyDescent="0.3">
      <c r="S145" s="14"/>
    </row>
    <row r="146" spans="19:19" ht="15.75" customHeight="1" x14ac:dyDescent="0.3">
      <c r="S146" s="14"/>
    </row>
    <row r="147" spans="19:19" ht="15.75" customHeight="1" x14ac:dyDescent="0.3">
      <c r="S147" s="14"/>
    </row>
    <row r="148" spans="19:19" ht="15.75" customHeight="1" x14ac:dyDescent="0.3">
      <c r="S148" s="14"/>
    </row>
    <row r="149" spans="19:19" ht="15.75" customHeight="1" x14ac:dyDescent="0.3">
      <c r="S149" s="14"/>
    </row>
    <row r="150" spans="19:19" ht="15.75" customHeight="1" x14ac:dyDescent="0.3">
      <c r="S150" s="14"/>
    </row>
    <row r="151" spans="19:19" ht="15.75" customHeight="1" x14ac:dyDescent="0.3">
      <c r="S151" s="14"/>
    </row>
    <row r="152" spans="19:19" ht="15.75" customHeight="1" x14ac:dyDescent="0.3">
      <c r="S152" s="14"/>
    </row>
    <row r="153" spans="19:19" ht="15.75" customHeight="1" x14ac:dyDescent="0.3">
      <c r="S153" s="14"/>
    </row>
    <row r="154" spans="19:19" ht="15.75" customHeight="1" x14ac:dyDescent="0.3">
      <c r="S154" s="14"/>
    </row>
    <row r="155" spans="19:19" ht="15.75" customHeight="1" x14ac:dyDescent="0.3">
      <c r="S155" s="14"/>
    </row>
    <row r="156" spans="19:19" ht="15.75" customHeight="1" x14ac:dyDescent="0.3">
      <c r="S156" s="14"/>
    </row>
    <row r="157" spans="19:19" ht="15.75" customHeight="1" x14ac:dyDescent="0.3">
      <c r="S157" s="14"/>
    </row>
    <row r="158" spans="19:19" ht="15.75" customHeight="1" x14ac:dyDescent="0.3">
      <c r="S158" s="14"/>
    </row>
    <row r="159" spans="19:19" ht="15.75" customHeight="1" x14ac:dyDescent="0.3">
      <c r="S159" s="14"/>
    </row>
    <row r="160" spans="19:19" ht="15.75" customHeight="1" x14ac:dyDescent="0.3">
      <c r="S160" s="14"/>
    </row>
    <row r="161" spans="19:19" ht="15.75" customHeight="1" x14ac:dyDescent="0.3">
      <c r="S161" s="14"/>
    </row>
    <row r="162" spans="19:19" ht="15.75" customHeight="1" x14ac:dyDescent="0.3">
      <c r="S162" s="14"/>
    </row>
    <row r="163" spans="19:19" ht="15.75" customHeight="1" x14ac:dyDescent="0.3">
      <c r="S163" s="14"/>
    </row>
    <row r="164" spans="19:19" ht="15.75" customHeight="1" x14ac:dyDescent="0.3">
      <c r="S164" s="14"/>
    </row>
    <row r="165" spans="19:19" ht="15.75" customHeight="1" x14ac:dyDescent="0.3">
      <c r="S165" s="14"/>
    </row>
    <row r="166" spans="19:19" ht="15.75" customHeight="1" x14ac:dyDescent="0.3">
      <c r="S166" s="14"/>
    </row>
    <row r="167" spans="19:19" ht="15.75" customHeight="1" x14ac:dyDescent="0.3">
      <c r="S167" s="14"/>
    </row>
    <row r="168" spans="19:19" ht="15.75" customHeight="1" x14ac:dyDescent="0.3">
      <c r="S168" s="14"/>
    </row>
    <row r="169" spans="19:19" ht="15.75" customHeight="1" x14ac:dyDescent="0.3">
      <c r="S169" s="14"/>
    </row>
    <row r="170" spans="19:19" ht="15.75" customHeight="1" x14ac:dyDescent="0.3">
      <c r="S170" s="14"/>
    </row>
    <row r="171" spans="19:19" ht="15.75" customHeight="1" x14ac:dyDescent="0.3">
      <c r="S171" s="14"/>
    </row>
    <row r="172" spans="19:19" ht="15.75" customHeight="1" x14ac:dyDescent="0.3">
      <c r="S172" s="14"/>
    </row>
    <row r="173" spans="19:19" ht="15.75" customHeight="1" x14ac:dyDescent="0.3">
      <c r="S173" s="14"/>
    </row>
    <row r="174" spans="19:19" ht="15.75" customHeight="1" x14ac:dyDescent="0.3">
      <c r="S174" s="14"/>
    </row>
    <row r="175" spans="19:19" ht="15.75" customHeight="1" x14ac:dyDescent="0.3">
      <c r="S175" s="14"/>
    </row>
    <row r="176" spans="19:19" ht="15.75" customHeight="1" x14ac:dyDescent="0.3">
      <c r="S176" s="14"/>
    </row>
    <row r="177" spans="19:19" ht="15.75" customHeight="1" x14ac:dyDescent="0.3">
      <c r="S177" s="14"/>
    </row>
    <row r="178" spans="19:19" ht="15.75" customHeight="1" x14ac:dyDescent="0.3">
      <c r="S178" s="14"/>
    </row>
    <row r="179" spans="19:19" ht="15.75" customHeight="1" x14ac:dyDescent="0.3">
      <c r="S179" s="14"/>
    </row>
    <row r="180" spans="19:19" ht="15.75" customHeight="1" x14ac:dyDescent="0.3">
      <c r="S180" s="14"/>
    </row>
    <row r="181" spans="19:19" ht="15.75" customHeight="1" x14ac:dyDescent="0.3">
      <c r="S181" s="14"/>
    </row>
    <row r="182" spans="19:19" ht="15.75" customHeight="1" x14ac:dyDescent="0.3">
      <c r="S182" s="14"/>
    </row>
    <row r="183" spans="19:19" ht="15.75" customHeight="1" x14ac:dyDescent="0.3">
      <c r="S183" s="14"/>
    </row>
    <row r="184" spans="19:19" ht="15.75" customHeight="1" x14ac:dyDescent="0.3">
      <c r="S184" s="14"/>
    </row>
    <row r="185" spans="19:19" ht="15.75" customHeight="1" x14ac:dyDescent="0.3">
      <c r="S185" s="14"/>
    </row>
    <row r="186" spans="19:19" ht="15.75" customHeight="1" x14ac:dyDescent="0.3">
      <c r="S186" s="14"/>
    </row>
    <row r="187" spans="19:19" ht="15.75" customHeight="1" x14ac:dyDescent="0.3">
      <c r="S187" s="14"/>
    </row>
    <row r="188" spans="19:19" ht="15.75" customHeight="1" x14ac:dyDescent="0.3">
      <c r="S188" s="14"/>
    </row>
    <row r="189" spans="19:19" ht="15.75" customHeight="1" x14ac:dyDescent="0.3">
      <c r="S189" s="14"/>
    </row>
    <row r="190" spans="19:19" ht="15.75" customHeight="1" x14ac:dyDescent="0.3">
      <c r="S190" s="14"/>
    </row>
    <row r="191" spans="19:19" ht="15.75" customHeight="1" x14ac:dyDescent="0.3">
      <c r="S191" s="14"/>
    </row>
    <row r="192" spans="19:19" ht="15.75" customHeight="1" x14ac:dyDescent="0.3">
      <c r="S192" s="14"/>
    </row>
    <row r="193" spans="19:19" ht="15.75" customHeight="1" x14ac:dyDescent="0.3">
      <c r="S193" s="14"/>
    </row>
    <row r="194" spans="19:19" ht="15.75" customHeight="1" x14ac:dyDescent="0.3">
      <c r="S194" s="14"/>
    </row>
    <row r="195" spans="19:19" ht="15.75" customHeight="1" x14ac:dyDescent="0.3">
      <c r="S195" s="14"/>
    </row>
    <row r="196" spans="19:19" ht="15.75" customHeight="1" x14ac:dyDescent="0.3">
      <c r="S196" s="14"/>
    </row>
    <row r="197" spans="19:19" ht="15.75" customHeight="1" x14ac:dyDescent="0.3">
      <c r="S197" s="14"/>
    </row>
    <row r="198" spans="19:19" ht="15.75" customHeight="1" x14ac:dyDescent="0.3">
      <c r="S198" s="14"/>
    </row>
    <row r="199" spans="19:19" ht="15.75" customHeight="1" x14ac:dyDescent="0.3">
      <c r="S199" s="14"/>
    </row>
    <row r="200" spans="19:19" ht="15.75" customHeight="1" x14ac:dyDescent="0.3">
      <c r="S200" s="14"/>
    </row>
    <row r="201" spans="19:19" ht="15.75" customHeight="1" x14ac:dyDescent="0.3">
      <c r="S201" s="14"/>
    </row>
    <row r="202" spans="19:19" ht="15.75" customHeight="1" x14ac:dyDescent="0.3">
      <c r="S202" s="14"/>
    </row>
    <row r="203" spans="19:19" ht="15.75" customHeight="1" x14ac:dyDescent="0.3">
      <c r="S203" s="14"/>
    </row>
    <row r="204" spans="19:19" ht="15.75" customHeight="1" x14ac:dyDescent="0.3">
      <c r="S204" s="14"/>
    </row>
    <row r="205" spans="19:19" ht="15.75" customHeight="1" x14ac:dyDescent="0.3">
      <c r="S205" s="14"/>
    </row>
    <row r="206" spans="19:19" ht="15.75" customHeight="1" x14ac:dyDescent="0.3">
      <c r="S206" s="14"/>
    </row>
    <row r="207" spans="19:19" ht="15.75" customHeight="1" x14ac:dyDescent="0.3">
      <c r="S207" s="14"/>
    </row>
    <row r="208" spans="19:19" ht="15.75" customHeight="1" x14ac:dyDescent="0.3">
      <c r="S208" s="14"/>
    </row>
    <row r="209" spans="19:19" ht="15.75" customHeight="1" x14ac:dyDescent="0.3">
      <c r="S209" s="14"/>
    </row>
    <row r="210" spans="19:19" ht="15.75" customHeight="1" x14ac:dyDescent="0.3">
      <c r="S210" s="14"/>
    </row>
    <row r="211" spans="19:19" ht="15.75" customHeight="1" x14ac:dyDescent="0.3">
      <c r="S211" s="14"/>
    </row>
    <row r="212" spans="19:19" ht="15.75" customHeight="1" x14ac:dyDescent="0.3">
      <c r="S212" s="14"/>
    </row>
    <row r="213" spans="19:19" ht="15.75" customHeight="1" x14ac:dyDescent="0.3">
      <c r="S213" s="14"/>
    </row>
    <row r="214" spans="19:19" ht="15.75" customHeight="1" x14ac:dyDescent="0.3">
      <c r="S214" s="14"/>
    </row>
    <row r="215" spans="19:19" ht="15.75" customHeight="1" x14ac:dyDescent="0.3">
      <c r="S215" s="14"/>
    </row>
    <row r="216" spans="19:19" ht="15.75" customHeight="1" x14ac:dyDescent="0.3">
      <c r="S216" s="14"/>
    </row>
    <row r="217" spans="19:19" ht="15.75" customHeight="1" x14ac:dyDescent="0.3">
      <c r="S217" s="14"/>
    </row>
    <row r="218" spans="19:19" ht="15.75" customHeight="1" x14ac:dyDescent="0.3">
      <c r="S218" s="14"/>
    </row>
    <row r="219" spans="19:19" ht="15.75" customHeight="1" x14ac:dyDescent="0.3">
      <c r="S219" s="14"/>
    </row>
    <row r="220" spans="19:19" ht="15.75" customHeight="1" x14ac:dyDescent="0.3">
      <c r="S220" s="14"/>
    </row>
    <row r="221" spans="19:19" ht="15.75" customHeight="1" x14ac:dyDescent="0.3">
      <c r="S221" s="14"/>
    </row>
    <row r="222" spans="19:19" ht="15.75" customHeight="1" x14ac:dyDescent="0.3">
      <c r="S222" s="14"/>
    </row>
    <row r="223" spans="19:19" ht="15.75" customHeight="1" x14ac:dyDescent="0.3">
      <c r="S223" s="14"/>
    </row>
    <row r="224" spans="19:19" ht="15.75" customHeight="1" x14ac:dyDescent="0.3">
      <c r="S224" s="14"/>
    </row>
    <row r="225" spans="19:19" ht="15.75" customHeight="1" x14ac:dyDescent="0.3">
      <c r="S225" s="14"/>
    </row>
    <row r="226" spans="19:19" ht="15.75" customHeight="1" x14ac:dyDescent="0.3">
      <c r="S226" s="14"/>
    </row>
    <row r="227" spans="19:19" ht="15.75" customHeight="1" x14ac:dyDescent="0.3">
      <c r="S227" s="14"/>
    </row>
    <row r="228" spans="19:19" ht="15.75" customHeight="1" x14ac:dyDescent="0.3">
      <c r="S228" s="14"/>
    </row>
    <row r="229" spans="19:19" ht="15.75" customHeight="1" x14ac:dyDescent="0.3">
      <c r="S229" s="14"/>
    </row>
    <row r="230" spans="19:19" ht="15.75" customHeight="1" x14ac:dyDescent="0.3">
      <c r="S230" s="14"/>
    </row>
    <row r="231" spans="19:19" ht="15.75" customHeight="1" x14ac:dyDescent="0.3">
      <c r="S231" s="14"/>
    </row>
    <row r="232" spans="19:19" ht="15.75" customHeight="1" x14ac:dyDescent="0.3">
      <c r="S232" s="14"/>
    </row>
    <row r="233" spans="19:19" ht="15.75" customHeight="1" x14ac:dyDescent="0.3">
      <c r="S233" s="14"/>
    </row>
    <row r="234" spans="19:19" ht="15.75" customHeight="1" x14ac:dyDescent="0.3">
      <c r="S234" s="14"/>
    </row>
    <row r="235" spans="19:19" ht="15.75" customHeight="1" x14ac:dyDescent="0.3">
      <c r="S235" s="14"/>
    </row>
    <row r="236" spans="19:19" ht="15.75" customHeight="1" x14ac:dyDescent="0.3">
      <c r="S236" s="14"/>
    </row>
    <row r="237" spans="19:19" ht="15.75" customHeight="1" x14ac:dyDescent="0.3">
      <c r="S237" s="14"/>
    </row>
    <row r="238" spans="19:19" ht="15.75" customHeight="1" x14ac:dyDescent="0.3">
      <c r="S238" s="14"/>
    </row>
    <row r="239" spans="19:19" ht="15.75" customHeight="1" x14ac:dyDescent="0.3">
      <c r="S239" s="14"/>
    </row>
    <row r="240" spans="19:19" ht="15.75" customHeight="1" x14ac:dyDescent="0.3">
      <c r="S240" s="14"/>
    </row>
    <row r="241" spans="19:19" ht="15.75" customHeight="1" x14ac:dyDescent="0.3">
      <c r="S241" s="14"/>
    </row>
    <row r="242" spans="19:19" ht="15.75" customHeight="1" x14ac:dyDescent="0.3">
      <c r="S242" s="14"/>
    </row>
    <row r="243" spans="19:19" ht="15.75" customHeight="1" x14ac:dyDescent="0.3">
      <c r="S243" s="14"/>
    </row>
    <row r="244" spans="19:19" ht="15.75" customHeight="1" x14ac:dyDescent="0.3">
      <c r="S244" s="14"/>
    </row>
    <row r="245" spans="19:19" ht="15.75" customHeight="1" x14ac:dyDescent="0.3">
      <c r="S245" s="14"/>
    </row>
    <row r="246" spans="19:19" ht="15.75" customHeight="1" x14ac:dyDescent="0.3">
      <c r="S246" s="14"/>
    </row>
    <row r="247" spans="19:19" ht="15.75" customHeight="1" x14ac:dyDescent="0.3">
      <c r="S247" s="14"/>
    </row>
    <row r="248" spans="19:19" ht="15.75" customHeight="1" x14ac:dyDescent="0.3">
      <c r="S248" s="14"/>
    </row>
    <row r="249" spans="19:19" ht="15.75" customHeight="1" x14ac:dyDescent="0.3">
      <c r="S249" s="14"/>
    </row>
    <row r="250" spans="19:19" ht="15.75" customHeight="1" x14ac:dyDescent="0.3">
      <c r="S250" s="14"/>
    </row>
    <row r="251" spans="19:19" ht="15.75" customHeight="1" x14ac:dyDescent="0.3">
      <c r="S251" s="14"/>
    </row>
    <row r="252" spans="19:19" ht="15.75" customHeight="1" x14ac:dyDescent="0.3">
      <c r="S252" s="14"/>
    </row>
    <row r="253" spans="19:19" ht="15.75" customHeight="1" x14ac:dyDescent="0.3">
      <c r="S253" s="14"/>
    </row>
    <row r="254" spans="19:19" ht="15.75" customHeight="1" x14ac:dyDescent="0.3">
      <c r="S254" s="14"/>
    </row>
    <row r="255" spans="19:19" ht="15.75" customHeight="1" x14ac:dyDescent="0.3">
      <c r="S255" s="14"/>
    </row>
    <row r="256" spans="19:19" ht="15.75" customHeight="1" x14ac:dyDescent="0.3">
      <c r="S256" s="14"/>
    </row>
    <row r="257" spans="19:19" ht="15.75" customHeight="1" x14ac:dyDescent="0.3">
      <c r="S257" s="14"/>
    </row>
    <row r="258" spans="19:19" ht="15.75" customHeight="1" x14ac:dyDescent="0.3">
      <c r="S258" s="14"/>
    </row>
    <row r="259" spans="19:19" ht="15.75" customHeight="1" x14ac:dyDescent="0.3">
      <c r="S259" s="14"/>
    </row>
    <row r="260" spans="19:19" ht="15.75" customHeight="1" x14ac:dyDescent="0.3">
      <c r="S260" s="14"/>
    </row>
    <row r="261" spans="19:19" ht="15.75" customHeight="1" x14ac:dyDescent="0.3">
      <c r="S261" s="14"/>
    </row>
    <row r="262" spans="19:19" ht="15.75" customHeight="1" x14ac:dyDescent="0.3">
      <c r="S262" s="14"/>
    </row>
    <row r="263" spans="19:19" ht="15.75" customHeight="1" x14ac:dyDescent="0.3">
      <c r="S263" s="14"/>
    </row>
    <row r="264" spans="19:19" ht="15.75" customHeight="1" x14ac:dyDescent="0.3">
      <c r="S264" s="14"/>
    </row>
    <row r="265" spans="19:19" ht="15.75" customHeight="1" x14ac:dyDescent="0.3">
      <c r="S265" s="14"/>
    </row>
    <row r="266" spans="19:19" ht="15.75" customHeight="1" x14ac:dyDescent="0.3">
      <c r="S266" s="14"/>
    </row>
    <row r="267" spans="19:19" ht="15.75" customHeight="1" x14ac:dyDescent="0.3">
      <c r="S267" s="14"/>
    </row>
    <row r="268" spans="19:19" ht="15.75" customHeight="1" x14ac:dyDescent="0.3">
      <c r="S268" s="14"/>
    </row>
    <row r="269" spans="19:19" ht="15.75" customHeight="1" x14ac:dyDescent="0.3">
      <c r="S269" s="14"/>
    </row>
    <row r="270" spans="19:19" ht="15.75" customHeight="1" x14ac:dyDescent="0.3">
      <c r="S270" s="14"/>
    </row>
    <row r="271" spans="19:19" ht="15.75" customHeight="1" x14ac:dyDescent="0.3">
      <c r="S271" s="14"/>
    </row>
    <row r="272" spans="19:19" ht="15.75" customHeight="1" x14ac:dyDescent="0.3">
      <c r="S272" s="14"/>
    </row>
    <row r="273" spans="19:19" ht="15.75" customHeight="1" x14ac:dyDescent="0.3">
      <c r="S273" s="14"/>
    </row>
    <row r="274" spans="19:19" ht="15.75" customHeight="1" x14ac:dyDescent="0.3">
      <c r="S274" s="14"/>
    </row>
    <row r="275" spans="19:19" ht="15.75" customHeight="1" x14ac:dyDescent="0.3">
      <c r="S275" s="14"/>
    </row>
    <row r="276" spans="19:19" ht="15.75" customHeight="1" x14ac:dyDescent="0.3">
      <c r="S276" s="14"/>
    </row>
    <row r="277" spans="19:19" ht="15.75" customHeight="1" x14ac:dyDescent="0.3">
      <c r="S277" s="14"/>
    </row>
    <row r="278" spans="19:19" ht="15.75" customHeight="1" x14ac:dyDescent="0.3">
      <c r="S278" s="14"/>
    </row>
    <row r="279" spans="19:19" ht="15.75" customHeight="1" x14ac:dyDescent="0.3">
      <c r="S279" s="14"/>
    </row>
    <row r="280" spans="19:19" ht="15.75" customHeight="1" x14ac:dyDescent="0.3">
      <c r="S280" s="14"/>
    </row>
    <row r="281" spans="19:19" ht="15.75" customHeight="1" x14ac:dyDescent="0.3">
      <c r="S281" s="14"/>
    </row>
    <row r="282" spans="19:19" ht="15.75" customHeight="1" x14ac:dyDescent="0.3">
      <c r="S282" s="14"/>
    </row>
    <row r="283" spans="19:19" ht="15.75" customHeight="1" x14ac:dyDescent="0.3">
      <c r="S283" s="14"/>
    </row>
    <row r="284" spans="19:19" ht="15.75" customHeight="1" x14ac:dyDescent="0.3">
      <c r="S284" s="14"/>
    </row>
    <row r="285" spans="19:19" ht="15.75" customHeight="1" x14ac:dyDescent="0.3">
      <c r="S285" s="14"/>
    </row>
    <row r="286" spans="19:19" ht="15.75" customHeight="1" x14ac:dyDescent="0.3">
      <c r="S286" s="14"/>
    </row>
    <row r="287" spans="19:19" ht="15.75" customHeight="1" x14ac:dyDescent="0.3">
      <c r="S287" s="14"/>
    </row>
    <row r="288" spans="19:19" ht="15.75" customHeight="1" x14ac:dyDescent="0.3">
      <c r="S288" s="14"/>
    </row>
    <row r="289" spans="19:19" ht="15.75" customHeight="1" x14ac:dyDescent="0.3">
      <c r="S289" s="14"/>
    </row>
    <row r="290" spans="19:19" ht="15.75" customHeight="1" x14ac:dyDescent="0.3">
      <c r="S290" s="14"/>
    </row>
    <row r="291" spans="19:19" ht="15.75" customHeight="1" x14ac:dyDescent="0.3">
      <c r="S291" s="14"/>
    </row>
    <row r="292" spans="19:19" ht="15.75" customHeight="1" x14ac:dyDescent="0.3">
      <c r="S292" s="14"/>
    </row>
    <row r="293" spans="19:19" ht="15.75" customHeight="1" x14ac:dyDescent="0.3">
      <c r="S293" s="14"/>
    </row>
    <row r="294" spans="19:19" ht="15.75" customHeight="1" x14ac:dyDescent="0.3">
      <c r="S294" s="14"/>
    </row>
    <row r="295" spans="19:19" ht="15.75" customHeight="1" x14ac:dyDescent="0.3">
      <c r="S295" s="14"/>
    </row>
    <row r="296" spans="19:19" ht="15.75" customHeight="1" x14ac:dyDescent="0.3">
      <c r="S296" s="14"/>
    </row>
    <row r="297" spans="19:19" ht="15.75" customHeight="1" x14ac:dyDescent="0.3">
      <c r="S297" s="14"/>
    </row>
    <row r="298" spans="19:19" ht="15.75" customHeight="1" x14ac:dyDescent="0.3">
      <c r="S298" s="14"/>
    </row>
    <row r="299" spans="19:19" ht="15.75" customHeight="1" x14ac:dyDescent="0.3">
      <c r="S299" s="14"/>
    </row>
    <row r="300" spans="19:19" ht="15.75" customHeight="1" x14ac:dyDescent="0.3">
      <c r="S300" s="14"/>
    </row>
    <row r="301" spans="19:19" ht="15.75" customHeight="1" x14ac:dyDescent="0.3">
      <c r="S301" s="14"/>
    </row>
    <row r="302" spans="19:19" ht="15.75" customHeight="1" x14ac:dyDescent="0.3">
      <c r="S302" s="14"/>
    </row>
    <row r="303" spans="19:19" ht="15.75" customHeight="1" x14ac:dyDescent="0.3">
      <c r="S303" s="14"/>
    </row>
    <row r="304" spans="19:19" ht="15.75" customHeight="1" x14ac:dyDescent="0.3">
      <c r="S304" s="14"/>
    </row>
    <row r="305" spans="19:19" ht="15.75" customHeight="1" x14ac:dyDescent="0.3">
      <c r="S305" s="14"/>
    </row>
    <row r="306" spans="19:19" ht="15.75" customHeight="1" x14ac:dyDescent="0.3">
      <c r="S306" s="14"/>
    </row>
    <row r="307" spans="19:19" ht="15.75" customHeight="1" x14ac:dyDescent="0.3">
      <c r="S307" s="14"/>
    </row>
    <row r="308" spans="19:19" ht="15.75" customHeight="1" x14ac:dyDescent="0.3">
      <c r="S308" s="14"/>
    </row>
    <row r="309" spans="19:19" ht="15.75" customHeight="1" x14ac:dyDescent="0.3">
      <c r="S309" s="14"/>
    </row>
    <row r="310" spans="19:19" ht="15.75" customHeight="1" x14ac:dyDescent="0.3">
      <c r="S310" s="14"/>
    </row>
    <row r="311" spans="19:19" ht="15.75" customHeight="1" x14ac:dyDescent="0.3">
      <c r="S311" s="14"/>
    </row>
    <row r="312" spans="19:19" ht="15.75" customHeight="1" x14ac:dyDescent="0.3">
      <c r="S312" s="14"/>
    </row>
    <row r="313" spans="19:19" ht="15.75" customHeight="1" x14ac:dyDescent="0.3">
      <c r="S313" s="14"/>
    </row>
    <row r="314" spans="19:19" ht="15.75" customHeight="1" x14ac:dyDescent="0.3">
      <c r="S314" s="14"/>
    </row>
    <row r="315" spans="19:19" ht="15.75" customHeight="1" x14ac:dyDescent="0.3">
      <c r="S315" s="14"/>
    </row>
    <row r="316" spans="19:19" ht="15.75" customHeight="1" x14ac:dyDescent="0.3">
      <c r="S316" s="14"/>
    </row>
    <row r="317" spans="19:19" ht="15.75" customHeight="1" x14ac:dyDescent="0.3">
      <c r="S317" s="14"/>
    </row>
    <row r="318" spans="19:19" ht="15.75" customHeight="1" x14ac:dyDescent="0.3">
      <c r="S318" s="14"/>
    </row>
    <row r="319" spans="19:19" ht="15.75" customHeight="1" x14ac:dyDescent="0.3">
      <c r="S319" s="14"/>
    </row>
    <row r="320" spans="19:19" ht="15.75" customHeight="1" x14ac:dyDescent="0.3">
      <c r="S320" s="14"/>
    </row>
    <row r="321" spans="19:19" ht="15.75" customHeight="1" x14ac:dyDescent="0.3">
      <c r="S321" s="14"/>
    </row>
    <row r="322" spans="19:19" ht="15.75" customHeight="1" x14ac:dyDescent="0.3">
      <c r="S322" s="14"/>
    </row>
    <row r="323" spans="19:19" ht="15.75" customHeight="1" x14ac:dyDescent="0.3">
      <c r="S323" s="14"/>
    </row>
    <row r="324" spans="19:19" ht="15.75" customHeight="1" x14ac:dyDescent="0.3">
      <c r="S324" s="14"/>
    </row>
    <row r="325" spans="19:19" ht="15.75" customHeight="1" x14ac:dyDescent="0.3">
      <c r="S325" s="14"/>
    </row>
    <row r="326" spans="19:19" ht="15.75" customHeight="1" x14ac:dyDescent="0.3">
      <c r="S326" s="14"/>
    </row>
    <row r="327" spans="19:19" ht="15.75" customHeight="1" x14ac:dyDescent="0.3">
      <c r="S327" s="14"/>
    </row>
    <row r="328" spans="19:19" ht="15.75" customHeight="1" x14ac:dyDescent="0.3">
      <c r="S328" s="14"/>
    </row>
    <row r="329" spans="19:19" ht="15.75" customHeight="1" x14ac:dyDescent="0.3">
      <c r="S329" s="14"/>
    </row>
    <row r="330" spans="19:19" ht="15.75" customHeight="1" x14ac:dyDescent="0.3">
      <c r="S330" s="14"/>
    </row>
    <row r="331" spans="19:19" ht="15.75" customHeight="1" x14ac:dyDescent="0.3">
      <c r="S331" s="14"/>
    </row>
    <row r="332" spans="19:19" ht="15.75" customHeight="1" x14ac:dyDescent="0.3">
      <c r="S332" s="14"/>
    </row>
    <row r="333" spans="19:19" ht="15.75" customHeight="1" x14ac:dyDescent="0.3">
      <c r="S333" s="14"/>
    </row>
    <row r="334" spans="19:19" ht="15.75" customHeight="1" x14ac:dyDescent="0.3">
      <c r="S334" s="14"/>
    </row>
    <row r="335" spans="19:19" ht="15.75" customHeight="1" x14ac:dyDescent="0.3">
      <c r="S335" s="14"/>
    </row>
    <row r="336" spans="19:19" ht="15.75" customHeight="1" x14ac:dyDescent="0.3">
      <c r="S336" s="14"/>
    </row>
    <row r="337" spans="19:19" ht="15.75" customHeight="1" x14ac:dyDescent="0.3">
      <c r="S337" s="14"/>
    </row>
    <row r="338" spans="19:19" ht="15.75" customHeight="1" x14ac:dyDescent="0.3">
      <c r="S338" s="14"/>
    </row>
    <row r="339" spans="19:19" ht="15.75" customHeight="1" x14ac:dyDescent="0.3">
      <c r="S339" s="14"/>
    </row>
    <row r="340" spans="19:19" ht="15.75" customHeight="1" x14ac:dyDescent="0.3">
      <c r="S340" s="14"/>
    </row>
    <row r="341" spans="19:19" ht="15.75" customHeight="1" x14ac:dyDescent="0.3">
      <c r="S341" s="14"/>
    </row>
    <row r="342" spans="19:19" ht="15.75" customHeight="1" x14ac:dyDescent="0.3">
      <c r="S342" s="14"/>
    </row>
    <row r="343" spans="19:19" ht="15.75" customHeight="1" x14ac:dyDescent="0.3">
      <c r="S343" s="14"/>
    </row>
    <row r="344" spans="19:19" ht="15.75" customHeight="1" x14ac:dyDescent="0.3">
      <c r="S344" s="14"/>
    </row>
    <row r="345" spans="19:19" ht="15.75" customHeight="1" x14ac:dyDescent="0.3">
      <c r="S345" s="14"/>
    </row>
    <row r="346" spans="19:19" ht="15.75" customHeight="1" x14ac:dyDescent="0.3">
      <c r="S346" s="14"/>
    </row>
    <row r="347" spans="19:19" ht="15.75" customHeight="1" x14ac:dyDescent="0.3">
      <c r="S347" s="14"/>
    </row>
    <row r="348" spans="19:19" ht="15.75" customHeight="1" x14ac:dyDescent="0.3">
      <c r="S348" s="14"/>
    </row>
    <row r="349" spans="19:19" ht="15.75" customHeight="1" x14ac:dyDescent="0.3">
      <c r="S349" s="14"/>
    </row>
    <row r="350" spans="19:19" ht="15.75" customHeight="1" x14ac:dyDescent="0.3">
      <c r="S350" s="14"/>
    </row>
    <row r="351" spans="19:19" ht="15.75" customHeight="1" x14ac:dyDescent="0.3">
      <c r="S351" s="14"/>
    </row>
    <row r="352" spans="19:19" ht="15.75" customHeight="1" x14ac:dyDescent="0.3">
      <c r="S352" s="14"/>
    </row>
    <row r="353" spans="19:19" ht="15.75" customHeight="1" x14ac:dyDescent="0.3">
      <c r="S353" s="14"/>
    </row>
    <row r="354" spans="19:19" ht="15.75" customHeight="1" x14ac:dyDescent="0.3">
      <c r="S354" s="14"/>
    </row>
    <row r="355" spans="19:19" ht="15.75" customHeight="1" x14ac:dyDescent="0.3">
      <c r="S355" s="14"/>
    </row>
    <row r="356" spans="19:19" ht="15.75" customHeight="1" x14ac:dyDescent="0.3">
      <c r="S356" s="14"/>
    </row>
    <row r="357" spans="19:19" ht="15.75" customHeight="1" x14ac:dyDescent="0.3">
      <c r="S357" s="14"/>
    </row>
    <row r="358" spans="19:19" ht="15.75" customHeight="1" x14ac:dyDescent="0.3">
      <c r="S358" s="14"/>
    </row>
    <row r="359" spans="19:19" ht="15.75" customHeight="1" x14ac:dyDescent="0.3">
      <c r="S359" s="14"/>
    </row>
    <row r="360" spans="19:19" ht="15.75" customHeight="1" x14ac:dyDescent="0.3">
      <c r="S360" s="14"/>
    </row>
    <row r="361" spans="19:19" ht="15.75" customHeight="1" x14ac:dyDescent="0.3">
      <c r="S361" s="14"/>
    </row>
    <row r="362" spans="19:19" ht="15.75" customHeight="1" x14ac:dyDescent="0.3">
      <c r="S362" s="14"/>
    </row>
    <row r="363" spans="19:19" ht="15.75" customHeight="1" x14ac:dyDescent="0.3">
      <c r="S363" s="14"/>
    </row>
    <row r="364" spans="19:19" ht="15.75" customHeight="1" x14ac:dyDescent="0.3">
      <c r="S364" s="14"/>
    </row>
    <row r="365" spans="19:19" ht="15.75" customHeight="1" x14ac:dyDescent="0.3">
      <c r="S365" s="14"/>
    </row>
    <row r="366" spans="19:19" ht="15.75" customHeight="1" x14ac:dyDescent="0.3">
      <c r="S366" s="14"/>
    </row>
    <row r="367" spans="19:19" ht="15.75" customHeight="1" x14ac:dyDescent="0.3">
      <c r="S367" s="14"/>
    </row>
    <row r="368" spans="19:19" ht="15.75" customHeight="1" x14ac:dyDescent="0.3">
      <c r="S368" s="14"/>
    </row>
    <row r="369" spans="19:19" ht="15.75" customHeight="1" x14ac:dyDescent="0.3">
      <c r="S369" s="14"/>
    </row>
    <row r="370" spans="19:19" ht="15.75" customHeight="1" x14ac:dyDescent="0.3">
      <c r="S370" s="14"/>
    </row>
    <row r="371" spans="19:19" ht="15.75" customHeight="1" x14ac:dyDescent="0.3">
      <c r="S371" s="14"/>
    </row>
    <row r="372" spans="19:19" ht="15.75" customHeight="1" x14ac:dyDescent="0.3">
      <c r="S372" s="14"/>
    </row>
    <row r="373" spans="19:19" ht="15.75" customHeight="1" x14ac:dyDescent="0.3">
      <c r="S373" s="14"/>
    </row>
    <row r="374" spans="19:19" ht="15.75" customHeight="1" x14ac:dyDescent="0.3">
      <c r="S374" s="14"/>
    </row>
    <row r="375" spans="19:19" ht="15.75" customHeight="1" x14ac:dyDescent="0.3">
      <c r="S375" s="14"/>
    </row>
    <row r="376" spans="19:19" ht="15.75" customHeight="1" x14ac:dyDescent="0.3">
      <c r="S376" s="14"/>
    </row>
    <row r="377" spans="19:19" ht="15.75" customHeight="1" x14ac:dyDescent="0.3">
      <c r="S377" s="14"/>
    </row>
    <row r="378" spans="19:19" ht="15.75" customHeight="1" x14ac:dyDescent="0.3">
      <c r="S378" s="14"/>
    </row>
    <row r="379" spans="19:19" ht="15.75" customHeight="1" x14ac:dyDescent="0.3">
      <c r="S379" s="14"/>
    </row>
    <row r="380" spans="19:19" ht="15.75" customHeight="1" x14ac:dyDescent="0.3">
      <c r="S380" s="14"/>
    </row>
    <row r="381" spans="19:19" ht="15.75" customHeight="1" x14ac:dyDescent="0.3">
      <c r="S381" s="14"/>
    </row>
    <row r="382" spans="19:19" ht="15.75" customHeight="1" x14ac:dyDescent="0.3">
      <c r="S382" s="14"/>
    </row>
    <row r="383" spans="19:19" ht="15.75" customHeight="1" x14ac:dyDescent="0.3">
      <c r="S383" s="14"/>
    </row>
    <row r="384" spans="19:19" ht="15.75" customHeight="1" x14ac:dyDescent="0.3">
      <c r="S384" s="14"/>
    </row>
    <row r="385" spans="19:19" ht="15.75" customHeight="1" x14ac:dyDescent="0.3">
      <c r="S385" s="14"/>
    </row>
    <row r="386" spans="19:19" ht="15.75" customHeight="1" x14ac:dyDescent="0.3">
      <c r="S386" s="14"/>
    </row>
    <row r="387" spans="19:19" ht="15.75" customHeight="1" x14ac:dyDescent="0.3">
      <c r="S387" s="14"/>
    </row>
    <row r="388" spans="19:19" ht="15.75" customHeight="1" x14ac:dyDescent="0.3">
      <c r="S388" s="14"/>
    </row>
    <row r="389" spans="19:19" ht="15.75" customHeight="1" x14ac:dyDescent="0.3">
      <c r="S389" s="14"/>
    </row>
    <row r="390" spans="19:19" ht="15.75" customHeight="1" x14ac:dyDescent="0.3">
      <c r="S390" s="14"/>
    </row>
    <row r="391" spans="19:19" ht="15.75" customHeight="1" x14ac:dyDescent="0.3">
      <c r="S391" s="14"/>
    </row>
    <row r="392" spans="19:19" ht="15.75" customHeight="1" x14ac:dyDescent="0.3">
      <c r="S392" s="14"/>
    </row>
    <row r="393" spans="19:19" ht="15.75" customHeight="1" x14ac:dyDescent="0.3">
      <c r="S393" s="14"/>
    </row>
    <row r="394" spans="19:19" ht="15.75" customHeight="1" x14ac:dyDescent="0.3">
      <c r="S394" s="14"/>
    </row>
    <row r="395" spans="19:19" ht="15.75" customHeight="1" x14ac:dyDescent="0.3">
      <c r="S395" s="14"/>
    </row>
    <row r="396" spans="19:19" ht="15.75" customHeight="1" x14ac:dyDescent="0.3">
      <c r="S396" s="14"/>
    </row>
    <row r="397" spans="19:19" ht="15.75" customHeight="1" x14ac:dyDescent="0.3">
      <c r="S397" s="14"/>
    </row>
    <row r="398" spans="19:19" ht="15.75" customHeight="1" x14ac:dyDescent="0.3">
      <c r="S398" s="14"/>
    </row>
    <row r="399" spans="19:19" ht="15.75" customHeight="1" x14ac:dyDescent="0.3">
      <c r="S399" s="14"/>
    </row>
    <row r="400" spans="19:19" ht="15.75" customHeight="1" x14ac:dyDescent="0.3">
      <c r="S400" s="14"/>
    </row>
    <row r="401" spans="19:19" ht="15.75" customHeight="1" x14ac:dyDescent="0.3">
      <c r="S401" s="14"/>
    </row>
    <row r="402" spans="19:19" ht="15.75" customHeight="1" x14ac:dyDescent="0.3">
      <c r="S402" s="14"/>
    </row>
    <row r="403" spans="19:19" ht="15.75" customHeight="1" x14ac:dyDescent="0.3">
      <c r="S403" s="14"/>
    </row>
    <row r="404" spans="19:19" ht="15.75" customHeight="1" x14ac:dyDescent="0.3">
      <c r="S404" s="14"/>
    </row>
    <row r="405" spans="19:19" ht="15.75" customHeight="1" x14ac:dyDescent="0.3">
      <c r="S405" s="14"/>
    </row>
    <row r="406" spans="19:19" ht="15.75" customHeight="1" x14ac:dyDescent="0.3">
      <c r="S406" s="14"/>
    </row>
    <row r="407" spans="19:19" ht="15.75" customHeight="1" x14ac:dyDescent="0.3">
      <c r="S407" s="14"/>
    </row>
    <row r="408" spans="19:19" ht="15.75" customHeight="1" x14ac:dyDescent="0.3">
      <c r="S408" s="14"/>
    </row>
    <row r="409" spans="19:19" ht="15.75" customHeight="1" x14ac:dyDescent="0.3">
      <c r="S409" s="14"/>
    </row>
    <row r="410" spans="19:19" ht="15.75" customHeight="1" x14ac:dyDescent="0.3">
      <c r="S410" s="14"/>
    </row>
    <row r="411" spans="19:19" ht="15.75" customHeight="1" x14ac:dyDescent="0.3">
      <c r="S411" s="14"/>
    </row>
    <row r="412" spans="19:19" ht="15.75" customHeight="1" x14ac:dyDescent="0.3">
      <c r="S412" s="14"/>
    </row>
    <row r="413" spans="19:19" ht="15.75" customHeight="1" x14ac:dyDescent="0.3">
      <c r="S413" s="14"/>
    </row>
    <row r="414" spans="19:19" ht="15.75" customHeight="1" x14ac:dyDescent="0.3">
      <c r="S414" s="14"/>
    </row>
    <row r="415" spans="19:19" ht="15.75" customHeight="1" x14ac:dyDescent="0.3">
      <c r="S415" s="14"/>
    </row>
    <row r="416" spans="19:19" ht="15.75" customHeight="1" x14ac:dyDescent="0.3">
      <c r="S416" s="14"/>
    </row>
    <row r="417" spans="19:19" ht="15.75" customHeight="1" x14ac:dyDescent="0.3">
      <c r="S417" s="14"/>
    </row>
    <row r="418" spans="19:19" ht="15.75" customHeight="1" x14ac:dyDescent="0.3">
      <c r="S418" s="14"/>
    </row>
    <row r="419" spans="19:19" ht="15.75" customHeight="1" x14ac:dyDescent="0.3">
      <c r="S419" s="14"/>
    </row>
    <row r="420" spans="19:19" ht="15.75" customHeight="1" x14ac:dyDescent="0.3">
      <c r="S420" s="14"/>
    </row>
    <row r="421" spans="19:19" ht="15.75" customHeight="1" x14ac:dyDescent="0.3">
      <c r="S421" s="14"/>
    </row>
    <row r="422" spans="19:19" ht="15.75" customHeight="1" x14ac:dyDescent="0.3">
      <c r="S422" s="14"/>
    </row>
    <row r="423" spans="19:19" ht="15.75" customHeight="1" x14ac:dyDescent="0.3">
      <c r="S423" s="14"/>
    </row>
    <row r="424" spans="19:19" ht="15.75" customHeight="1" x14ac:dyDescent="0.3">
      <c r="S424" s="14"/>
    </row>
    <row r="425" spans="19:19" ht="15.75" customHeight="1" x14ac:dyDescent="0.3">
      <c r="S425" s="14"/>
    </row>
    <row r="426" spans="19:19" ht="15.75" customHeight="1" x14ac:dyDescent="0.3">
      <c r="S426" s="14"/>
    </row>
    <row r="427" spans="19:19" ht="15.75" customHeight="1" x14ac:dyDescent="0.3">
      <c r="S427" s="14"/>
    </row>
    <row r="428" spans="19:19" ht="15.75" customHeight="1" x14ac:dyDescent="0.3">
      <c r="S428" s="14"/>
    </row>
    <row r="429" spans="19:19" ht="15.75" customHeight="1" x14ac:dyDescent="0.3">
      <c r="S429" s="14"/>
    </row>
    <row r="430" spans="19:19" ht="15.75" customHeight="1" x14ac:dyDescent="0.3">
      <c r="S430" s="14"/>
    </row>
    <row r="431" spans="19:19" ht="15.75" customHeight="1" x14ac:dyDescent="0.3">
      <c r="S431" s="14"/>
    </row>
    <row r="432" spans="19:19" ht="15.75" customHeight="1" x14ac:dyDescent="0.3">
      <c r="S432" s="14"/>
    </row>
    <row r="433" spans="19:19" ht="15.75" customHeight="1" x14ac:dyDescent="0.3">
      <c r="S433" s="14"/>
    </row>
    <row r="434" spans="19:19" ht="15.75" customHeight="1" x14ac:dyDescent="0.3">
      <c r="S434" s="14"/>
    </row>
    <row r="435" spans="19:19" ht="15.75" customHeight="1" x14ac:dyDescent="0.3">
      <c r="S435" s="14"/>
    </row>
    <row r="436" spans="19:19" ht="15.75" customHeight="1" x14ac:dyDescent="0.3">
      <c r="S436" s="14"/>
    </row>
    <row r="437" spans="19:19" ht="15.75" customHeight="1" x14ac:dyDescent="0.3">
      <c r="S437" s="14"/>
    </row>
    <row r="438" spans="19:19" ht="15.75" customHeight="1" x14ac:dyDescent="0.3">
      <c r="S438" s="14"/>
    </row>
    <row r="439" spans="19:19" ht="15.75" customHeight="1" x14ac:dyDescent="0.3">
      <c r="S439" s="14"/>
    </row>
    <row r="440" spans="19:19" ht="15.75" customHeight="1" x14ac:dyDescent="0.3">
      <c r="S440" s="14"/>
    </row>
    <row r="441" spans="19:19" ht="15.75" customHeight="1" x14ac:dyDescent="0.3">
      <c r="S441" s="14"/>
    </row>
    <row r="442" spans="19:19" ht="15.75" customHeight="1" x14ac:dyDescent="0.3">
      <c r="S442" s="14"/>
    </row>
    <row r="443" spans="19:19" ht="15.75" customHeight="1" x14ac:dyDescent="0.3">
      <c r="S443" s="14"/>
    </row>
    <row r="444" spans="19:19" ht="15.75" customHeight="1" x14ac:dyDescent="0.3">
      <c r="S444" s="14"/>
    </row>
    <row r="445" spans="19:19" ht="15.75" customHeight="1" x14ac:dyDescent="0.3">
      <c r="S445" s="14"/>
    </row>
    <row r="446" spans="19:19" ht="15.75" customHeight="1" x14ac:dyDescent="0.3">
      <c r="S446" s="14"/>
    </row>
    <row r="447" spans="19:19" ht="15.75" customHeight="1" x14ac:dyDescent="0.3">
      <c r="S447" s="14"/>
    </row>
    <row r="448" spans="19:19" ht="15.75" customHeight="1" x14ac:dyDescent="0.3">
      <c r="S448" s="14"/>
    </row>
    <row r="449" spans="19:19" ht="15.75" customHeight="1" x14ac:dyDescent="0.3">
      <c r="S449" s="14"/>
    </row>
    <row r="450" spans="19:19" ht="15.75" customHeight="1" x14ac:dyDescent="0.3">
      <c r="S450" s="14"/>
    </row>
    <row r="451" spans="19:19" ht="15.75" customHeight="1" x14ac:dyDescent="0.3">
      <c r="S451" s="14"/>
    </row>
    <row r="452" spans="19:19" ht="15.75" customHeight="1" x14ac:dyDescent="0.3">
      <c r="S452" s="14"/>
    </row>
    <row r="453" spans="19:19" ht="15.75" customHeight="1" x14ac:dyDescent="0.3">
      <c r="S453" s="14"/>
    </row>
    <row r="454" spans="19:19" ht="15.75" customHeight="1" x14ac:dyDescent="0.3">
      <c r="S454" s="14"/>
    </row>
    <row r="455" spans="19:19" ht="15.75" customHeight="1" x14ac:dyDescent="0.3">
      <c r="S455" s="14"/>
    </row>
    <row r="456" spans="19:19" ht="15.75" customHeight="1" x14ac:dyDescent="0.3">
      <c r="S456" s="14"/>
    </row>
    <row r="457" spans="19:19" ht="15.75" customHeight="1" x14ac:dyDescent="0.3">
      <c r="S457" s="14"/>
    </row>
    <row r="458" spans="19:19" ht="15.75" customHeight="1" x14ac:dyDescent="0.3">
      <c r="S458" s="14"/>
    </row>
    <row r="459" spans="19:19" ht="15.75" customHeight="1" x14ac:dyDescent="0.3">
      <c r="S459" s="14"/>
    </row>
    <row r="460" spans="19:19" ht="15.75" customHeight="1" x14ac:dyDescent="0.3">
      <c r="S460" s="14"/>
    </row>
    <row r="461" spans="19:19" ht="15.75" customHeight="1" x14ac:dyDescent="0.3">
      <c r="S461" s="14"/>
    </row>
    <row r="462" spans="19:19" ht="15.75" customHeight="1" x14ac:dyDescent="0.3">
      <c r="S462" s="14"/>
    </row>
    <row r="463" spans="19:19" ht="15.75" customHeight="1" x14ac:dyDescent="0.3">
      <c r="S463" s="14"/>
    </row>
    <row r="464" spans="19:19" ht="15.75" customHeight="1" x14ac:dyDescent="0.3">
      <c r="S464" s="14"/>
    </row>
    <row r="465" spans="19:19" ht="15.75" customHeight="1" x14ac:dyDescent="0.3">
      <c r="S465" s="14"/>
    </row>
    <row r="466" spans="19:19" ht="15.75" customHeight="1" x14ac:dyDescent="0.3">
      <c r="S466" s="14"/>
    </row>
    <row r="467" spans="19:19" ht="15.75" customHeight="1" x14ac:dyDescent="0.3">
      <c r="S467" s="14"/>
    </row>
    <row r="468" spans="19:19" ht="15.75" customHeight="1" x14ac:dyDescent="0.3">
      <c r="S468" s="14"/>
    </row>
    <row r="469" spans="19:19" ht="15.75" customHeight="1" x14ac:dyDescent="0.3">
      <c r="S469" s="14"/>
    </row>
    <row r="470" spans="19:19" ht="15.75" customHeight="1" x14ac:dyDescent="0.3">
      <c r="S470" s="14"/>
    </row>
    <row r="471" spans="19:19" ht="15.75" customHeight="1" x14ac:dyDescent="0.3">
      <c r="S471" s="14"/>
    </row>
    <row r="472" spans="19:19" ht="15.75" customHeight="1" x14ac:dyDescent="0.3">
      <c r="S472" s="14"/>
    </row>
    <row r="473" spans="19:19" ht="15.75" customHeight="1" x14ac:dyDescent="0.3">
      <c r="S473" s="14"/>
    </row>
    <row r="474" spans="19:19" ht="15.75" customHeight="1" x14ac:dyDescent="0.3">
      <c r="S474" s="14"/>
    </row>
    <row r="475" spans="19:19" ht="15.75" customHeight="1" x14ac:dyDescent="0.3">
      <c r="S475" s="14"/>
    </row>
    <row r="476" spans="19:19" ht="15.75" customHeight="1" x14ac:dyDescent="0.3">
      <c r="S476" s="14"/>
    </row>
    <row r="477" spans="19:19" ht="15.75" customHeight="1" x14ac:dyDescent="0.3">
      <c r="S477" s="14"/>
    </row>
    <row r="478" spans="19:19" ht="15.75" customHeight="1" x14ac:dyDescent="0.3">
      <c r="S478" s="14"/>
    </row>
    <row r="479" spans="19:19" ht="15.75" customHeight="1" x14ac:dyDescent="0.3">
      <c r="S479" s="14"/>
    </row>
    <row r="480" spans="19:19" ht="15.75" customHeight="1" x14ac:dyDescent="0.3">
      <c r="S480" s="14"/>
    </row>
    <row r="481" spans="19:19" ht="15.75" customHeight="1" x14ac:dyDescent="0.3">
      <c r="S481" s="14"/>
    </row>
    <row r="482" spans="19:19" ht="15.75" customHeight="1" x14ac:dyDescent="0.3">
      <c r="S482" s="14"/>
    </row>
    <row r="483" spans="19:19" ht="15.75" customHeight="1" x14ac:dyDescent="0.3">
      <c r="S483" s="14"/>
    </row>
    <row r="484" spans="19:19" ht="15.75" customHeight="1" x14ac:dyDescent="0.3">
      <c r="S484" s="14"/>
    </row>
    <row r="485" spans="19:19" ht="15.75" customHeight="1" x14ac:dyDescent="0.3">
      <c r="S485" s="14"/>
    </row>
    <row r="486" spans="19:19" ht="15.75" customHeight="1" x14ac:dyDescent="0.3">
      <c r="S486" s="14"/>
    </row>
    <row r="487" spans="19:19" ht="15.75" customHeight="1" x14ac:dyDescent="0.3">
      <c r="S487" s="14"/>
    </row>
    <row r="488" spans="19:19" ht="15.75" customHeight="1" x14ac:dyDescent="0.3">
      <c r="S488" s="14"/>
    </row>
    <row r="489" spans="19:19" ht="15.75" customHeight="1" x14ac:dyDescent="0.3">
      <c r="S489" s="14"/>
    </row>
    <row r="490" spans="19:19" ht="15.75" customHeight="1" x14ac:dyDescent="0.3">
      <c r="S490" s="14"/>
    </row>
    <row r="491" spans="19:19" ht="15.75" customHeight="1" x14ac:dyDescent="0.3">
      <c r="S491" s="14"/>
    </row>
    <row r="492" spans="19:19" ht="15.75" customHeight="1" x14ac:dyDescent="0.3">
      <c r="S492" s="14"/>
    </row>
    <row r="493" spans="19:19" ht="15.75" customHeight="1" x14ac:dyDescent="0.3">
      <c r="S493" s="14"/>
    </row>
    <row r="494" spans="19:19" ht="15.75" customHeight="1" x14ac:dyDescent="0.3">
      <c r="S494" s="14"/>
    </row>
    <row r="495" spans="19:19" ht="15.75" customHeight="1" x14ac:dyDescent="0.3">
      <c r="S495" s="14"/>
    </row>
    <row r="496" spans="19:19" ht="15.75" customHeight="1" x14ac:dyDescent="0.3">
      <c r="S496" s="14"/>
    </row>
    <row r="497" spans="19:19" ht="15.75" customHeight="1" x14ac:dyDescent="0.3">
      <c r="S497" s="14"/>
    </row>
    <row r="498" spans="19:19" ht="15.75" customHeight="1" x14ac:dyDescent="0.3">
      <c r="S498" s="14"/>
    </row>
    <row r="499" spans="19:19" ht="15.75" customHeight="1" x14ac:dyDescent="0.3">
      <c r="S499" s="14"/>
    </row>
    <row r="500" spans="19:19" ht="15.75" customHeight="1" x14ac:dyDescent="0.3">
      <c r="S500" s="14"/>
    </row>
    <row r="501" spans="19:19" ht="15.75" customHeight="1" x14ac:dyDescent="0.3">
      <c r="S501" s="14"/>
    </row>
    <row r="502" spans="19:19" ht="15.75" customHeight="1" x14ac:dyDescent="0.3">
      <c r="S502" s="14"/>
    </row>
    <row r="503" spans="19:19" ht="15.75" customHeight="1" x14ac:dyDescent="0.3">
      <c r="S503" s="14"/>
    </row>
    <row r="504" spans="19:19" ht="15.75" customHeight="1" x14ac:dyDescent="0.3">
      <c r="S504" s="14"/>
    </row>
    <row r="505" spans="19:19" ht="15.75" customHeight="1" x14ac:dyDescent="0.3">
      <c r="S505" s="14"/>
    </row>
    <row r="506" spans="19:19" ht="15.75" customHeight="1" x14ac:dyDescent="0.3">
      <c r="S506" s="14"/>
    </row>
    <row r="507" spans="19:19" ht="15.75" customHeight="1" x14ac:dyDescent="0.3">
      <c r="S507" s="14"/>
    </row>
    <row r="508" spans="19:19" ht="15.75" customHeight="1" x14ac:dyDescent="0.3">
      <c r="S508" s="14"/>
    </row>
    <row r="509" spans="19:19" ht="15.75" customHeight="1" x14ac:dyDescent="0.3">
      <c r="S509" s="14"/>
    </row>
    <row r="510" spans="19:19" ht="15.75" customHeight="1" x14ac:dyDescent="0.3">
      <c r="S510" s="14"/>
    </row>
    <row r="511" spans="19:19" ht="15.75" customHeight="1" x14ac:dyDescent="0.3">
      <c r="S511" s="14"/>
    </row>
    <row r="512" spans="19:19" ht="15.75" customHeight="1" x14ac:dyDescent="0.3">
      <c r="S512" s="14"/>
    </row>
    <row r="513" spans="19:19" ht="15.75" customHeight="1" x14ac:dyDescent="0.3">
      <c r="S513" s="14"/>
    </row>
    <row r="514" spans="19:19" ht="15.75" customHeight="1" x14ac:dyDescent="0.3">
      <c r="S514" s="14"/>
    </row>
    <row r="515" spans="19:19" ht="15.75" customHeight="1" x14ac:dyDescent="0.3">
      <c r="S515" s="14"/>
    </row>
    <row r="516" spans="19:19" ht="15.75" customHeight="1" x14ac:dyDescent="0.3">
      <c r="S516" s="14"/>
    </row>
    <row r="517" spans="19:19" ht="15.75" customHeight="1" x14ac:dyDescent="0.3">
      <c r="S517" s="14"/>
    </row>
    <row r="518" spans="19:19" ht="15.75" customHeight="1" x14ac:dyDescent="0.3">
      <c r="S518" s="14"/>
    </row>
    <row r="519" spans="19:19" ht="15.75" customHeight="1" x14ac:dyDescent="0.3">
      <c r="S519" s="14"/>
    </row>
    <row r="520" spans="19:19" ht="15.75" customHeight="1" x14ac:dyDescent="0.3">
      <c r="S520" s="14"/>
    </row>
    <row r="521" spans="19:19" ht="15.75" customHeight="1" x14ac:dyDescent="0.3">
      <c r="S521" s="14"/>
    </row>
    <row r="522" spans="19:19" ht="15.75" customHeight="1" x14ac:dyDescent="0.3">
      <c r="S522" s="14"/>
    </row>
    <row r="523" spans="19:19" ht="15.75" customHeight="1" x14ac:dyDescent="0.3">
      <c r="S523" s="14"/>
    </row>
    <row r="524" spans="19:19" ht="15.75" customHeight="1" x14ac:dyDescent="0.3">
      <c r="S524" s="14"/>
    </row>
    <row r="525" spans="19:19" ht="15.75" customHeight="1" x14ac:dyDescent="0.3">
      <c r="S525" s="14"/>
    </row>
    <row r="526" spans="19:19" ht="15.75" customHeight="1" x14ac:dyDescent="0.3">
      <c r="S526" s="14"/>
    </row>
    <row r="527" spans="19:19" ht="15.75" customHeight="1" x14ac:dyDescent="0.3">
      <c r="S527" s="14"/>
    </row>
    <row r="528" spans="19:19" ht="15.75" customHeight="1" x14ac:dyDescent="0.3">
      <c r="S528" s="14"/>
    </row>
    <row r="529" spans="19:19" ht="15.75" customHeight="1" x14ac:dyDescent="0.3">
      <c r="S529" s="14"/>
    </row>
    <row r="530" spans="19:19" ht="15.75" customHeight="1" x14ac:dyDescent="0.3">
      <c r="S530" s="14"/>
    </row>
    <row r="531" spans="19:19" ht="15.75" customHeight="1" x14ac:dyDescent="0.3">
      <c r="S531" s="14"/>
    </row>
    <row r="532" spans="19:19" ht="15.75" customHeight="1" x14ac:dyDescent="0.3">
      <c r="S532" s="14"/>
    </row>
    <row r="533" spans="19:19" ht="15.75" customHeight="1" x14ac:dyDescent="0.3">
      <c r="S533" s="14"/>
    </row>
    <row r="534" spans="19:19" ht="15.75" customHeight="1" x14ac:dyDescent="0.3">
      <c r="S534" s="14"/>
    </row>
    <row r="535" spans="19:19" ht="15.75" customHeight="1" x14ac:dyDescent="0.3">
      <c r="S535" s="14"/>
    </row>
    <row r="536" spans="19:19" ht="15.75" customHeight="1" x14ac:dyDescent="0.3">
      <c r="S536" s="14"/>
    </row>
    <row r="537" spans="19:19" ht="15.75" customHeight="1" x14ac:dyDescent="0.3">
      <c r="S537" s="14"/>
    </row>
    <row r="538" spans="19:19" ht="15.75" customHeight="1" x14ac:dyDescent="0.3">
      <c r="S538" s="14"/>
    </row>
    <row r="539" spans="19:19" ht="15.75" customHeight="1" x14ac:dyDescent="0.3">
      <c r="S539" s="14"/>
    </row>
    <row r="540" spans="19:19" ht="15.75" customHeight="1" x14ac:dyDescent="0.3">
      <c r="S540" s="14"/>
    </row>
    <row r="541" spans="19:19" ht="15.75" customHeight="1" x14ac:dyDescent="0.3">
      <c r="S541" s="14"/>
    </row>
    <row r="542" spans="19:19" ht="15.75" customHeight="1" x14ac:dyDescent="0.3">
      <c r="S542" s="14"/>
    </row>
    <row r="543" spans="19:19" ht="15.75" customHeight="1" x14ac:dyDescent="0.3">
      <c r="S543" s="14"/>
    </row>
    <row r="544" spans="19:19" ht="15.75" customHeight="1" x14ac:dyDescent="0.3">
      <c r="S544" s="14"/>
    </row>
    <row r="545" spans="19:19" ht="15.75" customHeight="1" x14ac:dyDescent="0.3">
      <c r="S545" s="14"/>
    </row>
    <row r="546" spans="19:19" ht="15.75" customHeight="1" x14ac:dyDescent="0.3">
      <c r="S546" s="14"/>
    </row>
    <row r="547" spans="19:19" ht="15.75" customHeight="1" x14ac:dyDescent="0.3">
      <c r="S547" s="14"/>
    </row>
    <row r="548" spans="19:19" ht="15.75" customHeight="1" x14ac:dyDescent="0.3">
      <c r="S548" s="14"/>
    </row>
    <row r="549" spans="19:19" ht="15.75" customHeight="1" x14ac:dyDescent="0.3">
      <c r="S549" s="14"/>
    </row>
    <row r="550" spans="19:19" ht="15.75" customHeight="1" x14ac:dyDescent="0.3">
      <c r="S550" s="14"/>
    </row>
    <row r="551" spans="19:19" ht="15.75" customHeight="1" x14ac:dyDescent="0.3">
      <c r="S551" s="14"/>
    </row>
    <row r="552" spans="19:19" ht="15.75" customHeight="1" x14ac:dyDescent="0.3">
      <c r="S552" s="14"/>
    </row>
    <row r="553" spans="19:19" ht="15.75" customHeight="1" x14ac:dyDescent="0.3">
      <c r="S553" s="14"/>
    </row>
    <row r="554" spans="19:19" ht="15.75" customHeight="1" x14ac:dyDescent="0.3">
      <c r="S554" s="14"/>
    </row>
    <row r="555" spans="19:19" ht="15.75" customHeight="1" x14ac:dyDescent="0.3">
      <c r="S555" s="14"/>
    </row>
    <row r="556" spans="19:19" ht="15.75" customHeight="1" x14ac:dyDescent="0.3">
      <c r="S556" s="14"/>
    </row>
    <row r="557" spans="19:19" ht="15.75" customHeight="1" x14ac:dyDescent="0.3">
      <c r="S557" s="14"/>
    </row>
    <row r="558" spans="19:19" ht="15.75" customHeight="1" x14ac:dyDescent="0.3">
      <c r="S558" s="14"/>
    </row>
    <row r="559" spans="19:19" ht="15.75" customHeight="1" x14ac:dyDescent="0.3">
      <c r="S559" s="14"/>
    </row>
    <row r="560" spans="19:19" ht="15.75" customHeight="1" x14ac:dyDescent="0.3">
      <c r="S560" s="14"/>
    </row>
    <row r="561" spans="19:19" ht="15.75" customHeight="1" x14ac:dyDescent="0.3">
      <c r="S561" s="14"/>
    </row>
    <row r="562" spans="19:19" ht="15.75" customHeight="1" x14ac:dyDescent="0.3">
      <c r="S562" s="14"/>
    </row>
    <row r="563" spans="19:19" ht="15.75" customHeight="1" x14ac:dyDescent="0.3">
      <c r="S563" s="14"/>
    </row>
    <row r="564" spans="19:19" ht="15.75" customHeight="1" x14ac:dyDescent="0.3">
      <c r="S564" s="14"/>
    </row>
    <row r="565" spans="19:19" ht="15.75" customHeight="1" x14ac:dyDescent="0.3">
      <c r="S565" s="14"/>
    </row>
    <row r="566" spans="19:19" ht="15.75" customHeight="1" x14ac:dyDescent="0.3">
      <c r="S566" s="14"/>
    </row>
    <row r="567" spans="19:19" ht="15.75" customHeight="1" x14ac:dyDescent="0.3">
      <c r="S567" s="14"/>
    </row>
    <row r="568" spans="19:19" ht="15.75" customHeight="1" x14ac:dyDescent="0.3">
      <c r="S568" s="14"/>
    </row>
    <row r="569" spans="19:19" ht="15.75" customHeight="1" x14ac:dyDescent="0.3">
      <c r="S569" s="14"/>
    </row>
    <row r="570" spans="19:19" ht="15.75" customHeight="1" x14ac:dyDescent="0.3">
      <c r="S570" s="14"/>
    </row>
    <row r="571" spans="19:19" ht="15.75" customHeight="1" x14ac:dyDescent="0.3">
      <c r="S571" s="14"/>
    </row>
    <row r="572" spans="19:19" ht="15.75" customHeight="1" x14ac:dyDescent="0.3">
      <c r="S572" s="14"/>
    </row>
    <row r="573" spans="19:19" ht="15.75" customHeight="1" x14ac:dyDescent="0.3">
      <c r="S573" s="14"/>
    </row>
    <row r="574" spans="19:19" ht="15.75" customHeight="1" x14ac:dyDescent="0.3">
      <c r="S574" s="14"/>
    </row>
    <row r="575" spans="19:19" ht="15.75" customHeight="1" x14ac:dyDescent="0.3">
      <c r="S575" s="14"/>
    </row>
    <row r="576" spans="19:19" ht="15.75" customHeight="1" x14ac:dyDescent="0.3">
      <c r="S576" s="14"/>
    </row>
    <row r="577" spans="19:19" ht="15.75" customHeight="1" x14ac:dyDescent="0.3">
      <c r="S577" s="14"/>
    </row>
    <row r="578" spans="19:19" ht="15.75" customHeight="1" x14ac:dyDescent="0.3">
      <c r="S578" s="14"/>
    </row>
    <row r="579" spans="19:19" ht="15.75" customHeight="1" x14ac:dyDescent="0.3">
      <c r="S579" s="14"/>
    </row>
    <row r="580" spans="19:19" ht="15.75" customHeight="1" x14ac:dyDescent="0.3">
      <c r="S580" s="14"/>
    </row>
    <row r="581" spans="19:19" ht="15.75" customHeight="1" x14ac:dyDescent="0.3">
      <c r="S581" s="14"/>
    </row>
    <row r="582" spans="19:19" ht="15.75" customHeight="1" x14ac:dyDescent="0.3">
      <c r="S582" s="14"/>
    </row>
    <row r="583" spans="19:19" ht="15.75" customHeight="1" x14ac:dyDescent="0.3">
      <c r="S583" s="14"/>
    </row>
    <row r="584" spans="19:19" ht="15.75" customHeight="1" x14ac:dyDescent="0.3">
      <c r="S584" s="14"/>
    </row>
    <row r="585" spans="19:19" ht="15.75" customHeight="1" x14ac:dyDescent="0.3">
      <c r="S585" s="14"/>
    </row>
    <row r="586" spans="19:19" ht="15.75" customHeight="1" x14ac:dyDescent="0.3">
      <c r="S586" s="14"/>
    </row>
    <row r="587" spans="19:19" ht="15.75" customHeight="1" x14ac:dyDescent="0.3">
      <c r="S587" s="14"/>
    </row>
    <row r="588" spans="19:19" ht="15.75" customHeight="1" x14ac:dyDescent="0.3">
      <c r="S588" s="14"/>
    </row>
    <row r="589" spans="19:19" ht="15.75" customHeight="1" x14ac:dyDescent="0.3">
      <c r="S589" s="14"/>
    </row>
    <row r="590" spans="19:19" ht="15.75" customHeight="1" x14ac:dyDescent="0.3">
      <c r="S590" s="14"/>
    </row>
    <row r="591" spans="19:19" ht="15.75" customHeight="1" x14ac:dyDescent="0.3">
      <c r="S591" s="14"/>
    </row>
    <row r="592" spans="19:19" ht="15.75" customHeight="1" x14ac:dyDescent="0.3">
      <c r="S592" s="14"/>
    </row>
    <row r="593" spans="19:19" ht="15.75" customHeight="1" x14ac:dyDescent="0.3">
      <c r="S593" s="14"/>
    </row>
    <row r="594" spans="19:19" ht="15.75" customHeight="1" x14ac:dyDescent="0.3">
      <c r="S594" s="14"/>
    </row>
    <row r="595" spans="19:19" ht="15.75" customHeight="1" x14ac:dyDescent="0.3">
      <c r="S595" s="14"/>
    </row>
    <row r="596" spans="19:19" ht="15.75" customHeight="1" x14ac:dyDescent="0.3">
      <c r="S596" s="14"/>
    </row>
    <row r="597" spans="19:19" ht="15.75" customHeight="1" x14ac:dyDescent="0.3">
      <c r="S597" s="14"/>
    </row>
    <row r="598" spans="19:19" ht="15.75" customHeight="1" x14ac:dyDescent="0.3">
      <c r="S598" s="14"/>
    </row>
    <row r="599" spans="19:19" ht="15.75" customHeight="1" x14ac:dyDescent="0.3">
      <c r="S599" s="14"/>
    </row>
    <row r="600" spans="19:19" ht="15.75" customHeight="1" x14ac:dyDescent="0.3">
      <c r="S600" s="14"/>
    </row>
    <row r="601" spans="19:19" ht="15.75" customHeight="1" x14ac:dyDescent="0.3">
      <c r="S601" s="14"/>
    </row>
    <row r="602" spans="19:19" ht="15.75" customHeight="1" x14ac:dyDescent="0.3">
      <c r="S602" s="14"/>
    </row>
    <row r="603" spans="19:19" ht="15.75" customHeight="1" x14ac:dyDescent="0.3">
      <c r="S603" s="14"/>
    </row>
    <row r="604" spans="19:19" ht="15.75" customHeight="1" x14ac:dyDescent="0.3">
      <c r="S604" s="14"/>
    </row>
    <row r="605" spans="19:19" ht="15.75" customHeight="1" x14ac:dyDescent="0.3">
      <c r="S605" s="14"/>
    </row>
    <row r="606" spans="19:19" ht="15.75" customHeight="1" x14ac:dyDescent="0.3">
      <c r="S606" s="14"/>
    </row>
    <row r="607" spans="19:19" ht="15.75" customHeight="1" x14ac:dyDescent="0.3">
      <c r="S607" s="14"/>
    </row>
    <row r="608" spans="19:19" ht="15.75" customHeight="1" x14ac:dyDescent="0.3">
      <c r="S608" s="14"/>
    </row>
    <row r="609" spans="19:19" ht="15.75" customHeight="1" x14ac:dyDescent="0.3">
      <c r="S609" s="14"/>
    </row>
    <row r="610" spans="19:19" ht="15.75" customHeight="1" x14ac:dyDescent="0.3">
      <c r="S610" s="14"/>
    </row>
    <row r="611" spans="19:19" ht="15.75" customHeight="1" x14ac:dyDescent="0.3">
      <c r="S611" s="14"/>
    </row>
    <row r="612" spans="19:19" ht="15.75" customHeight="1" x14ac:dyDescent="0.3">
      <c r="S612" s="14"/>
    </row>
    <row r="613" spans="19:19" ht="15.75" customHeight="1" x14ac:dyDescent="0.3">
      <c r="S613" s="14"/>
    </row>
    <row r="614" spans="19:19" ht="15.75" customHeight="1" x14ac:dyDescent="0.3">
      <c r="S614" s="14"/>
    </row>
    <row r="615" spans="19:19" ht="15.75" customHeight="1" x14ac:dyDescent="0.3">
      <c r="S615" s="14"/>
    </row>
    <row r="616" spans="19:19" ht="15.75" customHeight="1" x14ac:dyDescent="0.3">
      <c r="S616" s="14"/>
    </row>
    <row r="617" spans="19:19" ht="15.75" customHeight="1" x14ac:dyDescent="0.3">
      <c r="S617" s="14"/>
    </row>
    <row r="618" spans="19:19" ht="15.75" customHeight="1" x14ac:dyDescent="0.3">
      <c r="S618" s="14"/>
    </row>
    <row r="619" spans="19:19" ht="15.75" customHeight="1" x14ac:dyDescent="0.3">
      <c r="S619" s="14"/>
    </row>
    <row r="620" spans="19:19" ht="15.75" customHeight="1" x14ac:dyDescent="0.3">
      <c r="S620" s="14"/>
    </row>
    <row r="621" spans="19:19" ht="15.75" customHeight="1" x14ac:dyDescent="0.3">
      <c r="S621" s="14"/>
    </row>
    <row r="622" spans="19:19" ht="15.75" customHeight="1" x14ac:dyDescent="0.3">
      <c r="S622" s="14"/>
    </row>
    <row r="623" spans="19:19" ht="15.75" customHeight="1" x14ac:dyDescent="0.3">
      <c r="S623" s="14"/>
    </row>
    <row r="624" spans="19:19" ht="15.75" customHeight="1" x14ac:dyDescent="0.3">
      <c r="S624" s="14"/>
    </row>
    <row r="625" spans="19:19" ht="15.75" customHeight="1" x14ac:dyDescent="0.3">
      <c r="S625" s="14"/>
    </row>
    <row r="626" spans="19:19" ht="15.75" customHeight="1" x14ac:dyDescent="0.3">
      <c r="S626" s="14"/>
    </row>
    <row r="627" spans="19:19" ht="15.75" customHeight="1" x14ac:dyDescent="0.3">
      <c r="S627" s="14"/>
    </row>
    <row r="628" spans="19:19" ht="15.75" customHeight="1" x14ac:dyDescent="0.3">
      <c r="S628" s="14"/>
    </row>
    <row r="629" spans="19:19" ht="15.75" customHeight="1" x14ac:dyDescent="0.3">
      <c r="S629" s="14"/>
    </row>
    <row r="630" spans="19:19" ht="15.75" customHeight="1" x14ac:dyDescent="0.3">
      <c r="S630" s="14"/>
    </row>
    <row r="631" spans="19:19" ht="15.75" customHeight="1" x14ac:dyDescent="0.3">
      <c r="S631" s="14"/>
    </row>
    <row r="632" spans="19:19" ht="15.75" customHeight="1" x14ac:dyDescent="0.3">
      <c r="S632" s="14"/>
    </row>
    <row r="633" spans="19:19" ht="15.75" customHeight="1" x14ac:dyDescent="0.3">
      <c r="S633" s="14"/>
    </row>
    <row r="634" spans="19:19" ht="15.75" customHeight="1" x14ac:dyDescent="0.3">
      <c r="S634" s="14"/>
    </row>
    <row r="635" spans="19:19" ht="15.75" customHeight="1" x14ac:dyDescent="0.3">
      <c r="S635" s="14"/>
    </row>
    <row r="636" spans="19:19" ht="15.75" customHeight="1" x14ac:dyDescent="0.3">
      <c r="S636" s="14"/>
    </row>
    <row r="637" spans="19:19" ht="15.75" customHeight="1" x14ac:dyDescent="0.3">
      <c r="S637" s="14"/>
    </row>
    <row r="638" spans="19:19" ht="15.75" customHeight="1" x14ac:dyDescent="0.3">
      <c r="S638" s="14"/>
    </row>
    <row r="639" spans="19:19" ht="15.75" customHeight="1" x14ac:dyDescent="0.3">
      <c r="S639" s="14"/>
    </row>
    <row r="640" spans="19:19" ht="15.75" customHeight="1" x14ac:dyDescent="0.3">
      <c r="S640" s="14"/>
    </row>
    <row r="641" spans="19:19" ht="15.75" customHeight="1" x14ac:dyDescent="0.3">
      <c r="S641" s="14"/>
    </row>
    <row r="642" spans="19:19" ht="15.75" customHeight="1" x14ac:dyDescent="0.3">
      <c r="S642" s="14"/>
    </row>
    <row r="643" spans="19:19" ht="15.75" customHeight="1" x14ac:dyDescent="0.3">
      <c r="S643" s="14"/>
    </row>
    <row r="644" spans="19:19" ht="15.75" customHeight="1" x14ac:dyDescent="0.3">
      <c r="S644" s="14"/>
    </row>
    <row r="645" spans="19:19" ht="15.75" customHeight="1" x14ac:dyDescent="0.3">
      <c r="S645" s="14"/>
    </row>
    <row r="646" spans="19:19" ht="15.75" customHeight="1" x14ac:dyDescent="0.3">
      <c r="S646" s="14"/>
    </row>
    <row r="647" spans="19:19" ht="15.75" customHeight="1" x14ac:dyDescent="0.3">
      <c r="S647" s="14"/>
    </row>
    <row r="648" spans="19:19" ht="15.75" customHeight="1" x14ac:dyDescent="0.3">
      <c r="S648" s="14"/>
    </row>
    <row r="649" spans="19:19" ht="15.75" customHeight="1" x14ac:dyDescent="0.3">
      <c r="S649" s="14"/>
    </row>
    <row r="650" spans="19:19" ht="15.75" customHeight="1" x14ac:dyDescent="0.3">
      <c r="S650" s="14"/>
    </row>
    <row r="651" spans="19:19" ht="15.75" customHeight="1" x14ac:dyDescent="0.3">
      <c r="S651" s="14"/>
    </row>
    <row r="652" spans="19:19" ht="15.75" customHeight="1" x14ac:dyDescent="0.3">
      <c r="S652" s="14"/>
    </row>
    <row r="653" spans="19:19" ht="15.75" customHeight="1" x14ac:dyDescent="0.3">
      <c r="S653" s="14"/>
    </row>
    <row r="654" spans="19:19" ht="15.75" customHeight="1" x14ac:dyDescent="0.3">
      <c r="S654" s="14"/>
    </row>
    <row r="655" spans="19:19" ht="15.75" customHeight="1" x14ac:dyDescent="0.3">
      <c r="S655" s="14"/>
    </row>
    <row r="656" spans="19:19" ht="15.75" customHeight="1" x14ac:dyDescent="0.3">
      <c r="S656" s="14"/>
    </row>
    <row r="657" spans="19:19" ht="15.75" customHeight="1" x14ac:dyDescent="0.3">
      <c r="S657" s="14"/>
    </row>
    <row r="658" spans="19:19" ht="15.75" customHeight="1" x14ac:dyDescent="0.3">
      <c r="S658" s="14"/>
    </row>
    <row r="659" spans="19:19" ht="15.75" customHeight="1" x14ac:dyDescent="0.3">
      <c r="S659" s="14"/>
    </row>
    <row r="660" spans="19:19" ht="15.75" customHeight="1" x14ac:dyDescent="0.3">
      <c r="S660" s="14"/>
    </row>
    <row r="661" spans="19:19" ht="15.75" customHeight="1" x14ac:dyDescent="0.3">
      <c r="S661" s="14"/>
    </row>
    <row r="662" spans="19:19" ht="15.75" customHeight="1" x14ac:dyDescent="0.3">
      <c r="S662" s="14"/>
    </row>
    <row r="663" spans="19:19" ht="15.75" customHeight="1" x14ac:dyDescent="0.3">
      <c r="S663" s="14"/>
    </row>
    <row r="664" spans="19:19" ht="15.75" customHeight="1" x14ac:dyDescent="0.3">
      <c r="S664" s="14"/>
    </row>
    <row r="665" spans="19:19" ht="15.75" customHeight="1" x14ac:dyDescent="0.3">
      <c r="S665" s="14"/>
    </row>
    <row r="666" spans="19:19" ht="15.75" customHeight="1" x14ac:dyDescent="0.3">
      <c r="S666" s="14"/>
    </row>
    <row r="667" spans="19:19" ht="15.75" customHeight="1" x14ac:dyDescent="0.3">
      <c r="S667" s="14"/>
    </row>
    <row r="668" spans="19:19" ht="15.75" customHeight="1" x14ac:dyDescent="0.3">
      <c r="S668" s="14"/>
    </row>
    <row r="669" spans="19:19" ht="15.75" customHeight="1" x14ac:dyDescent="0.3">
      <c r="S669" s="14"/>
    </row>
    <row r="670" spans="19:19" ht="15.75" customHeight="1" x14ac:dyDescent="0.3">
      <c r="S670" s="14"/>
    </row>
    <row r="671" spans="19:19" ht="15.75" customHeight="1" x14ac:dyDescent="0.3">
      <c r="S671" s="14"/>
    </row>
    <row r="672" spans="19:19" ht="15.75" customHeight="1" x14ac:dyDescent="0.3">
      <c r="S672" s="14"/>
    </row>
    <row r="673" spans="19:19" ht="15.75" customHeight="1" x14ac:dyDescent="0.3">
      <c r="S673" s="14"/>
    </row>
    <row r="674" spans="19:19" ht="15.75" customHeight="1" x14ac:dyDescent="0.3">
      <c r="S674" s="14"/>
    </row>
    <row r="675" spans="19:19" ht="15.75" customHeight="1" x14ac:dyDescent="0.3">
      <c r="S675" s="14"/>
    </row>
    <row r="676" spans="19:19" ht="15.75" customHeight="1" x14ac:dyDescent="0.3">
      <c r="S676" s="14"/>
    </row>
    <row r="677" spans="19:19" ht="15.75" customHeight="1" x14ac:dyDescent="0.3">
      <c r="S677" s="14"/>
    </row>
    <row r="678" spans="19:19" ht="15.75" customHeight="1" x14ac:dyDescent="0.3">
      <c r="S678" s="14"/>
    </row>
    <row r="679" spans="19:19" ht="15.75" customHeight="1" x14ac:dyDescent="0.3">
      <c r="S679" s="14"/>
    </row>
    <row r="680" spans="19:19" ht="15.75" customHeight="1" x14ac:dyDescent="0.3">
      <c r="S680" s="14"/>
    </row>
    <row r="681" spans="19:19" ht="15.75" customHeight="1" x14ac:dyDescent="0.3">
      <c r="S681" s="14"/>
    </row>
    <row r="682" spans="19:19" ht="15.75" customHeight="1" x14ac:dyDescent="0.3">
      <c r="S682" s="14"/>
    </row>
    <row r="683" spans="19:19" ht="15.75" customHeight="1" x14ac:dyDescent="0.3">
      <c r="S683" s="14"/>
    </row>
    <row r="684" spans="19:19" ht="15.75" customHeight="1" x14ac:dyDescent="0.3">
      <c r="S684" s="14"/>
    </row>
    <row r="685" spans="19:19" ht="15.75" customHeight="1" x14ac:dyDescent="0.3">
      <c r="S685" s="14"/>
    </row>
    <row r="686" spans="19:19" ht="15.75" customHeight="1" x14ac:dyDescent="0.3">
      <c r="S686" s="14"/>
    </row>
    <row r="687" spans="19:19" ht="15.75" customHeight="1" x14ac:dyDescent="0.3">
      <c r="S687" s="14"/>
    </row>
    <row r="688" spans="19:19" ht="15.75" customHeight="1" x14ac:dyDescent="0.3">
      <c r="S688" s="14"/>
    </row>
    <row r="689" spans="19:19" ht="15.75" customHeight="1" x14ac:dyDescent="0.3">
      <c r="S689" s="14"/>
    </row>
    <row r="690" spans="19:19" ht="15.75" customHeight="1" x14ac:dyDescent="0.3">
      <c r="S690" s="14"/>
    </row>
    <row r="691" spans="19:19" ht="15.75" customHeight="1" x14ac:dyDescent="0.3">
      <c r="S691" s="14"/>
    </row>
    <row r="692" spans="19:19" ht="15.75" customHeight="1" x14ac:dyDescent="0.3">
      <c r="S692" s="14"/>
    </row>
    <row r="693" spans="19:19" ht="15.75" customHeight="1" x14ac:dyDescent="0.3">
      <c r="S693" s="14"/>
    </row>
    <row r="694" spans="19:19" ht="15.75" customHeight="1" x14ac:dyDescent="0.3">
      <c r="S694" s="14"/>
    </row>
    <row r="695" spans="19:19" ht="15.75" customHeight="1" x14ac:dyDescent="0.3">
      <c r="S695" s="14"/>
    </row>
    <row r="696" spans="19:19" ht="15.75" customHeight="1" x14ac:dyDescent="0.3">
      <c r="S696" s="14"/>
    </row>
    <row r="697" spans="19:19" ht="15.75" customHeight="1" x14ac:dyDescent="0.3">
      <c r="S697" s="14"/>
    </row>
    <row r="698" spans="19:19" ht="15.75" customHeight="1" x14ac:dyDescent="0.3">
      <c r="S698" s="14"/>
    </row>
    <row r="699" spans="19:19" ht="15.75" customHeight="1" x14ac:dyDescent="0.3">
      <c r="S699" s="14"/>
    </row>
    <row r="700" spans="19:19" ht="15.75" customHeight="1" x14ac:dyDescent="0.3">
      <c r="S700" s="14"/>
    </row>
    <row r="701" spans="19:19" ht="15.75" customHeight="1" x14ac:dyDescent="0.3">
      <c r="S701" s="14"/>
    </row>
    <row r="702" spans="19:19" ht="15.75" customHeight="1" x14ac:dyDescent="0.3">
      <c r="S702" s="14"/>
    </row>
    <row r="703" spans="19:19" ht="15.75" customHeight="1" x14ac:dyDescent="0.3">
      <c r="S703" s="14"/>
    </row>
    <row r="704" spans="19:19" ht="15.75" customHeight="1" x14ac:dyDescent="0.3">
      <c r="S704" s="14"/>
    </row>
    <row r="705" spans="19:19" ht="15.75" customHeight="1" x14ac:dyDescent="0.3">
      <c r="S705" s="14"/>
    </row>
    <row r="706" spans="19:19" ht="15.75" customHeight="1" x14ac:dyDescent="0.3">
      <c r="S706" s="14"/>
    </row>
    <row r="707" spans="19:19" ht="15.75" customHeight="1" x14ac:dyDescent="0.3">
      <c r="S707" s="14"/>
    </row>
    <row r="708" spans="19:19" ht="15.75" customHeight="1" x14ac:dyDescent="0.3">
      <c r="S708" s="14"/>
    </row>
    <row r="709" spans="19:19" ht="15.75" customHeight="1" x14ac:dyDescent="0.3">
      <c r="S709" s="14"/>
    </row>
    <row r="710" spans="19:19" ht="15.75" customHeight="1" x14ac:dyDescent="0.3">
      <c r="S710" s="14"/>
    </row>
    <row r="711" spans="19:19" ht="15.75" customHeight="1" x14ac:dyDescent="0.3">
      <c r="S711" s="14"/>
    </row>
    <row r="712" spans="19:19" ht="15.75" customHeight="1" x14ac:dyDescent="0.3">
      <c r="S712" s="14"/>
    </row>
    <row r="713" spans="19:19" ht="15.75" customHeight="1" x14ac:dyDescent="0.3">
      <c r="S713" s="14"/>
    </row>
    <row r="714" spans="19:19" ht="15.75" customHeight="1" x14ac:dyDescent="0.3">
      <c r="S714" s="14"/>
    </row>
    <row r="715" spans="19:19" ht="15.75" customHeight="1" x14ac:dyDescent="0.3">
      <c r="S715" s="14"/>
    </row>
    <row r="716" spans="19:19" ht="15.75" customHeight="1" x14ac:dyDescent="0.3">
      <c r="S716" s="14"/>
    </row>
    <row r="717" spans="19:19" ht="15.75" customHeight="1" x14ac:dyDescent="0.3">
      <c r="S717" s="14"/>
    </row>
    <row r="718" spans="19:19" ht="15.75" customHeight="1" x14ac:dyDescent="0.3">
      <c r="S718" s="14"/>
    </row>
    <row r="719" spans="19:19" ht="15.75" customHeight="1" x14ac:dyDescent="0.3">
      <c r="S719" s="14"/>
    </row>
    <row r="720" spans="19:19" ht="15.75" customHeight="1" x14ac:dyDescent="0.3">
      <c r="S720" s="14"/>
    </row>
    <row r="721" spans="19:19" ht="15.75" customHeight="1" x14ac:dyDescent="0.3">
      <c r="S721" s="14"/>
    </row>
    <row r="722" spans="19:19" ht="15.75" customHeight="1" x14ac:dyDescent="0.3">
      <c r="S722" s="14"/>
    </row>
    <row r="723" spans="19:19" ht="15.75" customHeight="1" x14ac:dyDescent="0.3">
      <c r="S723" s="14"/>
    </row>
    <row r="724" spans="19:19" ht="15.75" customHeight="1" x14ac:dyDescent="0.3">
      <c r="S724" s="14"/>
    </row>
    <row r="725" spans="19:19" ht="15.75" customHeight="1" x14ac:dyDescent="0.3">
      <c r="S725" s="14"/>
    </row>
    <row r="726" spans="19:19" ht="15.75" customHeight="1" x14ac:dyDescent="0.3">
      <c r="S726" s="14"/>
    </row>
    <row r="727" spans="19:19" ht="15.75" customHeight="1" x14ac:dyDescent="0.3">
      <c r="S727" s="14"/>
    </row>
    <row r="728" spans="19:19" ht="15.75" customHeight="1" x14ac:dyDescent="0.3">
      <c r="S728" s="14"/>
    </row>
    <row r="729" spans="19:19" ht="15.75" customHeight="1" x14ac:dyDescent="0.3">
      <c r="S729" s="14"/>
    </row>
    <row r="730" spans="19:19" ht="15.75" customHeight="1" x14ac:dyDescent="0.3">
      <c r="S730" s="14"/>
    </row>
    <row r="731" spans="19:19" ht="15.75" customHeight="1" x14ac:dyDescent="0.3">
      <c r="S731" s="14"/>
    </row>
    <row r="732" spans="19:19" ht="15.75" customHeight="1" x14ac:dyDescent="0.3">
      <c r="S732" s="14"/>
    </row>
    <row r="733" spans="19:19" ht="15.75" customHeight="1" x14ac:dyDescent="0.3">
      <c r="S733" s="14"/>
    </row>
    <row r="734" spans="19:19" ht="15.75" customHeight="1" x14ac:dyDescent="0.3">
      <c r="S734" s="14"/>
    </row>
    <row r="735" spans="19:19" ht="15.75" customHeight="1" x14ac:dyDescent="0.3">
      <c r="S735" s="14"/>
    </row>
    <row r="736" spans="19:19" ht="15.75" customHeight="1" x14ac:dyDescent="0.3">
      <c r="S736" s="14"/>
    </row>
    <row r="737" spans="19:19" ht="15.75" customHeight="1" x14ac:dyDescent="0.3">
      <c r="S737" s="14"/>
    </row>
    <row r="738" spans="19:19" ht="15.75" customHeight="1" x14ac:dyDescent="0.3">
      <c r="S738" s="14"/>
    </row>
    <row r="739" spans="19:19" ht="15.75" customHeight="1" x14ac:dyDescent="0.3">
      <c r="S739" s="14"/>
    </row>
    <row r="740" spans="19:19" ht="15.75" customHeight="1" x14ac:dyDescent="0.3">
      <c r="S740" s="14"/>
    </row>
    <row r="741" spans="19:19" ht="15.75" customHeight="1" x14ac:dyDescent="0.3">
      <c r="S741" s="14"/>
    </row>
    <row r="742" spans="19:19" ht="15.75" customHeight="1" x14ac:dyDescent="0.3">
      <c r="S742" s="14"/>
    </row>
    <row r="743" spans="19:19" ht="15.75" customHeight="1" x14ac:dyDescent="0.3">
      <c r="S743" s="14"/>
    </row>
    <row r="744" spans="19:19" ht="15.75" customHeight="1" x14ac:dyDescent="0.3">
      <c r="S744" s="14"/>
    </row>
    <row r="745" spans="19:19" ht="15.75" customHeight="1" x14ac:dyDescent="0.3">
      <c r="S745" s="14"/>
    </row>
    <row r="746" spans="19:19" ht="15.75" customHeight="1" x14ac:dyDescent="0.3">
      <c r="S746" s="14"/>
    </row>
    <row r="747" spans="19:19" ht="15.75" customHeight="1" x14ac:dyDescent="0.3">
      <c r="S747" s="14"/>
    </row>
    <row r="748" spans="19:19" ht="15.75" customHeight="1" x14ac:dyDescent="0.3">
      <c r="S748" s="14"/>
    </row>
    <row r="749" spans="19:19" ht="15.75" customHeight="1" x14ac:dyDescent="0.3">
      <c r="S749" s="14"/>
    </row>
    <row r="750" spans="19:19" ht="15.75" customHeight="1" x14ac:dyDescent="0.3">
      <c r="S750" s="14"/>
    </row>
    <row r="751" spans="19:19" ht="15.75" customHeight="1" x14ac:dyDescent="0.3">
      <c r="S751" s="14"/>
    </row>
    <row r="752" spans="19:19" ht="15.75" customHeight="1" x14ac:dyDescent="0.3">
      <c r="S752" s="14"/>
    </row>
    <row r="753" spans="19:19" ht="15.75" customHeight="1" x14ac:dyDescent="0.3">
      <c r="S753" s="14"/>
    </row>
    <row r="754" spans="19:19" ht="15.75" customHeight="1" x14ac:dyDescent="0.3">
      <c r="S754" s="14"/>
    </row>
    <row r="755" spans="19:19" ht="15.75" customHeight="1" x14ac:dyDescent="0.3">
      <c r="S755" s="14"/>
    </row>
    <row r="756" spans="19:19" ht="15.75" customHeight="1" x14ac:dyDescent="0.3">
      <c r="S756" s="14"/>
    </row>
    <row r="757" spans="19:19" ht="15.75" customHeight="1" x14ac:dyDescent="0.3">
      <c r="S757" s="14"/>
    </row>
    <row r="758" spans="19:19" ht="15.75" customHeight="1" x14ac:dyDescent="0.3">
      <c r="S758" s="14"/>
    </row>
    <row r="759" spans="19:19" ht="15.75" customHeight="1" x14ac:dyDescent="0.3">
      <c r="S759" s="14"/>
    </row>
    <row r="760" spans="19:19" ht="15.75" customHeight="1" x14ac:dyDescent="0.3">
      <c r="S760" s="14"/>
    </row>
    <row r="761" spans="19:19" ht="15.75" customHeight="1" x14ac:dyDescent="0.3">
      <c r="S761" s="14"/>
    </row>
    <row r="762" spans="19:19" ht="15.75" customHeight="1" x14ac:dyDescent="0.3">
      <c r="S762" s="14"/>
    </row>
    <row r="763" spans="19:19" ht="15.75" customHeight="1" x14ac:dyDescent="0.3">
      <c r="S763" s="14"/>
    </row>
    <row r="764" spans="19:19" ht="15.75" customHeight="1" x14ac:dyDescent="0.3">
      <c r="S764" s="14"/>
    </row>
    <row r="765" spans="19:19" ht="15.75" customHeight="1" x14ac:dyDescent="0.3">
      <c r="S765" s="14"/>
    </row>
    <row r="766" spans="19:19" ht="15.75" customHeight="1" x14ac:dyDescent="0.3">
      <c r="S766" s="14"/>
    </row>
    <row r="767" spans="19:19" ht="15.75" customHeight="1" x14ac:dyDescent="0.3">
      <c r="S767" s="14"/>
    </row>
    <row r="768" spans="19:19" ht="15.75" customHeight="1" x14ac:dyDescent="0.3">
      <c r="S768" s="14"/>
    </row>
    <row r="769" spans="19:19" ht="15.75" customHeight="1" x14ac:dyDescent="0.3">
      <c r="S769" s="14"/>
    </row>
    <row r="770" spans="19:19" ht="15.75" customHeight="1" x14ac:dyDescent="0.3">
      <c r="S770" s="14"/>
    </row>
    <row r="771" spans="19:19" ht="15.75" customHeight="1" x14ac:dyDescent="0.3">
      <c r="S771" s="14"/>
    </row>
    <row r="772" spans="19:19" ht="15.75" customHeight="1" x14ac:dyDescent="0.3">
      <c r="S772" s="14"/>
    </row>
    <row r="773" spans="19:19" ht="15.75" customHeight="1" x14ac:dyDescent="0.3">
      <c r="S773" s="14"/>
    </row>
    <row r="774" spans="19:19" ht="15.75" customHeight="1" x14ac:dyDescent="0.3">
      <c r="S774" s="14"/>
    </row>
    <row r="775" spans="19:19" ht="15.75" customHeight="1" x14ac:dyDescent="0.3">
      <c r="S775" s="14"/>
    </row>
    <row r="776" spans="19:19" ht="15.75" customHeight="1" x14ac:dyDescent="0.3">
      <c r="S776" s="14"/>
    </row>
    <row r="777" spans="19:19" ht="15.75" customHeight="1" x14ac:dyDescent="0.3">
      <c r="S777" s="14"/>
    </row>
    <row r="778" spans="19:19" ht="15.75" customHeight="1" x14ac:dyDescent="0.3">
      <c r="S778" s="14"/>
    </row>
    <row r="779" spans="19:19" ht="15.75" customHeight="1" x14ac:dyDescent="0.3">
      <c r="S779" s="14"/>
    </row>
    <row r="780" spans="19:19" ht="15.75" customHeight="1" x14ac:dyDescent="0.3">
      <c r="S780" s="14"/>
    </row>
    <row r="781" spans="19:19" ht="15.75" customHeight="1" x14ac:dyDescent="0.3">
      <c r="S781" s="14"/>
    </row>
    <row r="782" spans="19:19" ht="15.75" customHeight="1" x14ac:dyDescent="0.3">
      <c r="S782" s="14"/>
    </row>
    <row r="783" spans="19:19" ht="15.75" customHeight="1" x14ac:dyDescent="0.3">
      <c r="S783" s="14"/>
    </row>
    <row r="784" spans="19:19" ht="15.75" customHeight="1" x14ac:dyDescent="0.3">
      <c r="S784" s="14"/>
    </row>
    <row r="785" spans="19:19" ht="15.75" customHeight="1" x14ac:dyDescent="0.3">
      <c r="S785" s="14"/>
    </row>
    <row r="786" spans="19:19" ht="15.75" customHeight="1" x14ac:dyDescent="0.3">
      <c r="S786" s="14"/>
    </row>
    <row r="787" spans="19:19" ht="15.75" customHeight="1" x14ac:dyDescent="0.3">
      <c r="S787" s="14"/>
    </row>
    <row r="788" spans="19:19" ht="15.75" customHeight="1" x14ac:dyDescent="0.3">
      <c r="S788" s="14"/>
    </row>
    <row r="789" spans="19:19" ht="15.75" customHeight="1" x14ac:dyDescent="0.3">
      <c r="S789" s="14"/>
    </row>
    <row r="790" spans="19:19" ht="15.75" customHeight="1" x14ac:dyDescent="0.3">
      <c r="S790" s="14"/>
    </row>
    <row r="791" spans="19:19" ht="15.75" customHeight="1" x14ac:dyDescent="0.3">
      <c r="S791" s="14"/>
    </row>
    <row r="792" spans="19:19" ht="15.75" customHeight="1" x14ac:dyDescent="0.3">
      <c r="S792" s="14"/>
    </row>
    <row r="793" spans="19:19" ht="15.75" customHeight="1" x14ac:dyDescent="0.3">
      <c r="S793" s="14"/>
    </row>
    <row r="794" spans="19:19" ht="15.75" customHeight="1" x14ac:dyDescent="0.3">
      <c r="S794" s="14"/>
    </row>
    <row r="795" spans="19:19" ht="15.75" customHeight="1" x14ac:dyDescent="0.3">
      <c r="S795" s="14"/>
    </row>
    <row r="796" spans="19:19" ht="15.75" customHeight="1" x14ac:dyDescent="0.3">
      <c r="S796" s="14"/>
    </row>
    <row r="797" spans="19:19" ht="15.75" customHeight="1" x14ac:dyDescent="0.3">
      <c r="S797" s="14"/>
    </row>
    <row r="798" spans="19:19" ht="15.75" customHeight="1" x14ac:dyDescent="0.3">
      <c r="S798" s="14"/>
    </row>
    <row r="799" spans="19:19" ht="15.75" customHeight="1" x14ac:dyDescent="0.3">
      <c r="S799" s="14"/>
    </row>
    <row r="800" spans="19:19" ht="15.75" customHeight="1" x14ac:dyDescent="0.3">
      <c r="S800" s="14"/>
    </row>
    <row r="801" spans="19:19" ht="15.75" customHeight="1" x14ac:dyDescent="0.3">
      <c r="S801" s="14"/>
    </row>
    <row r="802" spans="19:19" ht="15.75" customHeight="1" x14ac:dyDescent="0.3">
      <c r="S802" s="14"/>
    </row>
    <row r="803" spans="19:19" ht="15.75" customHeight="1" x14ac:dyDescent="0.3">
      <c r="S803" s="14"/>
    </row>
    <row r="804" spans="19:19" ht="15.75" customHeight="1" x14ac:dyDescent="0.3">
      <c r="S804" s="14"/>
    </row>
    <row r="805" spans="19:19" ht="15.75" customHeight="1" x14ac:dyDescent="0.3">
      <c r="S805" s="14"/>
    </row>
    <row r="806" spans="19:19" ht="15.75" customHeight="1" x14ac:dyDescent="0.3">
      <c r="S806" s="14"/>
    </row>
    <row r="807" spans="19:19" ht="15.75" customHeight="1" x14ac:dyDescent="0.3">
      <c r="S807" s="14"/>
    </row>
    <row r="808" spans="19:19" ht="15.75" customHeight="1" x14ac:dyDescent="0.3">
      <c r="S808" s="14"/>
    </row>
    <row r="809" spans="19:19" ht="15.75" customHeight="1" x14ac:dyDescent="0.3">
      <c r="S809" s="14"/>
    </row>
    <row r="810" spans="19:19" ht="15.75" customHeight="1" x14ac:dyDescent="0.3">
      <c r="S810" s="14"/>
    </row>
    <row r="811" spans="19:19" ht="15.75" customHeight="1" x14ac:dyDescent="0.3">
      <c r="S811" s="14"/>
    </row>
    <row r="812" spans="19:19" ht="15.75" customHeight="1" x14ac:dyDescent="0.3">
      <c r="S812" s="14"/>
    </row>
    <row r="813" spans="19:19" ht="15.75" customHeight="1" x14ac:dyDescent="0.3">
      <c r="S813" s="14"/>
    </row>
    <row r="814" spans="19:19" ht="15.75" customHeight="1" x14ac:dyDescent="0.3">
      <c r="S814" s="14"/>
    </row>
    <row r="815" spans="19:19" ht="15.75" customHeight="1" x14ac:dyDescent="0.3">
      <c r="S815" s="14"/>
    </row>
    <row r="816" spans="19:19" ht="15.75" customHeight="1" x14ac:dyDescent="0.3">
      <c r="S816" s="14"/>
    </row>
    <row r="817" spans="19:19" ht="15.75" customHeight="1" x14ac:dyDescent="0.3">
      <c r="S817" s="14"/>
    </row>
    <row r="818" spans="19:19" ht="15.75" customHeight="1" x14ac:dyDescent="0.3">
      <c r="S818" s="14"/>
    </row>
    <row r="819" spans="19:19" ht="15.75" customHeight="1" x14ac:dyDescent="0.3">
      <c r="S819" s="14"/>
    </row>
    <row r="820" spans="19:19" ht="15.75" customHeight="1" x14ac:dyDescent="0.3">
      <c r="S820" s="14"/>
    </row>
    <row r="821" spans="19:19" ht="15.75" customHeight="1" x14ac:dyDescent="0.3">
      <c r="S821" s="14"/>
    </row>
    <row r="822" spans="19:19" ht="15.75" customHeight="1" x14ac:dyDescent="0.3">
      <c r="S822" s="14"/>
    </row>
    <row r="823" spans="19:19" ht="15.75" customHeight="1" x14ac:dyDescent="0.3">
      <c r="S823" s="14"/>
    </row>
    <row r="824" spans="19:19" ht="15.75" customHeight="1" x14ac:dyDescent="0.3">
      <c r="S824" s="14"/>
    </row>
    <row r="825" spans="19:19" ht="15.75" customHeight="1" x14ac:dyDescent="0.3">
      <c r="S825" s="14"/>
    </row>
    <row r="826" spans="19:19" ht="15.75" customHeight="1" x14ac:dyDescent="0.3">
      <c r="S826" s="14"/>
    </row>
    <row r="827" spans="19:19" ht="15.75" customHeight="1" x14ac:dyDescent="0.3">
      <c r="S827" s="14"/>
    </row>
    <row r="828" spans="19:19" ht="15.75" customHeight="1" x14ac:dyDescent="0.3">
      <c r="S828" s="14"/>
    </row>
    <row r="829" spans="19:19" ht="15.75" customHeight="1" x14ac:dyDescent="0.3">
      <c r="S829" s="14"/>
    </row>
    <row r="830" spans="19:19" ht="15.75" customHeight="1" x14ac:dyDescent="0.3">
      <c r="S830" s="14"/>
    </row>
    <row r="831" spans="19:19" ht="15.75" customHeight="1" x14ac:dyDescent="0.3">
      <c r="S831" s="14"/>
    </row>
    <row r="832" spans="19:19" ht="15.75" customHeight="1" x14ac:dyDescent="0.3">
      <c r="S832" s="14"/>
    </row>
    <row r="833" spans="19:19" ht="15.75" customHeight="1" x14ac:dyDescent="0.3">
      <c r="S833" s="14"/>
    </row>
    <row r="834" spans="19:19" ht="15.75" customHeight="1" x14ac:dyDescent="0.3">
      <c r="S834" s="14"/>
    </row>
    <row r="835" spans="19:19" ht="15.75" customHeight="1" x14ac:dyDescent="0.3">
      <c r="S835" s="14"/>
    </row>
    <row r="836" spans="19:19" ht="15.75" customHeight="1" x14ac:dyDescent="0.3">
      <c r="S836" s="14"/>
    </row>
    <row r="837" spans="19:19" ht="15.75" customHeight="1" x14ac:dyDescent="0.3">
      <c r="S837" s="14"/>
    </row>
    <row r="838" spans="19:19" ht="15.75" customHeight="1" x14ac:dyDescent="0.3">
      <c r="S838" s="14"/>
    </row>
    <row r="839" spans="19:19" ht="15.75" customHeight="1" x14ac:dyDescent="0.3">
      <c r="S839" s="14"/>
    </row>
    <row r="840" spans="19:19" ht="15.75" customHeight="1" x14ac:dyDescent="0.3">
      <c r="S840" s="14"/>
    </row>
    <row r="841" spans="19:19" ht="15.75" customHeight="1" x14ac:dyDescent="0.3">
      <c r="S841" s="14"/>
    </row>
    <row r="842" spans="19:19" ht="15.75" customHeight="1" x14ac:dyDescent="0.3">
      <c r="S842" s="14"/>
    </row>
    <row r="843" spans="19:19" ht="15.75" customHeight="1" x14ac:dyDescent="0.3">
      <c r="S843" s="14"/>
    </row>
    <row r="844" spans="19:19" ht="15.75" customHeight="1" x14ac:dyDescent="0.3">
      <c r="S844" s="14"/>
    </row>
    <row r="845" spans="19:19" ht="15.75" customHeight="1" x14ac:dyDescent="0.3">
      <c r="S845" s="14"/>
    </row>
    <row r="846" spans="19:19" ht="15.75" customHeight="1" x14ac:dyDescent="0.3">
      <c r="S846" s="14"/>
    </row>
    <row r="847" spans="19:19" ht="15.75" customHeight="1" x14ac:dyDescent="0.3">
      <c r="S847" s="14"/>
    </row>
    <row r="848" spans="19:19" ht="15.75" customHeight="1" x14ac:dyDescent="0.3">
      <c r="S848" s="14"/>
    </row>
    <row r="849" spans="19:19" ht="15.75" customHeight="1" x14ac:dyDescent="0.3">
      <c r="S849" s="14"/>
    </row>
    <row r="850" spans="19:19" ht="15.75" customHeight="1" x14ac:dyDescent="0.3">
      <c r="S850" s="14"/>
    </row>
    <row r="851" spans="19:19" ht="15.75" customHeight="1" x14ac:dyDescent="0.3">
      <c r="S851" s="14"/>
    </row>
    <row r="852" spans="19:19" ht="15.75" customHeight="1" x14ac:dyDescent="0.3">
      <c r="S852" s="14"/>
    </row>
    <row r="853" spans="19:19" ht="15.75" customHeight="1" x14ac:dyDescent="0.3">
      <c r="S853" s="14"/>
    </row>
    <row r="854" spans="19:19" ht="15.75" customHeight="1" x14ac:dyDescent="0.3">
      <c r="S854" s="14"/>
    </row>
    <row r="855" spans="19:19" ht="15.75" customHeight="1" x14ac:dyDescent="0.3">
      <c r="S855" s="14"/>
    </row>
    <row r="856" spans="19:19" ht="15.75" customHeight="1" x14ac:dyDescent="0.3">
      <c r="S856" s="14"/>
    </row>
    <row r="857" spans="19:19" ht="15.75" customHeight="1" x14ac:dyDescent="0.3">
      <c r="S857" s="14"/>
    </row>
    <row r="858" spans="19:19" ht="15.75" customHeight="1" x14ac:dyDescent="0.3">
      <c r="S858" s="14"/>
    </row>
    <row r="859" spans="19:19" ht="15.75" customHeight="1" x14ac:dyDescent="0.3">
      <c r="S859" s="14"/>
    </row>
    <row r="860" spans="19:19" ht="15.75" customHeight="1" x14ac:dyDescent="0.3">
      <c r="S860" s="14"/>
    </row>
    <row r="861" spans="19:19" ht="15.75" customHeight="1" x14ac:dyDescent="0.3">
      <c r="S861" s="14"/>
    </row>
    <row r="862" spans="19:19" ht="15.75" customHeight="1" x14ac:dyDescent="0.3">
      <c r="S862" s="14"/>
    </row>
    <row r="863" spans="19:19" ht="15.75" customHeight="1" x14ac:dyDescent="0.3">
      <c r="S863" s="14"/>
    </row>
    <row r="864" spans="19:19" ht="15.75" customHeight="1" x14ac:dyDescent="0.3">
      <c r="S864" s="14"/>
    </row>
    <row r="865" spans="19:19" ht="15.75" customHeight="1" x14ac:dyDescent="0.3">
      <c r="S865" s="14"/>
    </row>
    <row r="866" spans="19:19" ht="15.75" customHeight="1" x14ac:dyDescent="0.3">
      <c r="S866" s="14"/>
    </row>
    <row r="867" spans="19:19" ht="15.75" customHeight="1" x14ac:dyDescent="0.3">
      <c r="S867" s="14"/>
    </row>
    <row r="868" spans="19:19" ht="15.75" customHeight="1" x14ac:dyDescent="0.3">
      <c r="S868" s="14"/>
    </row>
    <row r="869" spans="19:19" ht="15.75" customHeight="1" x14ac:dyDescent="0.3">
      <c r="S869" s="14"/>
    </row>
    <row r="870" spans="19:19" ht="15.75" customHeight="1" x14ac:dyDescent="0.3">
      <c r="S870" s="14"/>
    </row>
    <row r="871" spans="19:19" ht="15.75" customHeight="1" x14ac:dyDescent="0.3">
      <c r="S871" s="14"/>
    </row>
    <row r="872" spans="19:19" ht="15.75" customHeight="1" x14ac:dyDescent="0.3">
      <c r="S872" s="14"/>
    </row>
    <row r="873" spans="19:19" ht="15.75" customHeight="1" x14ac:dyDescent="0.3">
      <c r="S873" s="14"/>
    </row>
    <row r="874" spans="19:19" ht="15.75" customHeight="1" x14ac:dyDescent="0.3">
      <c r="S874" s="14"/>
    </row>
    <row r="875" spans="19:19" ht="15.75" customHeight="1" x14ac:dyDescent="0.3">
      <c r="S875" s="14"/>
    </row>
    <row r="876" spans="19:19" ht="15.75" customHeight="1" x14ac:dyDescent="0.3">
      <c r="S876" s="14"/>
    </row>
    <row r="877" spans="19:19" ht="15.75" customHeight="1" x14ac:dyDescent="0.3">
      <c r="S877" s="14"/>
    </row>
    <row r="878" spans="19:19" ht="15.75" customHeight="1" x14ac:dyDescent="0.3">
      <c r="S878" s="14"/>
    </row>
    <row r="879" spans="19:19" ht="15.75" customHeight="1" x14ac:dyDescent="0.3">
      <c r="S879" s="14"/>
    </row>
    <row r="880" spans="19:19" ht="15.75" customHeight="1" x14ac:dyDescent="0.3">
      <c r="S880" s="14"/>
    </row>
    <row r="881" spans="19:19" ht="15.75" customHeight="1" x14ac:dyDescent="0.3">
      <c r="S881" s="14"/>
    </row>
    <row r="882" spans="19:19" ht="15.75" customHeight="1" x14ac:dyDescent="0.3">
      <c r="S882" s="14"/>
    </row>
    <row r="883" spans="19:19" ht="15.75" customHeight="1" x14ac:dyDescent="0.3">
      <c r="S883" s="14"/>
    </row>
    <row r="884" spans="19:19" ht="15.75" customHeight="1" x14ac:dyDescent="0.3">
      <c r="S884" s="14"/>
    </row>
    <row r="885" spans="19:19" ht="15.75" customHeight="1" x14ac:dyDescent="0.3">
      <c r="S885" s="14"/>
    </row>
    <row r="886" spans="19:19" ht="15.75" customHeight="1" x14ac:dyDescent="0.3">
      <c r="S886" s="14"/>
    </row>
    <row r="887" spans="19:19" ht="15.75" customHeight="1" x14ac:dyDescent="0.3">
      <c r="S887" s="14"/>
    </row>
    <row r="888" spans="19:19" ht="15.75" customHeight="1" x14ac:dyDescent="0.3">
      <c r="S888" s="14"/>
    </row>
    <row r="889" spans="19:19" ht="15.75" customHeight="1" x14ac:dyDescent="0.3">
      <c r="S889" s="14"/>
    </row>
    <row r="890" spans="19:19" ht="15.75" customHeight="1" x14ac:dyDescent="0.3">
      <c r="S890" s="14"/>
    </row>
    <row r="891" spans="19:19" ht="15.75" customHeight="1" x14ac:dyDescent="0.3">
      <c r="S891" s="14"/>
    </row>
    <row r="892" spans="19:19" ht="15.75" customHeight="1" x14ac:dyDescent="0.3">
      <c r="S892" s="14"/>
    </row>
    <row r="893" spans="19:19" ht="15.75" customHeight="1" x14ac:dyDescent="0.3">
      <c r="S893" s="14"/>
    </row>
    <row r="894" spans="19:19" ht="15.75" customHeight="1" x14ac:dyDescent="0.3">
      <c r="S894" s="14"/>
    </row>
    <row r="895" spans="19:19" ht="15.75" customHeight="1" x14ac:dyDescent="0.3">
      <c r="S895" s="14"/>
    </row>
    <row r="896" spans="19:19" ht="15.75" customHeight="1" x14ac:dyDescent="0.3">
      <c r="S896" s="14"/>
    </row>
    <row r="897" spans="19:19" ht="15.75" customHeight="1" x14ac:dyDescent="0.3">
      <c r="S897" s="14"/>
    </row>
    <row r="898" spans="19:19" ht="15.75" customHeight="1" x14ac:dyDescent="0.3">
      <c r="S898" s="14"/>
    </row>
    <row r="899" spans="19:19" ht="15.75" customHeight="1" x14ac:dyDescent="0.3">
      <c r="S899" s="14"/>
    </row>
    <row r="900" spans="19:19" ht="15.75" customHeight="1" x14ac:dyDescent="0.3">
      <c r="S900" s="14"/>
    </row>
    <row r="901" spans="19:19" ht="15.75" customHeight="1" x14ac:dyDescent="0.3">
      <c r="S901" s="14"/>
    </row>
    <row r="902" spans="19:19" ht="15.75" customHeight="1" x14ac:dyDescent="0.3">
      <c r="S902" s="14"/>
    </row>
    <row r="903" spans="19:19" ht="15.75" customHeight="1" x14ac:dyDescent="0.3">
      <c r="S903" s="14"/>
    </row>
    <row r="904" spans="19:19" ht="15.75" customHeight="1" x14ac:dyDescent="0.3">
      <c r="S904" s="14"/>
    </row>
    <row r="905" spans="19:19" ht="15.75" customHeight="1" x14ac:dyDescent="0.3">
      <c r="S905" s="14"/>
    </row>
    <row r="906" spans="19:19" ht="15.75" customHeight="1" x14ac:dyDescent="0.3">
      <c r="S906" s="14"/>
    </row>
    <row r="907" spans="19:19" ht="15.75" customHeight="1" x14ac:dyDescent="0.3">
      <c r="S907" s="14"/>
    </row>
    <row r="908" spans="19:19" ht="15.75" customHeight="1" x14ac:dyDescent="0.3">
      <c r="S908" s="14"/>
    </row>
    <row r="909" spans="19:19" ht="15.75" customHeight="1" x14ac:dyDescent="0.3">
      <c r="S909" s="14"/>
    </row>
    <row r="910" spans="19:19" ht="15.75" customHeight="1" x14ac:dyDescent="0.3">
      <c r="S910" s="14"/>
    </row>
    <row r="911" spans="19:19" ht="15.75" customHeight="1" x14ac:dyDescent="0.3">
      <c r="S911" s="14"/>
    </row>
    <row r="912" spans="19:19" ht="15.75" customHeight="1" x14ac:dyDescent="0.3">
      <c r="S912" s="14"/>
    </row>
    <row r="913" spans="19:19" ht="15.75" customHeight="1" x14ac:dyDescent="0.3">
      <c r="S913" s="14"/>
    </row>
    <row r="914" spans="19:19" ht="15.75" customHeight="1" x14ac:dyDescent="0.3">
      <c r="S914" s="14"/>
    </row>
    <row r="915" spans="19:19" ht="15.75" customHeight="1" x14ac:dyDescent="0.3">
      <c r="S915" s="14"/>
    </row>
    <row r="916" spans="19:19" ht="15.75" customHeight="1" x14ac:dyDescent="0.3">
      <c r="S916" s="14"/>
    </row>
    <row r="917" spans="19:19" ht="15.75" customHeight="1" x14ac:dyDescent="0.3">
      <c r="S917" s="14"/>
    </row>
    <row r="918" spans="19:19" ht="15.75" customHeight="1" x14ac:dyDescent="0.3">
      <c r="S918" s="14"/>
    </row>
    <row r="919" spans="19:19" ht="15.75" customHeight="1" x14ac:dyDescent="0.3">
      <c r="S919" s="14"/>
    </row>
    <row r="920" spans="19:19" ht="15.75" customHeight="1" x14ac:dyDescent="0.3">
      <c r="S920" s="14"/>
    </row>
    <row r="921" spans="19:19" ht="15.75" customHeight="1" x14ac:dyDescent="0.3">
      <c r="S921" s="14"/>
    </row>
    <row r="922" spans="19:19" ht="15.75" customHeight="1" x14ac:dyDescent="0.3">
      <c r="S922" s="14"/>
    </row>
    <row r="923" spans="19:19" ht="15.75" customHeight="1" x14ac:dyDescent="0.3">
      <c r="S923" s="14"/>
    </row>
    <row r="924" spans="19:19" ht="15.75" customHeight="1" x14ac:dyDescent="0.3">
      <c r="S924" s="14"/>
    </row>
    <row r="925" spans="19:19" ht="15.75" customHeight="1" x14ac:dyDescent="0.3">
      <c r="S925" s="14"/>
    </row>
    <row r="926" spans="19:19" ht="15.75" customHeight="1" x14ac:dyDescent="0.3">
      <c r="S926" s="14"/>
    </row>
    <row r="927" spans="19:19" ht="15.75" customHeight="1" x14ac:dyDescent="0.3">
      <c r="S927" s="14"/>
    </row>
    <row r="928" spans="19:19" ht="15.75" customHeight="1" x14ac:dyDescent="0.3">
      <c r="S928" s="14"/>
    </row>
    <row r="929" spans="19:19" ht="15.75" customHeight="1" x14ac:dyDescent="0.3">
      <c r="S929" s="14"/>
    </row>
    <row r="930" spans="19:19" ht="15.75" customHeight="1" x14ac:dyDescent="0.3">
      <c r="S930" s="14"/>
    </row>
    <row r="931" spans="19:19" ht="15.75" customHeight="1" x14ac:dyDescent="0.3">
      <c r="S931" s="14"/>
    </row>
    <row r="932" spans="19:19" ht="15.75" customHeight="1" x14ac:dyDescent="0.3">
      <c r="S932" s="14"/>
    </row>
    <row r="933" spans="19:19" ht="15.75" customHeight="1" x14ac:dyDescent="0.3">
      <c r="S933" s="14"/>
    </row>
    <row r="934" spans="19:19" ht="15.75" customHeight="1" x14ac:dyDescent="0.3">
      <c r="S934" s="14"/>
    </row>
    <row r="935" spans="19:19" ht="15.75" customHeight="1" x14ac:dyDescent="0.3">
      <c r="S935" s="14"/>
    </row>
    <row r="936" spans="19:19" ht="15.75" customHeight="1" x14ac:dyDescent="0.3">
      <c r="S936" s="14"/>
    </row>
    <row r="937" spans="19:19" ht="15.75" customHeight="1" x14ac:dyDescent="0.3">
      <c r="S937" s="14"/>
    </row>
    <row r="938" spans="19:19" ht="15.75" customHeight="1" x14ac:dyDescent="0.3">
      <c r="S938" s="14"/>
    </row>
    <row r="939" spans="19:19" ht="15.75" customHeight="1" x14ac:dyDescent="0.3">
      <c r="S939" s="14"/>
    </row>
    <row r="940" spans="19:19" ht="15.75" customHeight="1" x14ac:dyDescent="0.3">
      <c r="S940" s="14"/>
    </row>
    <row r="941" spans="19:19" ht="15.75" customHeight="1" x14ac:dyDescent="0.3">
      <c r="S941" s="14"/>
    </row>
    <row r="942" spans="19:19" ht="15.75" customHeight="1" x14ac:dyDescent="0.3">
      <c r="S942" s="14"/>
    </row>
    <row r="943" spans="19:19" ht="15.75" customHeight="1" x14ac:dyDescent="0.3">
      <c r="S943" s="14"/>
    </row>
    <row r="944" spans="19:19" ht="15.75" customHeight="1" x14ac:dyDescent="0.3">
      <c r="S944" s="14"/>
    </row>
    <row r="945" spans="19:19" ht="15.75" customHeight="1" x14ac:dyDescent="0.3">
      <c r="S945" s="14"/>
    </row>
    <row r="946" spans="19:19" ht="15.75" customHeight="1" x14ac:dyDescent="0.3">
      <c r="S946" s="14"/>
    </row>
    <row r="947" spans="19:19" ht="15.75" customHeight="1" x14ac:dyDescent="0.3">
      <c r="S947" s="14"/>
    </row>
    <row r="948" spans="19:19" ht="15.75" customHeight="1" x14ac:dyDescent="0.3">
      <c r="S948" s="14"/>
    </row>
    <row r="949" spans="19:19" ht="15.75" customHeight="1" x14ac:dyDescent="0.3">
      <c r="S949" s="14"/>
    </row>
    <row r="950" spans="19:19" ht="15.75" customHeight="1" x14ac:dyDescent="0.3">
      <c r="S950" s="14"/>
    </row>
    <row r="951" spans="19:19" ht="15.75" customHeight="1" x14ac:dyDescent="0.3">
      <c r="S951" s="14"/>
    </row>
    <row r="952" spans="19:19" ht="15.75" customHeight="1" x14ac:dyDescent="0.3">
      <c r="S952" s="14"/>
    </row>
    <row r="953" spans="19:19" ht="15.75" customHeight="1" x14ac:dyDescent="0.3">
      <c r="S953" s="14"/>
    </row>
    <row r="954" spans="19:19" ht="15.75" customHeight="1" x14ac:dyDescent="0.3">
      <c r="S954" s="14"/>
    </row>
    <row r="955" spans="19:19" ht="15.75" customHeight="1" x14ac:dyDescent="0.3">
      <c r="S955" s="14"/>
    </row>
    <row r="956" spans="19:19" ht="15.75" customHeight="1" x14ac:dyDescent="0.3">
      <c r="S956" s="14"/>
    </row>
    <row r="957" spans="19:19" ht="15.75" customHeight="1" x14ac:dyDescent="0.3">
      <c r="S957" s="14"/>
    </row>
    <row r="958" spans="19:19" ht="15.75" customHeight="1" x14ac:dyDescent="0.3">
      <c r="S958" s="14"/>
    </row>
    <row r="959" spans="19:19" ht="15.75" customHeight="1" x14ac:dyDescent="0.3">
      <c r="S959" s="14"/>
    </row>
    <row r="960" spans="19:19" ht="15.75" customHeight="1" x14ac:dyDescent="0.3">
      <c r="S960" s="14"/>
    </row>
    <row r="961" spans="19:19" ht="15.75" customHeight="1" x14ac:dyDescent="0.3">
      <c r="S961" s="14"/>
    </row>
    <row r="962" spans="19:19" ht="15.75" customHeight="1" x14ac:dyDescent="0.3">
      <c r="S962" s="14"/>
    </row>
    <row r="963" spans="19:19" ht="15.75" customHeight="1" x14ac:dyDescent="0.3">
      <c r="S963" s="14"/>
    </row>
    <row r="964" spans="19:19" ht="15.75" customHeight="1" x14ac:dyDescent="0.3">
      <c r="S964" s="14"/>
    </row>
    <row r="965" spans="19:19" ht="15.75" customHeight="1" x14ac:dyDescent="0.3">
      <c r="S965" s="14"/>
    </row>
    <row r="966" spans="19:19" ht="15.75" customHeight="1" x14ac:dyDescent="0.3">
      <c r="S966" s="14"/>
    </row>
    <row r="967" spans="19:19" ht="15.75" customHeight="1" x14ac:dyDescent="0.3">
      <c r="S967" s="14"/>
    </row>
    <row r="968" spans="19:19" ht="15.75" customHeight="1" x14ac:dyDescent="0.3">
      <c r="S968" s="14"/>
    </row>
    <row r="969" spans="19:19" ht="15.75" customHeight="1" x14ac:dyDescent="0.3">
      <c r="S969" s="14"/>
    </row>
    <row r="970" spans="19:19" ht="15.75" customHeight="1" x14ac:dyDescent="0.3">
      <c r="S970" s="14"/>
    </row>
    <row r="971" spans="19:19" ht="15.75" customHeight="1" x14ac:dyDescent="0.3">
      <c r="S971" s="14"/>
    </row>
    <row r="972" spans="19:19" ht="15.75" customHeight="1" x14ac:dyDescent="0.3">
      <c r="S972" s="14"/>
    </row>
    <row r="973" spans="19:19" ht="15.75" customHeight="1" x14ac:dyDescent="0.3">
      <c r="S973" s="14"/>
    </row>
    <row r="974" spans="19:19" ht="15.75" customHeight="1" x14ac:dyDescent="0.3">
      <c r="S974" s="14"/>
    </row>
    <row r="975" spans="19:19" ht="15.75" customHeight="1" x14ac:dyDescent="0.3">
      <c r="S975" s="14"/>
    </row>
    <row r="976" spans="19:19" ht="15.75" customHeight="1" x14ac:dyDescent="0.3">
      <c r="S976" s="14"/>
    </row>
    <row r="977" spans="19:19" ht="15.75" customHeight="1" x14ac:dyDescent="0.3">
      <c r="S977" s="14"/>
    </row>
    <row r="978" spans="19:19" ht="15.75" customHeight="1" x14ac:dyDescent="0.3">
      <c r="S978" s="14"/>
    </row>
    <row r="979" spans="19:19" ht="15.75" customHeight="1" x14ac:dyDescent="0.3">
      <c r="S979" s="14"/>
    </row>
    <row r="980" spans="19:19" ht="15.75" customHeight="1" x14ac:dyDescent="0.3">
      <c r="S980" s="14"/>
    </row>
    <row r="981" spans="19:19" ht="15.75" customHeight="1" x14ac:dyDescent="0.3">
      <c r="S981" s="14"/>
    </row>
    <row r="982" spans="19:19" ht="15.75" customHeight="1" x14ac:dyDescent="0.3">
      <c r="S982" s="14"/>
    </row>
    <row r="983" spans="19:19" ht="15.75" customHeight="1" x14ac:dyDescent="0.3">
      <c r="S983" s="14"/>
    </row>
    <row r="984" spans="19:19" ht="15.75" customHeight="1" x14ac:dyDescent="0.3">
      <c r="S984" s="14"/>
    </row>
    <row r="985" spans="19:19" ht="15.75" customHeight="1" x14ac:dyDescent="0.3">
      <c r="S985" s="14"/>
    </row>
    <row r="986" spans="19:19" ht="15.75" customHeight="1" x14ac:dyDescent="0.3">
      <c r="S986" s="14"/>
    </row>
    <row r="987" spans="19:19" ht="15.75" customHeight="1" x14ac:dyDescent="0.3">
      <c r="S987" s="14"/>
    </row>
    <row r="988" spans="19:19" ht="15.75" customHeight="1" x14ac:dyDescent="0.3">
      <c r="S988" s="14"/>
    </row>
    <row r="989" spans="19:19" ht="15.75" customHeight="1" x14ac:dyDescent="0.3">
      <c r="S989" s="14"/>
    </row>
    <row r="990" spans="19:19" ht="15.75" customHeight="1" x14ac:dyDescent="0.3">
      <c r="S990" s="14"/>
    </row>
    <row r="991" spans="19:19" ht="15.75" customHeight="1" x14ac:dyDescent="0.3">
      <c r="S991" s="14"/>
    </row>
    <row r="992" spans="19:19" ht="15.75" customHeight="1" x14ac:dyDescent="0.3">
      <c r="S992" s="14"/>
    </row>
    <row r="993" spans="19:19" ht="15.75" customHeight="1" x14ac:dyDescent="0.3">
      <c r="S993" s="14"/>
    </row>
    <row r="994" spans="19:19" ht="15.75" customHeight="1" x14ac:dyDescent="0.3">
      <c r="S994" s="14"/>
    </row>
    <row r="995" spans="19:19" ht="15.75" customHeight="1" x14ac:dyDescent="0.3">
      <c r="S995" s="14"/>
    </row>
    <row r="996" spans="19:19" ht="15.75" customHeight="1" x14ac:dyDescent="0.3">
      <c r="S996" s="14"/>
    </row>
    <row r="997" spans="19:19" ht="15.75" customHeight="1" x14ac:dyDescent="0.3">
      <c r="S997" s="14"/>
    </row>
    <row r="998" spans="19:19" ht="15.75" customHeight="1" x14ac:dyDescent="0.3">
      <c r="S998" s="14"/>
    </row>
    <row r="999" spans="19:19" ht="15.75" customHeight="1" x14ac:dyDescent="0.3">
      <c r="S999" s="14"/>
    </row>
  </sheetData>
  <hyperlinks>
    <hyperlink ref="A1" r:id="rId1" xr:uid="{00000000-0004-0000-0000-000000000000}"/>
  </hyperlinks>
  <pageMargins left="0.7" right="0.7" top="0.75" bottom="0.75" header="0" footer="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99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2" width="8" customWidth="1"/>
    <col min="3" max="3" width="24" customWidth="1"/>
    <col min="4" max="4" width="8" customWidth="1"/>
    <col min="5" max="5" width="1.44140625" customWidth="1"/>
    <col min="6" max="6" width="0.44140625" customWidth="1"/>
    <col min="7" max="7" width="3.44140625" customWidth="1"/>
    <col min="8" max="16" width="8" customWidth="1"/>
    <col min="17" max="21" width="11.5546875" customWidth="1"/>
    <col min="22" max="22" width="10.33203125" customWidth="1"/>
  </cols>
  <sheetData>
    <row r="1" spans="1:22" ht="31.8" x14ac:dyDescent="0.3">
      <c r="A1" s="73" t="s">
        <v>222</v>
      </c>
      <c r="B1" s="74" t="s">
        <v>1</v>
      </c>
      <c r="C1" s="74" t="s">
        <v>2</v>
      </c>
      <c r="D1" s="74" t="s">
        <v>3</v>
      </c>
      <c r="E1" s="74"/>
      <c r="F1" s="75" t="s">
        <v>5</v>
      </c>
      <c r="G1" s="76" t="s">
        <v>6</v>
      </c>
      <c r="H1" s="77" t="s">
        <v>7</v>
      </c>
      <c r="I1" s="77" t="s">
        <v>9</v>
      </c>
      <c r="J1" s="77" t="s">
        <v>11</v>
      </c>
      <c r="K1" s="77" t="s">
        <v>12</v>
      </c>
      <c r="L1" s="77" t="s">
        <v>13</v>
      </c>
      <c r="M1" s="77" t="s">
        <v>14</v>
      </c>
      <c r="N1" s="77" t="s">
        <v>15</v>
      </c>
      <c r="O1" s="5" t="s">
        <v>16</v>
      </c>
      <c r="P1" s="5" t="s">
        <v>17</v>
      </c>
      <c r="Q1" s="78" t="s">
        <v>223</v>
      </c>
      <c r="R1" s="4" t="s">
        <v>224</v>
      </c>
      <c r="S1" s="4" t="s">
        <v>225</v>
      </c>
      <c r="T1" s="4" t="s">
        <v>23</v>
      </c>
      <c r="U1" s="4" t="s">
        <v>226</v>
      </c>
      <c r="V1" s="4" t="s">
        <v>227</v>
      </c>
    </row>
    <row r="2" spans="1:22" ht="14.4" x14ac:dyDescent="0.3">
      <c r="A2" s="24">
        <v>1</v>
      </c>
      <c r="B2" s="25" t="s">
        <v>228</v>
      </c>
      <c r="C2" s="25" t="s">
        <v>229</v>
      </c>
      <c r="D2" s="25" t="s">
        <v>230</v>
      </c>
      <c r="E2" s="25"/>
      <c r="F2" s="79">
        <v>39939</v>
      </c>
      <c r="G2" s="80" t="s">
        <v>30</v>
      </c>
      <c r="H2" s="81">
        <v>48</v>
      </c>
      <c r="I2" s="81">
        <v>56</v>
      </c>
      <c r="J2" s="81">
        <v>55</v>
      </c>
      <c r="K2" s="81">
        <v>46</v>
      </c>
      <c r="L2" s="82">
        <v>49</v>
      </c>
      <c r="M2" s="82">
        <v>46</v>
      </c>
      <c r="N2" s="82">
        <f t="shared" ref="N2:N49" si="0">SUM(H2:L2)</f>
        <v>254</v>
      </c>
      <c r="O2" s="83">
        <f t="shared" ref="O2:O49" si="1">(N2/400)*100</f>
        <v>63.5</v>
      </c>
      <c r="P2" s="13">
        <f t="shared" ref="P2:P49" si="2">O2+30</f>
        <v>93.5</v>
      </c>
      <c r="Q2" s="84">
        <f t="shared" ref="Q2:Q49" si="3">R2+S2+T2+U2+V2</f>
        <v>404</v>
      </c>
      <c r="R2" s="14">
        <f t="shared" ref="R2:V2" si="4">H2+30</f>
        <v>78</v>
      </c>
      <c r="S2" s="14">
        <f t="shared" si="4"/>
        <v>86</v>
      </c>
      <c r="T2" s="14">
        <f t="shared" si="4"/>
        <v>85</v>
      </c>
      <c r="U2" s="14">
        <f t="shared" si="4"/>
        <v>76</v>
      </c>
      <c r="V2" s="14">
        <f t="shared" si="4"/>
        <v>79</v>
      </c>
    </row>
    <row r="3" spans="1:22" ht="14.4" x14ac:dyDescent="0.3">
      <c r="A3" s="24">
        <v>2</v>
      </c>
      <c r="B3" s="25" t="s">
        <v>231</v>
      </c>
      <c r="C3" s="25" t="s">
        <v>232</v>
      </c>
      <c r="D3" s="25" t="s">
        <v>233</v>
      </c>
      <c r="E3" s="25"/>
      <c r="F3" s="79">
        <v>40139</v>
      </c>
      <c r="G3" s="80" t="s">
        <v>30</v>
      </c>
      <c r="H3" s="81">
        <v>54</v>
      </c>
      <c r="I3" s="81">
        <v>66</v>
      </c>
      <c r="J3" s="81">
        <v>74</v>
      </c>
      <c r="K3" s="81">
        <v>62</v>
      </c>
      <c r="L3" s="82">
        <v>66</v>
      </c>
      <c r="M3" s="82">
        <v>50</v>
      </c>
      <c r="N3" s="82">
        <f t="shared" si="0"/>
        <v>322</v>
      </c>
      <c r="O3" s="83">
        <f t="shared" si="1"/>
        <v>80.5</v>
      </c>
      <c r="P3" s="13">
        <f t="shared" si="2"/>
        <v>110.5</v>
      </c>
      <c r="Q3" s="84">
        <f t="shared" si="3"/>
        <v>472</v>
      </c>
      <c r="R3" s="14">
        <f t="shared" ref="R3:V3" si="5">H3+30</f>
        <v>84</v>
      </c>
      <c r="S3" s="14">
        <f t="shared" si="5"/>
        <v>96</v>
      </c>
      <c r="T3" s="14">
        <f t="shared" si="5"/>
        <v>104</v>
      </c>
      <c r="U3" s="14">
        <f t="shared" si="5"/>
        <v>92</v>
      </c>
      <c r="V3" s="14">
        <f t="shared" si="5"/>
        <v>96</v>
      </c>
    </row>
    <row r="4" spans="1:22" ht="14.4" x14ac:dyDescent="0.3">
      <c r="A4" s="24">
        <v>3</v>
      </c>
      <c r="B4" s="25" t="s">
        <v>234</v>
      </c>
      <c r="C4" s="25" t="s">
        <v>235</v>
      </c>
      <c r="D4" s="25" t="s">
        <v>236</v>
      </c>
      <c r="E4" s="25"/>
      <c r="F4" s="79">
        <v>40085</v>
      </c>
      <c r="G4" s="80" t="s">
        <v>30</v>
      </c>
      <c r="H4" s="81">
        <v>53</v>
      </c>
      <c r="I4" s="81">
        <v>65</v>
      </c>
      <c r="J4" s="81">
        <v>67</v>
      </c>
      <c r="K4" s="81">
        <v>52</v>
      </c>
      <c r="L4" s="82">
        <v>58</v>
      </c>
      <c r="M4" s="82">
        <v>47</v>
      </c>
      <c r="N4" s="82">
        <f t="shared" si="0"/>
        <v>295</v>
      </c>
      <c r="O4" s="83">
        <f t="shared" si="1"/>
        <v>73.75</v>
      </c>
      <c r="P4" s="13">
        <f t="shared" si="2"/>
        <v>103.75</v>
      </c>
      <c r="Q4" s="84">
        <f t="shared" si="3"/>
        <v>445</v>
      </c>
      <c r="R4" s="14">
        <f t="shared" ref="R4:V4" si="6">H4+30</f>
        <v>83</v>
      </c>
      <c r="S4" s="14">
        <f t="shared" si="6"/>
        <v>95</v>
      </c>
      <c r="T4" s="14">
        <f t="shared" si="6"/>
        <v>97</v>
      </c>
      <c r="U4" s="14">
        <f t="shared" si="6"/>
        <v>82</v>
      </c>
      <c r="V4" s="14">
        <f t="shared" si="6"/>
        <v>88</v>
      </c>
    </row>
    <row r="5" spans="1:22" ht="14.4" x14ac:dyDescent="0.3">
      <c r="A5" s="24">
        <v>4</v>
      </c>
      <c r="B5" s="25" t="s">
        <v>237</v>
      </c>
      <c r="C5" s="25" t="s">
        <v>238</v>
      </c>
      <c r="D5" s="25" t="s">
        <v>239</v>
      </c>
      <c r="E5" s="25"/>
      <c r="F5" s="79">
        <v>40024</v>
      </c>
      <c r="G5" s="80" t="s">
        <v>30</v>
      </c>
      <c r="H5" s="81">
        <v>53</v>
      </c>
      <c r="I5" s="81">
        <v>64</v>
      </c>
      <c r="J5" s="81">
        <v>56</v>
      </c>
      <c r="K5" s="81">
        <v>58</v>
      </c>
      <c r="L5" s="82">
        <v>56</v>
      </c>
      <c r="M5" s="82">
        <v>48</v>
      </c>
      <c r="N5" s="82">
        <f t="shared" si="0"/>
        <v>287</v>
      </c>
      <c r="O5" s="83">
        <f t="shared" si="1"/>
        <v>71.75</v>
      </c>
      <c r="P5" s="13">
        <f t="shared" si="2"/>
        <v>101.75</v>
      </c>
      <c r="Q5" s="84">
        <f t="shared" si="3"/>
        <v>437</v>
      </c>
      <c r="R5" s="14">
        <f t="shared" ref="R5:V5" si="7">H5+30</f>
        <v>83</v>
      </c>
      <c r="S5" s="14">
        <f t="shared" si="7"/>
        <v>94</v>
      </c>
      <c r="T5" s="14">
        <f t="shared" si="7"/>
        <v>86</v>
      </c>
      <c r="U5" s="14">
        <f t="shared" si="7"/>
        <v>88</v>
      </c>
      <c r="V5" s="14">
        <f t="shared" si="7"/>
        <v>86</v>
      </c>
    </row>
    <row r="6" spans="1:22" ht="14.4" x14ac:dyDescent="0.3">
      <c r="A6" s="24">
        <v>5</v>
      </c>
      <c r="B6" s="25" t="s">
        <v>240</v>
      </c>
      <c r="C6" s="25" t="s">
        <v>241</v>
      </c>
      <c r="D6" s="25" t="s">
        <v>242</v>
      </c>
      <c r="E6" s="25"/>
      <c r="F6" s="79">
        <v>39911</v>
      </c>
      <c r="G6" s="80" t="s">
        <v>39</v>
      </c>
      <c r="H6" s="81">
        <v>62</v>
      </c>
      <c r="I6" s="81">
        <v>56</v>
      </c>
      <c r="J6" s="81">
        <v>56</v>
      </c>
      <c r="K6" s="81">
        <v>54</v>
      </c>
      <c r="L6" s="82">
        <v>69</v>
      </c>
      <c r="M6" s="82">
        <v>49</v>
      </c>
      <c r="N6" s="82">
        <f t="shared" si="0"/>
        <v>297</v>
      </c>
      <c r="O6" s="83">
        <f t="shared" si="1"/>
        <v>74.25</v>
      </c>
      <c r="P6" s="13">
        <f t="shared" si="2"/>
        <v>104.25</v>
      </c>
      <c r="Q6" s="84">
        <f t="shared" si="3"/>
        <v>447</v>
      </c>
      <c r="R6" s="14">
        <f t="shared" ref="R6:V6" si="8">H6+30</f>
        <v>92</v>
      </c>
      <c r="S6" s="14">
        <f t="shared" si="8"/>
        <v>86</v>
      </c>
      <c r="T6" s="14">
        <f t="shared" si="8"/>
        <v>86</v>
      </c>
      <c r="U6" s="14">
        <f t="shared" si="8"/>
        <v>84</v>
      </c>
      <c r="V6" s="14">
        <f t="shared" si="8"/>
        <v>99</v>
      </c>
    </row>
    <row r="7" spans="1:22" ht="14.4" x14ac:dyDescent="0.3">
      <c r="A7" s="24">
        <v>6</v>
      </c>
      <c r="B7" s="25" t="s">
        <v>243</v>
      </c>
      <c r="C7" s="25" t="s">
        <v>244</v>
      </c>
      <c r="D7" s="25" t="s">
        <v>245</v>
      </c>
      <c r="E7" s="25"/>
      <c r="F7" s="79">
        <v>39843</v>
      </c>
      <c r="G7" s="80" t="s">
        <v>30</v>
      </c>
      <c r="H7" s="81">
        <v>53</v>
      </c>
      <c r="I7" s="81">
        <v>76</v>
      </c>
      <c r="J7" s="81">
        <v>64</v>
      </c>
      <c r="K7" s="81">
        <v>50</v>
      </c>
      <c r="L7" s="82">
        <v>59</v>
      </c>
      <c r="M7" s="82">
        <v>49</v>
      </c>
      <c r="N7" s="82">
        <f t="shared" si="0"/>
        <v>302</v>
      </c>
      <c r="O7" s="83">
        <f t="shared" si="1"/>
        <v>75.5</v>
      </c>
      <c r="P7" s="13">
        <f t="shared" si="2"/>
        <v>105.5</v>
      </c>
      <c r="Q7" s="84">
        <f t="shared" si="3"/>
        <v>452</v>
      </c>
      <c r="R7" s="14">
        <f t="shared" ref="R7:V7" si="9">H7+30</f>
        <v>83</v>
      </c>
      <c r="S7" s="14">
        <f t="shared" si="9"/>
        <v>106</v>
      </c>
      <c r="T7" s="14">
        <f t="shared" si="9"/>
        <v>94</v>
      </c>
      <c r="U7" s="14">
        <f t="shared" si="9"/>
        <v>80</v>
      </c>
      <c r="V7" s="14">
        <f t="shared" si="9"/>
        <v>89</v>
      </c>
    </row>
    <row r="8" spans="1:22" ht="14.4" x14ac:dyDescent="0.3">
      <c r="A8" s="6">
        <v>7</v>
      </c>
      <c r="B8" s="7" t="s">
        <v>246</v>
      </c>
      <c r="C8" s="7" t="s">
        <v>247</v>
      </c>
      <c r="D8" s="7" t="s">
        <v>248</v>
      </c>
      <c r="E8" s="7"/>
      <c r="F8" s="85">
        <v>40153</v>
      </c>
      <c r="G8" s="86" t="s">
        <v>30</v>
      </c>
      <c r="H8" s="87">
        <v>32</v>
      </c>
      <c r="I8" s="87">
        <v>55</v>
      </c>
      <c r="J8" s="87">
        <v>37</v>
      </c>
      <c r="K8" s="87">
        <v>26</v>
      </c>
      <c r="L8" s="88">
        <v>40</v>
      </c>
      <c r="M8" s="88">
        <v>40</v>
      </c>
      <c r="N8" s="88">
        <f t="shared" si="0"/>
        <v>190</v>
      </c>
      <c r="O8" s="89">
        <f t="shared" si="1"/>
        <v>47.5</v>
      </c>
      <c r="P8" s="13">
        <f t="shared" si="2"/>
        <v>77.5</v>
      </c>
      <c r="Q8" s="84">
        <f t="shared" si="3"/>
        <v>340</v>
      </c>
      <c r="R8" s="14">
        <f t="shared" ref="R8:V8" si="10">H8+30</f>
        <v>62</v>
      </c>
      <c r="S8" s="14">
        <f t="shared" si="10"/>
        <v>85</v>
      </c>
      <c r="T8" s="14">
        <f t="shared" si="10"/>
        <v>67</v>
      </c>
      <c r="U8" s="14">
        <f t="shared" si="10"/>
        <v>56</v>
      </c>
      <c r="V8" s="14">
        <f t="shared" si="10"/>
        <v>70</v>
      </c>
    </row>
    <row r="9" spans="1:22" ht="14.4" x14ac:dyDescent="0.3">
      <c r="A9" s="24">
        <v>8</v>
      </c>
      <c r="B9" s="25" t="s">
        <v>249</v>
      </c>
      <c r="C9" s="25" t="s">
        <v>250</v>
      </c>
      <c r="D9" s="25" t="s">
        <v>251</v>
      </c>
      <c r="E9" s="25"/>
      <c r="F9" s="79">
        <v>39956</v>
      </c>
      <c r="G9" s="80" t="s">
        <v>39</v>
      </c>
      <c r="H9" s="81">
        <v>54</v>
      </c>
      <c r="I9" s="81">
        <v>79</v>
      </c>
      <c r="J9" s="81">
        <v>73</v>
      </c>
      <c r="K9" s="81">
        <v>67</v>
      </c>
      <c r="L9" s="82">
        <v>68</v>
      </c>
      <c r="M9" s="82">
        <v>50</v>
      </c>
      <c r="N9" s="82">
        <f t="shared" si="0"/>
        <v>341</v>
      </c>
      <c r="O9" s="83">
        <f t="shared" si="1"/>
        <v>85.25</v>
      </c>
      <c r="P9" s="13">
        <f t="shared" si="2"/>
        <v>115.25</v>
      </c>
      <c r="Q9" s="84">
        <f t="shared" si="3"/>
        <v>491</v>
      </c>
      <c r="R9" s="14">
        <f t="shared" ref="R9:V9" si="11">H9+30</f>
        <v>84</v>
      </c>
      <c r="S9" s="14">
        <f t="shared" si="11"/>
        <v>109</v>
      </c>
      <c r="T9" s="14">
        <f t="shared" si="11"/>
        <v>103</v>
      </c>
      <c r="U9" s="14">
        <f t="shared" si="11"/>
        <v>97</v>
      </c>
      <c r="V9" s="14">
        <f t="shared" si="11"/>
        <v>98</v>
      </c>
    </row>
    <row r="10" spans="1:22" ht="14.4" x14ac:dyDescent="0.3">
      <c r="A10" s="24">
        <v>9</v>
      </c>
      <c r="B10" s="25" t="s">
        <v>252</v>
      </c>
      <c r="C10" s="25" t="s">
        <v>253</v>
      </c>
      <c r="D10" s="25" t="s">
        <v>254</v>
      </c>
      <c r="E10" s="25"/>
      <c r="F10" s="79">
        <v>40116</v>
      </c>
      <c r="G10" s="80" t="s">
        <v>30</v>
      </c>
      <c r="H10" s="81">
        <v>38</v>
      </c>
      <c r="I10" s="81">
        <v>67</v>
      </c>
      <c r="J10" s="81">
        <v>75</v>
      </c>
      <c r="K10" s="81">
        <v>64</v>
      </c>
      <c r="L10" s="82">
        <v>62</v>
      </c>
      <c r="M10" s="82">
        <v>45</v>
      </c>
      <c r="N10" s="82">
        <f t="shared" si="0"/>
        <v>306</v>
      </c>
      <c r="O10" s="83">
        <f t="shared" si="1"/>
        <v>76.5</v>
      </c>
      <c r="P10" s="13">
        <f t="shared" si="2"/>
        <v>106.5</v>
      </c>
      <c r="Q10" s="84">
        <f t="shared" si="3"/>
        <v>456</v>
      </c>
      <c r="R10" s="14">
        <f t="shared" ref="R10:V10" si="12">H10+30</f>
        <v>68</v>
      </c>
      <c r="S10" s="14">
        <f t="shared" si="12"/>
        <v>97</v>
      </c>
      <c r="T10" s="14">
        <f t="shared" si="12"/>
        <v>105</v>
      </c>
      <c r="U10" s="14">
        <f t="shared" si="12"/>
        <v>94</v>
      </c>
      <c r="V10" s="14">
        <f t="shared" si="12"/>
        <v>92</v>
      </c>
    </row>
    <row r="11" spans="1:22" ht="14.4" x14ac:dyDescent="0.3">
      <c r="A11" s="34">
        <v>10</v>
      </c>
      <c r="B11" s="35" t="s">
        <v>255</v>
      </c>
      <c r="C11" s="35" t="s">
        <v>256</v>
      </c>
      <c r="D11" s="35" t="s">
        <v>257</v>
      </c>
      <c r="E11" s="35"/>
      <c r="F11" s="90">
        <v>40142</v>
      </c>
      <c r="G11" s="91" t="s">
        <v>30</v>
      </c>
      <c r="H11" s="92">
        <v>25</v>
      </c>
      <c r="I11" s="92">
        <v>40</v>
      </c>
      <c r="J11" s="92">
        <v>51</v>
      </c>
      <c r="K11" s="92">
        <v>55</v>
      </c>
      <c r="L11" s="93">
        <v>40</v>
      </c>
      <c r="M11" s="93">
        <v>41</v>
      </c>
      <c r="N11" s="93">
        <f t="shared" si="0"/>
        <v>211</v>
      </c>
      <c r="O11" s="94">
        <f t="shared" si="1"/>
        <v>52.75</v>
      </c>
      <c r="P11" s="13">
        <f t="shared" si="2"/>
        <v>82.75</v>
      </c>
      <c r="Q11" s="84">
        <f t="shared" si="3"/>
        <v>361</v>
      </c>
      <c r="R11" s="14">
        <f t="shared" ref="R11:V11" si="13">H11+30</f>
        <v>55</v>
      </c>
      <c r="S11" s="14">
        <f t="shared" si="13"/>
        <v>70</v>
      </c>
      <c r="T11" s="14">
        <f t="shared" si="13"/>
        <v>81</v>
      </c>
      <c r="U11" s="14">
        <f t="shared" si="13"/>
        <v>85</v>
      </c>
      <c r="V11" s="14">
        <f t="shared" si="13"/>
        <v>70</v>
      </c>
    </row>
    <row r="12" spans="1:22" ht="14.4" x14ac:dyDescent="0.3">
      <c r="A12" s="24">
        <v>11</v>
      </c>
      <c r="B12" s="25" t="s">
        <v>258</v>
      </c>
      <c r="C12" s="25" t="s">
        <v>259</v>
      </c>
      <c r="D12" s="25" t="s">
        <v>260</v>
      </c>
      <c r="E12" s="25"/>
      <c r="F12" s="79">
        <v>39969</v>
      </c>
      <c r="G12" s="80" t="s">
        <v>39</v>
      </c>
      <c r="H12" s="81">
        <v>56</v>
      </c>
      <c r="I12" s="81">
        <v>53</v>
      </c>
      <c r="J12" s="81">
        <v>62</v>
      </c>
      <c r="K12" s="81">
        <v>55</v>
      </c>
      <c r="L12" s="82">
        <v>70</v>
      </c>
      <c r="M12" s="82">
        <v>50</v>
      </c>
      <c r="N12" s="82">
        <f t="shared" si="0"/>
        <v>296</v>
      </c>
      <c r="O12" s="83">
        <f t="shared" si="1"/>
        <v>74</v>
      </c>
      <c r="P12" s="13">
        <f t="shared" si="2"/>
        <v>104</v>
      </c>
      <c r="Q12" s="84">
        <f t="shared" si="3"/>
        <v>446</v>
      </c>
      <c r="R12" s="14">
        <f t="shared" ref="R12:V12" si="14">H12+30</f>
        <v>86</v>
      </c>
      <c r="S12" s="14">
        <f t="shared" si="14"/>
        <v>83</v>
      </c>
      <c r="T12" s="14">
        <f t="shared" si="14"/>
        <v>92</v>
      </c>
      <c r="U12" s="14">
        <f t="shared" si="14"/>
        <v>85</v>
      </c>
      <c r="V12" s="14">
        <f t="shared" si="14"/>
        <v>100</v>
      </c>
    </row>
    <row r="13" spans="1:22" ht="14.4" x14ac:dyDescent="0.3">
      <c r="A13" s="34">
        <v>12</v>
      </c>
      <c r="B13" s="35" t="s">
        <v>261</v>
      </c>
      <c r="C13" s="35" t="s">
        <v>262</v>
      </c>
      <c r="D13" s="35" t="s">
        <v>263</v>
      </c>
      <c r="E13" s="35"/>
      <c r="F13" s="90">
        <v>40070</v>
      </c>
      <c r="G13" s="91" t="s">
        <v>30</v>
      </c>
      <c r="H13" s="92">
        <v>32</v>
      </c>
      <c r="I13" s="92">
        <v>57</v>
      </c>
      <c r="J13" s="92">
        <v>47</v>
      </c>
      <c r="K13" s="92">
        <v>27</v>
      </c>
      <c r="L13" s="93">
        <v>38</v>
      </c>
      <c r="M13" s="93">
        <v>46</v>
      </c>
      <c r="N13" s="93">
        <f t="shared" si="0"/>
        <v>201</v>
      </c>
      <c r="O13" s="94">
        <f t="shared" si="1"/>
        <v>50.249999999999993</v>
      </c>
      <c r="P13" s="13">
        <f t="shared" si="2"/>
        <v>80.25</v>
      </c>
      <c r="Q13" s="84">
        <f t="shared" si="3"/>
        <v>351</v>
      </c>
      <c r="R13" s="14">
        <f t="shared" ref="R13:V13" si="15">H13+30</f>
        <v>62</v>
      </c>
      <c r="S13" s="14">
        <f t="shared" si="15"/>
        <v>87</v>
      </c>
      <c r="T13" s="14">
        <f t="shared" si="15"/>
        <v>77</v>
      </c>
      <c r="U13" s="14">
        <f t="shared" si="15"/>
        <v>57</v>
      </c>
      <c r="V13" s="14">
        <f t="shared" si="15"/>
        <v>68</v>
      </c>
    </row>
    <row r="14" spans="1:22" ht="14.4" x14ac:dyDescent="0.3">
      <c r="A14" s="6">
        <v>13</v>
      </c>
      <c r="B14" s="7" t="s">
        <v>264</v>
      </c>
      <c r="C14" s="7" t="s">
        <v>265</v>
      </c>
      <c r="D14" s="7" t="s">
        <v>266</v>
      </c>
      <c r="E14" s="7"/>
      <c r="F14" s="85">
        <v>40152</v>
      </c>
      <c r="G14" s="86" t="s">
        <v>39</v>
      </c>
      <c r="H14" s="87">
        <v>36</v>
      </c>
      <c r="I14" s="87">
        <v>48</v>
      </c>
      <c r="J14" s="87">
        <v>54</v>
      </c>
      <c r="K14" s="87">
        <v>23</v>
      </c>
      <c r="L14" s="88">
        <v>36</v>
      </c>
      <c r="M14" s="88">
        <v>39</v>
      </c>
      <c r="N14" s="88">
        <f t="shared" si="0"/>
        <v>197</v>
      </c>
      <c r="O14" s="89">
        <f t="shared" si="1"/>
        <v>49.25</v>
      </c>
      <c r="P14" s="13">
        <f t="shared" si="2"/>
        <v>79.25</v>
      </c>
      <c r="Q14" s="84">
        <f t="shared" si="3"/>
        <v>347</v>
      </c>
      <c r="R14" s="14">
        <f t="shared" ref="R14:V14" si="16">H14+30</f>
        <v>66</v>
      </c>
      <c r="S14" s="14">
        <f t="shared" si="16"/>
        <v>78</v>
      </c>
      <c r="T14" s="14">
        <f t="shared" si="16"/>
        <v>84</v>
      </c>
      <c r="U14" s="14">
        <f t="shared" si="16"/>
        <v>53</v>
      </c>
      <c r="V14" s="14">
        <f t="shared" si="16"/>
        <v>66</v>
      </c>
    </row>
    <row r="15" spans="1:22" ht="14.4" x14ac:dyDescent="0.3">
      <c r="A15" s="34">
        <v>14</v>
      </c>
      <c r="B15" s="35" t="s">
        <v>267</v>
      </c>
      <c r="C15" s="35" t="s">
        <v>268</v>
      </c>
      <c r="D15" s="35" t="s">
        <v>269</v>
      </c>
      <c r="E15" s="35"/>
      <c r="F15" s="90">
        <v>39934</v>
      </c>
      <c r="G15" s="91" t="s">
        <v>30</v>
      </c>
      <c r="H15" s="92">
        <v>34</v>
      </c>
      <c r="I15" s="92">
        <v>37</v>
      </c>
      <c r="J15" s="92">
        <v>65</v>
      </c>
      <c r="K15" s="92">
        <v>35</v>
      </c>
      <c r="L15" s="93">
        <v>35</v>
      </c>
      <c r="M15" s="93">
        <v>49</v>
      </c>
      <c r="N15" s="93">
        <f t="shared" si="0"/>
        <v>206</v>
      </c>
      <c r="O15" s="94">
        <f t="shared" si="1"/>
        <v>51.5</v>
      </c>
      <c r="P15" s="13">
        <f t="shared" si="2"/>
        <v>81.5</v>
      </c>
      <c r="Q15" s="84">
        <f t="shared" si="3"/>
        <v>356</v>
      </c>
      <c r="R15" s="14">
        <f t="shared" ref="R15:V15" si="17">H15+30</f>
        <v>64</v>
      </c>
      <c r="S15" s="14">
        <f t="shared" si="17"/>
        <v>67</v>
      </c>
      <c r="T15" s="14">
        <f t="shared" si="17"/>
        <v>95</v>
      </c>
      <c r="U15" s="14">
        <f t="shared" si="17"/>
        <v>65</v>
      </c>
      <c r="V15" s="14">
        <f t="shared" si="17"/>
        <v>65</v>
      </c>
    </row>
    <row r="16" spans="1:22" ht="14.4" x14ac:dyDescent="0.3">
      <c r="A16" s="24">
        <v>15</v>
      </c>
      <c r="B16" s="25" t="s">
        <v>270</v>
      </c>
      <c r="C16" s="25" t="s">
        <v>271</v>
      </c>
      <c r="D16" s="25" t="s">
        <v>272</v>
      </c>
      <c r="E16" s="25"/>
      <c r="F16" s="79">
        <v>39715</v>
      </c>
      <c r="G16" s="80" t="s">
        <v>39</v>
      </c>
      <c r="H16" s="81">
        <v>50</v>
      </c>
      <c r="I16" s="81">
        <v>74</v>
      </c>
      <c r="J16" s="81">
        <v>57</v>
      </c>
      <c r="K16" s="81">
        <v>60</v>
      </c>
      <c r="L16" s="82">
        <v>57</v>
      </c>
      <c r="M16" s="82">
        <v>43</v>
      </c>
      <c r="N16" s="82">
        <f t="shared" si="0"/>
        <v>298</v>
      </c>
      <c r="O16" s="83">
        <f t="shared" si="1"/>
        <v>74.5</v>
      </c>
      <c r="P16" s="13">
        <f t="shared" si="2"/>
        <v>104.5</v>
      </c>
      <c r="Q16" s="84">
        <f t="shared" si="3"/>
        <v>448</v>
      </c>
      <c r="R16" s="14">
        <f t="shared" ref="R16:V16" si="18">H16+30</f>
        <v>80</v>
      </c>
      <c r="S16" s="14">
        <f t="shared" si="18"/>
        <v>104</v>
      </c>
      <c r="T16" s="14">
        <f t="shared" si="18"/>
        <v>87</v>
      </c>
      <c r="U16" s="14">
        <f t="shared" si="18"/>
        <v>90</v>
      </c>
      <c r="V16" s="14">
        <f t="shared" si="18"/>
        <v>87</v>
      </c>
    </row>
    <row r="17" spans="1:22" ht="14.4" x14ac:dyDescent="0.3">
      <c r="A17" s="24">
        <v>16</v>
      </c>
      <c r="B17" s="25" t="s">
        <v>273</v>
      </c>
      <c r="C17" s="25" t="s">
        <v>274</v>
      </c>
      <c r="D17" s="25" t="s">
        <v>275</v>
      </c>
      <c r="E17" s="25"/>
      <c r="F17" s="79">
        <v>40035</v>
      </c>
      <c r="G17" s="80" t="s">
        <v>39</v>
      </c>
      <c r="H17" s="81">
        <v>43</v>
      </c>
      <c r="I17" s="81">
        <v>64</v>
      </c>
      <c r="J17" s="81">
        <v>50</v>
      </c>
      <c r="K17" s="81">
        <v>40</v>
      </c>
      <c r="L17" s="82">
        <v>46</v>
      </c>
      <c r="M17" s="82">
        <v>48</v>
      </c>
      <c r="N17" s="82">
        <f t="shared" si="0"/>
        <v>243</v>
      </c>
      <c r="O17" s="83">
        <f t="shared" si="1"/>
        <v>60.750000000000007</v>
      </c>
      <c r="P17" s="13">
        <f t="shared" si="2"/>
        <v>90.75</v>
      </c>
      <c r="Q17" s="84">
        <f t="shared" si="3"/>
        <v>393</v>
      </c>
      <c r="R17" s="14">
        <f t="shared" ref="R17:V17" si="19">H17+30</f>
        <v>73</v>
      </c>
      <c r="S17" s="14">
        <f t="shared" si="19"/>
        <v>94</v>
      </c>
      <c r="T17" s="14">
        <f t="shared" si="19"/>
        <v>80</v>
      </c>
      <c r="U17" s="14">
        <f t="shared" si="19"/>
        <v>70</v>
      </c>
      <c r="V17" s="14">
        <f t="shared" si="19"/>
        <v>76</v>
      </c>
    </row>
    <row r="18" spans="1:22" ht="14.4" x14ac:dyDescent="0.3">
      <c r="A18" s="24">
        <v>17</v>
      </c>
      <c r="B18" s="25" t="s">
        <v>276</v>
      </c>
      <c r="C18" s="25" t="s">
        <v>277</v>
      </c>
      <c r="D18" s="25" t="s">
        <v>278</v>
      </c>
      <c r="E18" s="25"/>
      <c r="F18" s="79">
        <v>40034</v>
      </c>
      <c r="G18" s="80" t="s">
        <v>39</v>
      </c>
      <c r="H18" s="81">
        <v>49</v>
      </c>
      <c r="I18" s="81">
        <v>59</v>
      </c>
      <c r="J18" s="81">
        <v>58</v>
      </c>
      <c r="K18" s="81">
        <v>36</v>
      </c>
      <c r="L18" s="82">
        <v>42</v>
      </c>
      <c r="M18" s="82">
        <v>48</v>
      </c>
      <c r="N18" s="82">
        <f t="shared" si="0"/>
        <v>244</v>
      </c>
      <c r="O18" s="83">
        <f t="shared" si="1"/>
        <v>61</v>
      </c>
      <c r="P18" s="13">
        <f t="shared" si="2"/>
        <v>91</v>
      </c>
      <c r="Q18" s="84">
        <f t="shared" si="3"/>
        <v>394</v>
      </c>
      <c r="R18" s="14">
        <f t="shared" ref="R18:V18" si="20">H18+30</f>
        <v>79</v>
      </c>
      <c r="S18" s="14">
        <f t="shared" si="20"/>
        <v>89</v>
      </c>
      <c r="T18" s="14">
        <f t="shared" si="20"/>
        <v>88</v>
      </c>
      <c r="U18" s="14">
        <f t="shared" si="20"/>
        <v>66</v>
      </c>
      <c r="V18" s="14">
        <f t="shared" si="20"/>
        <v>72</v>
      </c>
    </row>
    <row r="19" spans="1:22" ht="14.4" x14ac:dyDescent="0.3">
      <c r="A19" s="24">
        <v>18</v>
      </c>
      <c r="B19" s="25" t="s">
        <v>279</v>
      </c>
      <c r="C19" s="25" t="s">
        <v>280</v>
      </c>
      <c r="D19" s="25" t="s">
        <v>162</v>
      </c>
      <c r="E19" s="25"/>
      <c r="F19" s="79">
        <v>39878</v>
      </c>
      <c r="G19" s="80" t="s">
        <v>39</v>
      </c>
      <c r="H19" s="81">
        <v>44</v>
      </c>
      <c r="I19" s="81">
        <v>60</v>
      </c>
      <c r="J19" s="81">
        <v>55</v>
      </c>
      <c r="K19" s="81">
        <v>32</v>
      </c>
      <c r="L19" s="82">
        <v>46</v>
      </c>
      <c r="M19" s="82">
        <v>44</v>
      </c>
      <c r="N19" s="82">
        <f t="shared" si="0"/>
        <v>237</v>
      </c>
      <c r="O19" s="83">
        <f t="shared" si="1"/>
        <v>59.25</v>
      </c>
      <c r="P19" s="13">
        <f t="shared" si="2"/>
        <v>89.25</v>
      </c>
      <c r="Q19" s="84">
        <f t="shared" si="3"/>
        <v>387</v>
      </c>
      <c r="R19" s="14">
        <f t="shared" ref="R19:V19" si="21">H19+30</f>
        <v>74</v>
      </c>
      <c r="S19" s="14">
        <f t="shared" si="21"/>
        <v>90</v>
      </c>
      <c r="T19" s="14">
        <f t="shared" si="21"/>
        <v>85</v>
      </c>
      <c r="U19" s="14">
        <f t="shared" si="21"/>
        <v>62</v>
      </c>
      <c r="V19" s="14">
        <f t="shared" si="21"/>
        <v>76</v>
      </c>
    </row>
    <row r="20" spans="1:22" ht="14.4" x14ac:dyDescent="0.3">
      <c r="A20" s="34">
        <v>19</v>
      </c>
      <c r="B20" s="35" t="s">
        <v>281</v>
      </c>
      <c r="C20" s="35" t="s">
        <v>282</v>
      </c>
      <c r="D20" s="35" t="s">
        <v>283</v>
      </c>
      <c r="E20" s="35"/>
      <c r="F20" s="90">
        <v>39823</v>
      </c>
      <c r="G20" s="91" t="s">
        <v>39</v>
      </c>
      <c r="H20" s="92">
        <v>46</v>
      </c>
      <c r="I20" s="92">
        <v>56</v>
      </c>
      <c r="J20" s="92">
        <v>32</v>
      </c>
      <c r="K20" s="92">
        <v>37</v>
      </c>
      <c r="L20" s="93">
        <v>43</v>
      </c>
      <c r="M20" s="93">
        <v>48</v>
      </c>
      <c r="N20" s="93">
        <f t="shared" si="0"/>
        <v>214</v>
      </c>
      <c r="O20" s="94">
        <f t="shared" si="1"/>
        <v>53.5</v>
      </c>
      <c r="P20" s="13">
        <f t="shared" si="2"/>
        <v>83.5</v>
      </c>
      <c r="Q20" s="84">
        <f t="shared" si="3"/>
        <v>364</v>
      </c>
      <c r="R20" s="14">
        <f t="shared" ref="R20:V20" si="22">H20+30</f>
        <v>76</v>
      </c>
      <c r="S20" s="14">
        <f t="shared" si="22"/>
        <v>86</v>
      </c>
      <c r="T20" s="14">
        <f t="shared" si="22"/>
        <v>62</v>
      </c>
      <c r="U20" s="14">
        <f t="shared" si="22"/>
        <v>67</v>
      </c>
      <c r="V20" s="14">
        <f t="shared" si="22"/>
        <v>73</v>
      </c>
    </row>
    <row r="21" spans="1:22" ht="15.75" customHeight="1" x14ac:dyDescent="0.3">
      <c r="A21" s="34">
        <v>20</v>
      </c>
      <c r="B21" s="35" t="s">
        <v>284</v>
      </c>
      <c r="C21" s="35" t="s">
        <v>285</v>
      </c>
      <c r="D21" s="35" t="s">
        <v>286</v>
      </c>
      <c r="E21" s="35"/>
      <c r="F21" s="90">
        <v>40207</v>
      </c>
      <c r="G21" s="91" t="s">
        <v>39</v>
      </c>
      <c r="H21" s="92">
        <v>46</v>
      </c>
      <c r="I21" s="92">
        <v>56</v>
      </c>
      <c r="J21" s="92">
        <v>34</v>
      </c>
      <c r="K21" s="92">
        <v>28</v>
      </c>
      <c r="L21" s="93">
        <v>47</v>
      </c>
      <c r="M21" s="92">
        <v>47</v>
      </c>
      <c r="N21" s="93">
        <f t="shared" si="0"/>
        <v>211</v>
      </c>
      <c r="O21" s="94">
        <f t="shared" si="1"/>
        <v>52.75</v>
      </c>
      <c r="P21" s="13">
        <f t="shared" si="2"/>
        <v>82.75</v>
      </c>
      <c r="Q21" s="84">
        <f t="shared" si="3"/>
        <v>361</v>
      </c>
      <c r="R21" s="14">
        <f t="shared" ref="R21:V21" si="23">H21+30</f>
        <v>76</v>
      </c>
      <c r="S21" s="14">
        <f t="shared" si="23"/>
        <v>86</v>
      </c>
      <c r="T21" s="14">
        <f t="shared" si="23"/>
        <v>64</v>
      </c>
      <c r="U21" s="14">
        <f t="shared" si="23"/>
        <v>58</v>
      </c>
      <c r="V21" s="14">
        <f t="shared" si="23"/>
        <v>77</v>
      </c>
    </row>
    <row r="22" spans="1:22" ht="15.75" customHeight="1" x14ac:dyDescent="0.3">
      <c r="A22" s="24">
        <v>21</v>
      </c>
      <c r="B22" s="25" t="s">
        <v>287</v>
      </c>
      <c r="C22" s="25" t="s">
        <v>288</v>
      </c>
      <c r="D22" s="25" t="s">
        <v>289</v>
      </c>
      <c r="E22" s="25"/>
      <c r="F22" s="79">
        <v>39940</v>
      </c>
      <c r="G22" s="80" t="s">
        <v>39</v>
      </c>
      <c r="H22" s="81">
        <v>48</v>
      </c>
      <c r="I22" s="81">
        <v>78</v>
      </c>
      <c r="J22" s="81">
        <v>56</v>
      </c>
      <c r="K22" s="81">
        <v>53</v>
      </c>
      <c r="L22" s="82">
        <v>64</v>
      </c>
      <c r="M22" s="82">
        <v>50</v>
      </c>
      <c r="N22" s="82">
        <f t="shared" si="0"/>
        <v>299</v>
      </c>
      <c r="O22" s="83">
        <f t="shared" si="1"/>
        <v>74.75</v>
      </c>
      <c r="P22" s="13">
        <f t="shared" si="2"/>
        <v>104.75</v>
      </c>
      <c r="Q22" s="84">
        <f t="shared" si="3"/>
        <v>449</v>
      </c>
      <c r="R22" s="14">
        <f t="shared" ref="R22:V22" si="24">H22+30</f>
        <v>78</v>
      </c>
      <c r="S22" s="14">
        <f t="shared" si="24"/>
        <v>108</v>
      </c>
      <c r="T22" s="14">
        <f t="shared" si="24"/>
        <v>86</v>
      </c>
      <c r="U22" s="14">
        <f t="shared" si="24"/>
        <v>83</v>
      </c>
      <c r="V22" s="14">
        <f t="shared" si="24"/>
        <v>94</v>
      </c>
    </row>
    <row r="23" spans="1:22" ht="15.75" customHeight="1" x14ac:dyDescent="0.3">
      <c r="A23" s="24">
        <v>22</v>
      </c>
      <c r="B23" s="25" t="s">
        <v>290</v>
      </c>
      <c r="C23" s="25" t="s">
        <v>291</v>
      </c>
      <c r="D23" s="25" t="s">
        <v>292</v>
      </c>
      <c r="E23" s="25"/>
      <c r="F23" s="79">
        <v>39964</v>
      </c>
      <c r="G23" s="80" t="s">
        <v>30</v>
      </c>
      <c r="H23" s="81">
        <v>54</v>
      </c>
      <c r="I23" s="81">
        <v>65</v>
      </c>
      <c r="J23" s="81">
        <v>73</v>
      </c>
      <c r="K23" s="81">
        <v>55</v>
      </c>
      <c r="L23" s="82">
        <v>74</v>
      </c>
      <c r="M23" s="82">
        <v>46</v>
      </c>
      <c r="N23" s="82">
        <f t="shared" si="0"/>
        <v>321</v>
      </c>
      <c r="O23" s="83">
        <f t="shared" si="1"/>
        <v>80.25</v>
      </c>
      <c r="P23" s="13">
        <f t="shared" si="2"/>
        <v>110.25</v>
      </c>
      <c r="Q23" s="84">
        <f t="shared" si="3"/>
        <v>471</v>
      </c>
      <c r="R23" s="14">
        <f t="shared" ref="R23:V23" si="25">H23+30</f>
        <v>84</v>
      </c>
      <c r="S23" s="14">
        <f t="shared" si="25"/>
        <v>95</v>
      </c>
      <c r="T23" s="14">
        <f t="shared" si="25"/>
        <v>103</v>
      </c>
      <c r="U23" s="14">
        <f t="shared" si="25"/>
        <v>85</v>
      </c>
      <c r="V23" s="14">
        <f t="shared" si="25"/>
        <v>104</v>
      </c>
    </row>
    <row r="24" spans="1:22" ht="15.75" customHeight="1" x14ac:dyDescent="0.3">
      <c r="A24" s="24">
        <v>23</v>
      </c>
      <c r="B24" s="25" t="s">
        <v>293</v>
      </c>
      <c r="C24" s="25" t="s">
        <v>294</v>
      </c>
      <c r="D24" s="25" t="s">
        <v>295</v>
      </c>
      <c r="E24" s="25"/>
      <c r="F24" s="79">
        <v>40128</v>
      </c>
      <c r="G24" s="80" t="s">
        <v>39</v>
      </c>
      <c r="H24" s="81">
        <v>53</v>
      </c>
      <c r="I24" s="81">
        <v>51</v>
      </c>
      <c r="J24" s="81">
        <v>53</v>
      </c>
      <c r="K24" s="81">
        <v>38</v>
      </c>
      <c r="L24" s="82">
        <v>39</v>
      </c>
      <c r="M24" s="82">
        <v>46</v>
      </c>
      <c r="N24" s="82">
        <f t="shared" si="0"/>
        <v>234</v>
      </c>
      <c r="O24" s="83">
        <f t="shared" si="1"/>
        <v>58.5</v>
      </c>
      <c r="P24" s="13">
        <f t="shared" si="2"/>
        <v>88.5</v>
      </c>
      <c r="Q24" s="84">
        <f t="shared" si="3"/>
        <v>384</v>
      </c>
      <c r="R24" s="14">
        <f t="shared" ref="R24:V24" si="26">H24+30</f>
        <v>83</v>
      </c>
      <c r="S24" s="14">
        <f t="shared" si="26"/>
        <v>81</v>
      </c>
      <c r="T24" s="14">
        <f t="shared" si="26"/>
        <v>83</v>
      </c>
      <c r="U24" s="14">
        <f t="shared" si="26"/>
        <v>68</v>
      </c>
      <c r="V24" s="14">
        <f t="shared" si="26"/>
        <v>69</v>
      </c>
    </row>
    <row r="25" spans="1:22" ht="15.75" customHeight="1" x14ac:dyDescent="0.3">
      <c r="A25" s="24">
        <v>24</v>
      </c>
      <c r="B25" s="25" t="s">
        <v>296</v>
      </c>
      <c r="C25" s="25" t="s">
        <v>297</v>
      </c>
      <c r="D25" s="25" t="s">
        <v>298</v>
      </c>
      <c r="E25" s="25"/>
      <c r="F25" s="79">
        <v>40074</v>
      </c>
      <c r="G25" s="80" t="s">
        <v>30</v>
      </c>
      <c r="H25" s="81">
        <v>35</v>
      </c>
      <c r="I25" s="81">
        <v>68</v>
      </c>
      <c r="J25" s="81">
        <v>70</v>
      </c>
      <c r="K25" s="81">
        <v>44</v>
      </c>
      <c r="L25" s="82">
        <v>47</v>
      </c>
      <c r="M25" s="82">
        <v>42</v>
      </c>
      <c r="N25" s="82">
        <f t="shared" si="0"/>
        <v>264</v>
      </c>
      <c r="O25" s="83">
        <f t="shared" si="1"/>
        <v>66</v>
      </c>
      <c r="P25" s="13">
        <f t="shared" si="2"/>
        <v>96</v>
      </c>
      <c r="Q25" s="84">
        <f t="shared" si="3"/>
        <v>414</v>
      </c>
      <c r="R25" s="14">
        <f t="shared" ref="R25:V25" si="27">H25+30</f>
        <v>65</v>
      </c>
      <c r="S25" s="14">
        <f t="shared" si="27"/>
        <v>98</v>
      </c>
      <c r="T25" s="14">
        <f t="shared" si="27"/>
        <v>100</v>
      </c>
      <c r="U25" s="14">
        <f t="shared" si="27"/>
        <v>74</v>
      </c>
      <c r="V25" s="14">
        <f t="shared" si="27"/>
        <v>77</v>
      </c>
    </row>
    <row r="26" spans="1:22" ht="15.75" customHeight="1" x14ac:dyDescent="0.3">
      <c r="A26" s="24">
        <v>25</v>
      </c>
      <c r="B26" s="25" t="s">
        <v>299</v>
      </c>
      <c r="C26" s="25" t="s">
        <v>300</v>
      </c>
      <c r="D26" s="25" t="s">
        <v>301</v>
      </c>
      <c r="E26" s="25"/>
      <c r="F26" s="79">
        <v>39881</v>
      </c>
      <c r="G26" s="80" t="s">
        <v>39</v>
      </c>
      <c r="H26" s="81">
        <v>44</v>
      </c>
      <c r="I26" s="81">
        <v>53</v>
      </c>
      <c r="J26" s="81">
        <v>64</v>
      </c>
      <c r="K26" s="81">
        <v>29</v>
      </c>
      <c r="L26" s="82">
        <v>52</v>
      </c>
      <c r="M26" s="82">
        <v>49</v>
      </c>
      <c r="N26" s="82">
        <f t="shared" si="0"/>
        <v>242</v>
      </c>
      <c r="O26" s="83">
        <f t="shared" si="1"/>
        <v>60.5</v>
      </c>
      <c r="P26" s="13">
        <f t="shared" si="2"/>
        <v>90.5</v>
      </c>
      <c r="Q26" s="84">
        <f t="shared" si="3"/>
        <v>392</v>
      </c>
      <c r="R26" s="14">
        <f t="shared" ref="R26:V26" si="28">H26+30</f>
        <v>74</v>
      </c>
      <c r="S26" s="14">
        <f t="shared" si="28"/>
        <v>83</v>
      </c>
      <c r="T26" s="14">
        <f t="shared" si="28"/>
        <v>94</v>
      </c>
      <c r="U26" s="14">
        <f t="shared" si="28"/>
        <v>59</v>
      </c>
      <c r="V26" s="14">
        <f t="shared" si="28"/>
        <v>82</v>
      </c>
    </row>
    <row r="27" spans="1:22" ht="15.75" customHeight="1" x14ac:dyDescent="0.3">
      <c r="A27" s="24">
        <v>26</v>
      </c>
      <c r="B27" s="25" t="s">
        <v>302</v>
      </c>
      <c r="C27" s="25" t="s">
        <v>303</v>
      </c>
      <c r="D27" s="25" t="s">
        <v>304</v>
      </c>
      <c r="E27" s="25"/>
      <c r="F27" s="79">
        <v>40025</v>
      </c>
      <c r="G27" s="80" t="s">
        <v>30</v>
      </c>
      <c r="H27" s="81">
        <v>43</v>
      </c>
      <c r="I27" s="81">
        <v>59</v>
      </c>
      <c r="J27" s="81">
        <v>54</v>
      </c>
      <c r="K27" s="81">
        <v>55</v>
      </c>
      <c r="L27" s="82">
        <v>59</v>
      </c>
      <c r="M27" s="82">
        <v>46</v>
      </c>
      <c r="N27" s="82">
        <f t="shared" si="0"/>
        <v>270</v>
      </c>
      <c r="O27" s="83">
        <f t="shared" si="1"/>
        <v>67.5</v>
      </c>
      <c r="P27" s="13">
        <f t="shared" si="2"/>
        <v>97.5</v>
      </c>
      <c r="Q27" s="84">
        <f t="shared" si="3"/>
        <v>420</v>
      </c>
      <c r="R27" s="14">
        <f t="shared" ref="R27:V27" si="29">H27+30</f>
        <v>73</v>
      </c>
      <c r="S27" s="14">
        <f t="shared" si="29"/>
        <v>89</v>
      </c>
      <c r="T27" s="14">
        <f t="shared" si="29"/>
        <v>84</v>
      </c>
      <c r="U27" s="14">
        <f t="shared" si="29"/>
        <v>85</v>
      </c>
      <c r="V27" s="14">
        <f t="shared" si="29"/>
        <v>89</v>
      </c>
    </row>
    <row r="28" spans="1:22" ht="15.75" customHeight="1" x14ac:dyDescent="0.3">
      <c r="A28" s="24">
        <v>27</v>
      </c>
      <c r="B28" s="25" t="s">
        <v>305</v>
      </c>
      <c r="C28" s="25" t="s">
        <v>306</v>
      </c>
      <c r="D28" s="25" t="s">
        <v>307</v>
      </c>
      <c r="E28" s="25"/>
      <c r="F28" s="79">
        <v>40001</v>
      </c>
      <c r="G28" s="80" t="s">
        <v>39</v>
      </c>
      <c r="H28" s="81">
        <v>52</v>
      </c>
      <c r="I28" s="81">
        <v>74</v>
      </c>
      <c r="J28" s="81">
        <v>71</v>
      </c>
      <c r="K28" s="81">
        <v>66</v>
      </c>
      <c r="L28" s="82">
        <v>53</v>
      </c>
      <c r="M28" s="82">
        <v>49</v>
      </c>
      <c r="N28" s="82">
        <f t="shared" si="0"/>
        <v>316</v>
      </c>
      <c r="O28" s="83">
        <f t="shared" si="1"/>
        <v>79</v>
      </c>
      <c r="P28" s="13">
        <f t="shared" si="2"/>
        <v>109</v>
      </c>
      <c r="Q28" s="84">
        <f t="shared" si="3"/>
        <v>466</v>
      </c>
      <c r="R28" s="14">
        <f t="shared" ref="R28:V28" si="30">H28+30</f>
        <v>82</v>
      </c>
      <c r="S28" s="14">
        <f t="shared" si="30"/>
        <v>104</v>
      </c>
      <c r="T28" s="14">
        <f t="shared" si="30"/>
        <v>101</v>
      </c>
      <c r="U28" s="14">
        <f t="shared" si="30"/>
        <v>96</v>
      </c>
      <c r="V28" s="14">
        <f t="shared" si="30"/>
        <v>83</v>
      </c>
    </row>
    <row r="29" spans="1:22" ht="15.75" customHeight="1" x14ac:dyDescent="0.3">
      <c r="A29" s="24">
        <v>28</v>
      </c>
      <c r="B29" s="25" t="s">
        <v>308</v>
      </c>
      <c r="C29" s="25" t="s">
        <v>309</v>
      </c>
      <c r="D29" s="25" t="s">
        <v>310</v>
      </c>
      <c r="E29" s="25"/>
      <c r="F29" s="79">
        <v>39861</v>
      </c>
      <c r="G29" s="80" t="s">
        <v>30</v>
      </c>
      <c r="H29" s="81">
        <v>45</v>
      </c>
      <c r="I29" s="81">
        <v>43</v>
      </c>
      <c r="J29" s="81">
        <v>48</v>
      </c>
      <c r="K29" s="81">
        <v>41</v>
      </c>
      <c r="L29" s="82">
        <v>58</v>
      </c>
      <c r="M29" s="82">
        <v>48</v>
      </c>
      <c r="N29" s="82">
        <f t="shared" si="0"/>
        <v>235</v>
      </c>
      <c r="O29" s="83">
        <f t="shared" si="1"/>
        <v>58.75</v>
      </c>
      <c r="P29" s="13">
        <f t="shared" si="2"/>
        <v>88.75</v>
      </c>
      <c r="Q29" s="84">
        <f t="shared" si="3"/>
        <v>385</v>
      </c>
      <c r="R29" s="14">
        <f t="shared" ref="R29:V29" si="31">H29+30</f>
        <v>75</v>
      </c>
      <c r="S29" s="14">
        <f t="shared" si="31"/>
        <v>73</v>
      </c>
      <c r="T29" s="14">
        <f t="shared" si="31"/>
        <v>78</v>
      </c>
      <c r="U29" s="14">
        <f t="shared" si="31"/>
        <v>71</v>
      </c>
      <c r="V29" s="14">
        <f t="shared" si="31"/>
        <v>88</v>
      </c>
    </row>
    <row r="30" spans="1:22" ht="15.75" customHeight="1" x14ac:dyDescent="0.3">
      <c r="A30" s="24">
        <v>29</v>
      </c>
      <c r="B30" s="25" t="s">
        <v>311</v>
      </c>
      <c r="C30" s="25" t="s">
        <v>312</v>
      </c>
      <c r="D30" s="25" t="s">
        <v>313</v>
      </c>
      <c r="E30" s="25"/>
      <c r="F30" s="79">
        <v>39971</v>
      </c>
      <c r="G30" s="80" t="s">
        <v>30</v>
      </c>
      <c r="H30" s="81">
        <v>50</v>
      </c>
      <c r="I30" s="81">
        <v>75</v>
      </c>
      <c r="J30" s="81">
        <v>64</v>
      </c>
      <c r="K30" s="81">
        <v>51</v>
      </c>
      <c r="L30" s="82">
        <v>63</v>
      </c>
      <c r="M30" s="81">
        <v>48</v>
      </c>
      <c r="N30" s="82">
        <f t="shared" si="0"/>
        <v>303</v>
      </c>
      <c r="O30" s="83">
        <f t="shared" si="1"/>
        <v>75.75</v>
      </c>
      <c r="P30" s="13">
        <f t="shared" si="2"/>
        <v>105.75</v>
      </c>
      <c r="Q30" s="84">
        <f t="shared" si="3"/>
        <v>453</v>
      </c>
      <c r="R30" s="14">
        <f t="shared" ref="R30:V30" si="32">H30+30</f>
        <v>80</v>
      </c>
      <c r="S30" s="14">
        <f t="shared" si="32"/>
        <v>105</v>
      </c>
      <c r="T30" s="14">
        <f t="shared" si="32"/>
        <v>94</v>
      </c>
      <c r="U30" s="14">
        <f t="shared" si="32"/>
        <v>81</v>
      </c>
      <c r="V30" s="14">
        <f t="shared" si="32"/>
        <v>93</v>
      </c>
    </row>
    <row r="31" spans="1:22" ht="15.75" customHeight="1" x14ac:dyDescent="0.3">
      <c r="A31" s="24">
        <v>30</v>
      </c>
      <c r="B31" s="25" t="s">
        <v>314</v>
      </c>
      <c r="C31" s="25" t="s">
        <v>315</v>
      </c>
      <c r="D31" s="25" t="s">
        <v>316</v>
      </c>
      <c r="E31" s="25"/>
      <c r="F31" s="79">
        <v>40080</v>
      </c>
      <c r="G31" s="80" t="s">
        <v>30</v>
      </c>
      <c r="H31" s="81">
        <v>39</v>
      </c>
      <c r="I31" s="81">
        <v>72</v>
      </c>
      <c r="J31" s="81">
        <v>73</v>
      </c>
      <c r="K31" s="81">
        <v>71</v>
      </c>
      <c r="L31" s="82">
        <v>57</v>
      </c>
      <c r="M31" s="82">
        <v>50</v>
      </c>
      <c r="N31" s="82">
        <f t="shared" si="0"/>
        <v>312</v>
      </c>
      <c r="O31" s="83">
        <f t="shared" si="1"/>
        <v>78</v>
      </c>
      <c r="P31" s="13">
        <f t="shared" si="2"/>
        <v>108</v>
      </c>
      <c r="Q31" s="84">
        <f t="shared" si="3"/>
        <v>462</v>
      </c>
      <c r="R31" s="14">
        <f t="shared" ref="R31:V31" si="33">H31+30</f>
        <v>69</v>
      </c>
      <c r="S31" s="14">
        <f t="shared" si="33"/>
        <v>102</v>
      </c>
      <c r="T31" s="14">
        <f t="shared" si="33"/>
        <v>103</v>
      </c>
      <c r="U31" s="14">
        <f t="shared" si="33"/>
        <v>101</v>
      </c>
      <c r="V31" s="14">
        <f t="shared" si="33"/>
        <v>87</v>
      </c>
    </row>
    <row r="32" spans="1:22" ht="15.75" customHeight="1" x14ac:dyDescent="0.3">
      <c r="A32" s="24">
        <v>31</v>
      </c>
      <c r="B32" s="25" t="s">
        <v>317</v>
      </c>
      <c r="C32" s="25" t="s">
        <v>318</v>
      </c>
      <c r="D32" s="25" t="s">
        <v>319</v>
      </c>
      <c r="E32" s="25"/>
      <c r="F32" s="79">
        <v>40102</v>
      </c>
      <c r="G32" s="80" t="s">
        <v>39</v>
      </c>
      <c r="H32" s="81">
        <v>49</v>
      </c>
      <c r="I32" s="81">
        <v>55</v>
      </c>
      <c r="J32" s="81">
        <v>57</v>
      </c>
      <c r="K32" s="81">
        <v>39</v>
      </c>
      <c r="L32" s="82">
        <v>51</v>
      </c>
      <c r="M32" s="82">
        <v>49</v>
      </c>
      <c r="N32" s="82">
        <f t="shared" si="0"/>
        <v>251</v>
      </c>
      <c r="O32" s="83">
        <f t="shared" si="1"/>
        <v>62.749999999999993</v>
      </c>
      <c r="P32" s="13">
        <f t="shared" si="2"/>
        <v>92.75</v>
      </c>
      <c r="Q32" s="84">
        <f t="shared" si="3"/>
        <v>401</v>
      </c>
      <c r="R32" s="14">
        <f t="shared" ref="R32:V32" si="34">H32+30</f>
        <v>79</v>
      </c>
      <c r="S32" s="14">
        <f t="shared" si="34"/>
        <v>85</v>
      </c>
      <c r="T32" s="14">
        <f t="shared" si="34"/>
        <v>87</v>
      </c>
      <c r="U32" s="14">
        <f t="shared" si="34"/>
        <v>69</v>
      </c>
      <c r="V32" s="14">
        <f t="shared" si="34"/>
        <v>81</v>
      </c>
    </row>
    <row r="33" spans="1:22" ht="15.75" customHeight="1" x14ac:dyDescent="0.3">
      <c r="A33" s="6">
        <v>32</v>
      </c>
      <c r="B33" s="7" t="s">
        <v>320</v>
      </c>
      <c r="C33" s="7" t="s">
        <v>321</v>
      </c>
      <c r="D33" s="7" t="s">
        <v>322</v>
      </c>
      <c r="E33" s="7"/>
      <c r="F33" s="85">
        <v>39856</v>
      </c>
      <c r="G33" s="86" t="s">
        <v>30</v>
      </c>
      <c r="H33" s="87">
        <v>38</v>
      </c>
      <c r="I33" s="87">
        <v>47</v>
      </c>
      <c r="J33" s="87">
        <v>40</v>
      </c>
      <c r="K33" s="87">
        <v>16</v>
      </c>
      <c r="L33" s="88">
        <v>23</v>
      </c>
      <c r="M33" s="88">
        <v>39</v>
      </c>
      <c r="N33" s="88">
        <f t="shared" si="0"/>
        <v>164</v>
      </c>
      <c r="O33" s="89">
        <f t="shared" si="1"/>
        <v>41</v>
      </c>
      <c r="P33" s="13">
        <f t="shared" si="2"/>
        <v>71</v>
      </c>
      <c r="Q33" s="84">
        <f t="shared" si="3"/>
        <v>314</v>
      </c>
      <c r="R33" s="14">
        <f t="shared" ref="R33:V33" si="35">H33+30</f>
        <v>68</v>
      </c>
      <c r="S33" s="14">
        <f t="shared" si="35"/>
        <v>77</v>
      </c>
      <c r="T33" s="14">
        <f t="shared" si="35"/>
        <v>70</v>
      </c>
      <c r="U33" s="14">
        <f t="shared" si="35"/>
        <v>46</v>
      </c>
      <c r="V33" s="14">
        <f t="shared" si="35"/>
        <v>53</v>
      </c>
    </row>
    <row r="34" spans="1:22" ht="15.75" customHeight="1" x14ac:dyDescent="0.3">
      <c r="A34" s="24">
        <v>33</v>
      </c>
      <c r="B34" s="25" t="s">
        <v>323</v>
      </c>
      <c r="C34" s="25" t="s">
        <v>324</v>
      </c>
      <c r="D34" s="25" t="s">
        <v>325</v>
      </c>
      <c r="E34" s="25"/>
      <c r="F34" s="79">
        <v>40022</v>
      </c>
      <c r="G34" s="80" t="s">
        <v>30</v>
      </c>
      <c r="H34" s="81">
        <v>45</v>
      </c>
      <c r="I34" s="81">
        <v>60</v>
      </c>
      <c r="J34" s="81">
        <v>65</v>
      </c>
      <c r="K34" s="81">
        <v>57</v>
      </c>
      <c r="L34" s="82">
        <v>43</v>
      </c>
      <c r="M34" s="82">
        <v>48</v>
      </c>
      <c r="N34" s="82">
        <f t="shared" si="0"/>
        <v>270</v>
      </c>
      <c r="O34" s="83">
        <f t="shared" si="1"/>
        <v>67.5</v>
      </c>
      <c r="P34" s="13">
        <f t="shared" si="2"/>
        <v>97.5</v>
      </c>
      <c r="Q34" s="84">
        <f t="shared" si="3"/>
        <v>420</v>
      </c>
      <c r="R34" s="14">
        <f t="shared" ref="R34:V34" si="36">H34+30</f>
        <v>75</v>
      </c>
      <c r="S34" s="14">
        <f t="shared" si="36"/>
        <v>90</v>
      </c>
      <c r="T34" s="14">
        <f t="shared" si="36"/>
        <v>95</v>
      </c>
      <c r="U34" s="14">
        <f t="shared" si="36"/>
        <v>87</v>
      </c>
      <c r="V34" s="14">
        <f t="shared" si="36"/>
        <v>73</v>
      </c>
    </row>
    <row r="35" spans="1:22" ht="15.75" customHeight="1" x14ac:dyDescent="0.3">
      <c r="A35" s="24">
        <v>34</v>
      </c>
      <c r="B35" s="25" t="s">
        <v>326</v>
      </c>
      <c r="C35" s="25" t="s">
        <v>327</v>
      </c>
      <c r="D35" s="25" t="s">
        <v>328</v>
      </c>
      <c r="E35" s="25"/>
      <c r="F35" s="79">
        <v>39886</v>
      </c>
      <c r="G35" s="80" t="s">
        <v>30</v>
      </c>
      <c r="H35" s="81">
        <v>46</v>
      </c>
      <c r="I35" s="81">
        <v>61</v>
      </c>
      <c r="J35" s="81">
        <v>71</v>
      </c>
      <c r="K35" s="81">
        <v>56</v>
      </c>
      <c r="L35" s="82">
        <v>45</v>
      </c>
      <c r="M35" s="82">
        <v>45</v>
      </c>
      <c r="N35" s="82">
        <f t="shared" si="0"/>
        <v>279</v>
      </c>
      <c r="O35" s="83">
        <f t="shared" si="1"/>
        <v>69.75</v>
      </c>
      <c r="P35" s="13">
        <f t="shared" si="2"/>
        <v>99.75</v>
      </c>
      <c r="Q35" s="84">
        <f t="shared" si="3"/>
        <v>429</v>
      </c>
      <c r="R35" s="14">
        <f t="shared" ref="R35:V35" si="37">H35+30</f>
        <v>76</v>
      </c>
      <c r="S35" s="14">
        <f t="shared" si="37"/>
        <v>91</v>
      </c>
      <c r="T35" s="14">
        <f t="shared" si="37"/>
        <v>101</v>
      </c>
      <c r="U35" s="14">
        <f t="shared" si="37"/>
        <v>86</v>
      </c>
      <c r="V35" s="14">
        <f t="shared" si="37"/>
        <v>75</v>
      </c>
    </row>
    <row r="36" spans="1:22" ht="15.75" customHeight="1" x14ac:dyDescent="0.3">
      <c r="A36" s="24">
        <v>35</v>
      </c>
      <c r="B36" s="25" t="s">
        <v>329</v>
      </c>
      <c r="C36" s="25" t="s">
        <v>330</v>
      </c>
      <c r="D36" s="25" t="s">
        <v>331</v>
      </c>
      <c r="E36" s="25"/>
      <c r="F36" s="79">
        <v>40214</v>
      </c>
      <c r="G36" s="80" t="s">
        <v>39</v>
      </c>
      <c r="H36" s="81">
        <v>56</v>
      </c>
      <c r="I36" s="81">
        <v>75</v>
      </c>
      <c r="J36" s="81">
        <v>56</v>
      </c>
      <c r="K36" s="81">
        <v>44</v>
      </c>
      <c r="L36" s="82">
        <v>65</v>
      </c>
      <c r="M36" s="82">
        <v>49</v>
      </c>
      <c r="N36" s="82">
        <f t="shared" si="0"/>
        <v>296</v>
      </c>
      <c r="O36" s="83">
        <f t="shared" si="1"/>
        <v>74</v>
      </c>
      <c r="P36" s="13">
        <f t="shared" si="2"/>
        <v>104</v>
      </c>
      <c r="Q36" s="84">
        <f t="shared" si="3"/>
        <v>446</v>
      </c>
      <c r="R36" s="14">
        <f t="shared" ref="R36:V36" si="38">H36+30</f>
        <v>86</v>
      </c>
      <c r="S36" s="14">
        <f t="shared" si="38"/>
        <v>105</v>
      </c>
      <c r="T36" s="14">
        <f t="shared" si="38"/>
        <v>86</v>
      </c>
      <c r="U36" s="14">
        <f t="shared" si="38"/>
        <v>74</v>
      </c>
      <c r="V36" s="14">
        <f t="shared" si="38"/>
        <v>95</v>
      </c>
    </row>
    <row r="37" spans="1:22" ht="15.75" customHeight="1" x14ac:dyDescent="0.3">
      <c r="A37" s="24">
        <v>36</v>
      </c>
      <c r="B37" s="25" t="s">
        <v>332</v>
      </c>
      <c r="C37" s="25" t="s">
        <v>333</v>
      </c>
      <c r="D37" s="25" t="s">
        <v>334</v>
      </c>
      <c r="E37" s="25"/>
      <c r="F37" s="79">
        <v>40053</v>
      </c>
      <c r="G37" s="80" t="s">
        <v>30</v>
      </c>
      <c r="H37" s="81">
        <v>56</v>
      </c>
      <c r="I37" s="81">
        <v>68</v>
      </c>
      <c r="J37" s="81">
        <v>68</v>
      </c>
      <c r="K37" s="81">
        <v>65</v>
      </c>
      <c r="L37" s="82">
        <v>72</v>
      </c>
      <c r="M37" s="82">
        <v>49</v>
      </c>
      <c r="N37" s="82">
        <f t="shared" si="0"/>
        <v>329</v>
      </c>
      <c r="O37" s="83">
        <f t="shared" si="1"/>
        <v>82.25</v>
      </c>
      <c r="P37" s="13">
        <f t="shared" si="2"/>
        <v>112.25</v>
      </c>
      <c r="Q37" s="84">
        <f t="shared" si="3"/>
        <v>479</v>
      </c>
      <c r="R37" s="14">
        <f t="shared" ref="R37:V37" si="39">H37+30</f>
        <v>86</v>
      </c>
      <c r="S37" s="14">
        <f t="shared" si="39"/>
        <v>98</v>
      </c>
      <c r="T37" s="14">
        <f t="shared" si="39"/>
        <v>98</v>
      </c>
      <c r="U37" s="14">
        <f t="shared" si="39"/>
        <v>95</v>
      </c>
      <c r="V37" s="14">
        <f t="shared" si="39"/>
        <v>102</v>
      </c>
    </row>
    <row r="38" spans="1:22" ht="15.75" customHeight="1" x14ac:dyDescent="0.3">
      <c r="A38" s="24">
        <v>37</v>
      </c>
      <c r="B38" s="25" t="s">
        <v>335</v>
      </c>
      <c r="C38" s="25" t="s">
        <v>336</v>
      </c>
      <c r="D38" s="25" t="s">
        <v>337</v>
      </c>
      <c r="E38" s="25"/>
      <c r="F38" s="79">
        <v>39868</v>
      </c>
      <c r="G38" s="80" t="s">
        <v>30</v>
      </c>
      <c r="H38" s="81">
        <v>53</v>
      </c>
      <c r="I38" s="81">
        <v>57</v>
      </c>
      <c r="J38" s="81">
        <v>60</v>
      </c>
      <c r="K38" s="81">
        <v>47</v>
      </c>
      <c r="L38" s="82">
        <v>65</v>
      </c>
      <c r="M38" s="82">
        <v>48</v>
      </c>
      <c r="N38" s="82">
        <f t="shared" si="0"/>
        <v>282</v>
      </c>
      <c r="O38" s="83">
        <f t="shared" si="1"/>
        <v>70.5</v>
      </c>
      <c r="P38" s="13">
        <f t="shared" si="2"/>
        <v>100.5</v>
      </c>
      <c r="Q38" s="84">
        <f t="shared" si="3"/>
        <v>432</v>
      </c>
      <c r="R38" s="14">
        <f t="shared" ref="R38:V38" si="40">H38+30</f>
        <v>83</v>
      </c>
      <c r="S38" s="14">
        <f t="shared" si="40"/>
        <v>87</v>
      </c>
      <c r="T38" s="14">
        <f t="shared" si="40"/>
        <v>90</v>
      </c>
      <c r="U38" s="14">
        <f t="shared" si="40"/>
        <v>77</v>
      </c>
      <c r="V38" s="14">
        <f t="shared" si="40"/>
        <v>95</v>
      </c>
    </row>
    <row r="39" spans="1:22" ht="15.75" customHeight="1" x14ac:dyDescent="0.3">
      <c r="A39" s="24">
        <v>38</v>
      </c>
      <c r="B39" s="25" t="s">
        <v>338</v>
      </c>
      <c r="C39" s="25" t="s">
        <v>339</v>
      </c>
      <c r="D39" s="25" t="s">
        <v>340</v>
      </c>
      <c r="E39" s="25"/>
      <c r="F39" s="79">
        <v>39927</v>
      </c>
      <c r="G39" s="80" t="s">
        <v>39</v>
      </c>
      <c r="H39" s="81">
        <v>50</v>
      </c>
      <c r="I39" s="81">
        <v>80</v>
      </c>
      <c r="J39" s="81">
        <v>58</v>
      </c>
      <c r="K39" s="81">
        <v>66</v>
      </c>
      <c r="L39" s="82">
        <v>72</v>
      </c>
      <c r="M39" s="82">
        <v>49</v>
      </c>
      <c r="N39" s="82">
        <f t="shared" si="0"/>
        <v>326</v>
      </c>
      <c r="O39" s="83">
        <f t="shared" si="1"/>
        <v>81.5</v>
      </c>
      <c r="P39" s="13">
        <f t="shared" si="2"/>
        <v>111.5</v>
      </c>
      <c r="Q39" s="84">
        <f t="shared" si="3"/>
        <v>476</v>
      </c>
      <c r="R39" s="14">
        <f t="shared" ref="R39:V39" si="41">H39+30</f>
        <v>80</v>
      </c>
      <c r="S39" s="14">
        <f t="shared" si="41"/>
        <v>110</v>
      </c>
      <c r="T39" s="14">
        <f t="shared" si="41"/>
        <v>88</v>
      </c>
      <c r="U39" s="14">
        <f t="shared" si="41"/>
        <v>96</v>
      </c>
      <c r="V39" s="14">
        <f t="shared" si="41"/>
        <v>102</v>
      </c>
    </row>
    <row r="40" spans="1:22" ht="15.75" customHeight="1" x14ac:dyDescent="0.3">
      <c r="A40" s="24">
        <v>39</v>
      </c>
      <c r="B40" s="25" t="s">
        <v>341</v>
      </c>
      <c r="C40" s="25" t="s">
        <v>342</v>
      </c>
      <c r="D40" s="25" t="s">
        <v>343</v>
      </c>
      <c r="E40" s="25"/>
      <c r="F40" s="79">
        <v>40114</v>
      </c>
      <c r="G40" s="80" t="s">
        <v>30</v>
      </c>
      <c r="H40" s="81">
        <v>55</v>
      </c>
      <c r="I40" s="81">
        <v>70</v>
      </c>
      <c r="J40" s="81">
        <v>76</v>
      </c>
      <c r="K40" s="81">
        <v>69</v>
      </c>
      <c r="L40" s="82">
        <v>61</v>
      </c>
      <c r="M40" s="82">
        <v>49</v>
      </c>
      <c r="N40" s="82">
        <f t="shared" si="0"/>
        <v>331</v>
      </c>
      <c r="O40" s="83">
        <f t="shared" si="1"/>
        <v>82.75</v>
      </c>
      <c r="P40" s="13">
        <f t="shared" si="2"/>
        <v>112.75</v>
      </c>
      <c r="Q40" s="84">
        <f t="shared" si="3"/>
        <v>481</v>
      </c>
      <c r="R40" s="14">
        <f t="shared" ref="R40:V40" si="42">H40+30</f>
        <v>85</v>
      </c>
      <c r="S40" s="14">
        <f t="shared" si="42"/>
        <v>100</v>
      </c>
      <c r="T40" s="14">
        <f t="shared" si="42"/>
        <v>106</v>
      </c>
      <c r="U40" s="14">
        <f t="shared" si="42"/>
        <v>99</v>
      </c>
      <c r="V40" s="14">
        <f t="shared" si="42"/>
        <v>91</v>
      </c>
    </row>
    <row r="41" spans="1:22" ht="15.75" customHeight="1" x14ac:dyDescent="0.3">
      <c r="A41" s="24">
        <v>40</v>
      </c>
      <c r="B41" s="25" t="s">
        <v>344</v>
      </c>
      <c r="C41" s="25" t="s">
        <v>345</v>
      </c>
      <c r="D41" s="25" t="s">
        <v>346</v>
      </c>
      <c r="E41" s="25"/>
      <c r="F41" s="79">
        <v>40172</v>
      </c>
      <c r="G41" s="80" t="s">
        <v>30</v>
      </c>
      <c r="H41" s="81">
        <v>35</v>
      </c>
      <c r="I41" s="81">
        <v>43</v>
      </c>
      <c r="J41" s="81">
        <v>61</v>
      </c>
      <c r="K41" s="81">
        <v>41</v>
      </c>
      <c r="L41" s="82">
        <v>41</v>
      </c>
      <c r="M41" s="82">
        <v>50</v>
      </c>
      <c r="N41" s="82">
        <f t="shared" si="0"/>
        <v>221</v>
      </c>
      <c r="O41" s="83">
        <f t="shared" si="1"/>
        <v>55.25</v>
      </c>
      <c r="P41" s="13">
        <f t="shared" si="2"/>
        <v>85.25</v>
      </c>
      <c r="Q41" s="84">
        <f t="shared" si="3"/>
        <v>371</v>
      </c>
      <c r="R41" s="14">
        <f t="shared" ref="R41:V41" si="43">H41+30</f>
        <v>65</v>
      </c>
      <c r="S41" s="14">
        <f t="shared" si="43"/>
        <v>73</v>
      </c>
      <c r="T41" s="14">
        <f t="shared" si="43"/>
        <v>91</v>
      </c>
      <c r="U41" s="14">
        <f t="shared" si="43"/>
        <v>71</v>
      </c>
      <c r="V41" s="14">
        <f t="shared" si="43"/>
        <v>71</v>
      </c>
    </row>
    <row r="42" spans="1:22" ht="15.75" customHeight="1" x14ac:dyDescent="0.3">
      <c r="A42" s="6">
        <v>41</v>
      </c>
      <c r="B42" s="7" t="s">
        <v>347</v>
      </c>
      <c r="C42" s="7" t="s">
        <v>348</v>
      </c>
      <c r="D42" s="7" t="s">
        <v>349</v>
      </c>
      <c r="E42" s="7"/>
      <c r="F42" s="85">
        <v>39939</v>
      </c>
      <c r="G42" s="86" t="s">
        <v>30</v>
      </c>
      <c r="H42" s="87">
        <v>37</v>
      </c>
      <c r="I42" s="87">
        <v>51</v>
      </c>
      <c r="J42" s="87">
        <v>39</v>
      </c>
      <c r="K42" s="87">
        <v>30</v>
      </c>
      <c r="L42" s="88">
        <v>42</v>
      </c>
      <c r="M42" s="88">
        <v>45</v>
      </c>
      <c r="N42" s="88">
        <f t="shared" si="0"/>
        <v>199</v>
      </c>
      <c r="O42" s="89">
        <f t="shared" si="1"/>
        <v>49.75</v>
      </c>
      <c r="P42" s="13">
        <f t="shared" si="2"/>
        <v>79.75</v>
      </c>
      <c r="Q42" s="84">
        <f t="shared" si="3"/>
        <v>349</v>
      </c>
      <c r="R42" s="14">
        <f t="shared" ref="R42:V42" si="44">H42+30</f>
        <v>67</v>
      </c>
      <c r="S42" s="14">
        <f t="shared" si="44"/>
        <v>81</v>
      </c>
      <c r="T42" s="14">
        <f t="shared" si="44"/>
        <v>69</v>
      </c>
      <c r="U42" s="14">
        <f t="shared" si="44"/>
        <v>60</v>
      </c>
      <c r="V42" s="14">
        <f t="shared" si="44"/>
        <v>72</v>
      </c>
    </row>
    <row r="43" spans="1:22" ht="15.75" customHeight="1" x14ac:dyDescent="0.3">
      <c r="A43" s="15">
        <v>42</v>
      </c>
      <c r="B43" s="16" t="s">
        <v>350</v>
      </c>
      <c r="C43" s="16" t="s">
        <v>351</v>
      </c>
      <c r="D43" s="16" t="s">
        <v>352</v>
      </c>
      <c r="E43" s="16"/>
      <c r="F43" s="59">
        <v>40133</v>
      </c>
      <c r="G43" s="95" t="s">
        <v>39</v>
      </c>
      <c r="H43" s="61">
        <v>31</v>
      </c>
      <c r="I43" s="61">
        <v>45</v>
      </c>
      <c r="J43" s="61">
        <v>24</v>
      </c>
      <c r="K43" s="61">
        <v>29</v>
      </c>
      <c r="L43" s="62">
        <v>26</v>
      </c>
      <c r="M43" s="62">
        <v>41</v>
      </c>
      <c r="N43" s="62">
        <f t="shared" si="0"/>
        <v>155</v>
      </c>
      <c r="O43" s="63">
        <f t="shared" si="1"/>
        <v>38.75</v>
      </c>
      <c r="P43" s="13">
        <f t="shared" si="2"/>
        <v>68.75</v>
      </c>
      <c r="Q43" s="84">
        <f t="shared" si="3"/>
        <v>305</v>
      </c>
      <c r="R43" s="14">
        <f t="shared" ref="R43:V43" si="45">H43+30</f>
        <v>61</v>
      </c>
      <c r="S43" s="14">
        <f t="shared" si="45"/>
        <v>75</v>
      </c>
      <c r="T43" s="14">
        <f t="shared" si="45"/>
        <v>54</v>
      </c>
      <c r="U43" s="14">
        <f t="shared" si="45"/>
        <v>59</v>
      </c>
      <c r="V43" s="14">
        <f t="shared" si="45"/>
        <v>56</v>
      </c>
    </row>
    <row r="44" spans="1:22" ht="15.75" customHeight="1" x14ac:dyDescent="0.3">
      <c r="A44" s="24">
        <v>43</v>
      </c>
      <c r="B44" s="25" t="s">
        <v>353</v>
      </c>
      <c r="C44" s="25" t="s">
        <v>354</v>
      </c>
      <c r="D44" s="25" t="s">
        <v>355</v>
      </c>
      <c r="E44" s="25"/>
      <c r="F44" s="79">
        <v>39832</v>
      </c>
      <c r="G44" s="80" t="s">
        <v>30</v>
      </c>
      <c r="H44" s="81">
        <v>45</v>
      </c>
      <c r="I44" s="81">
        <v>66</v>
      </c>
      <c r="J44" s="81">
        <v>50</v>
      </c>
      <c r="K44" s="81">
        <v>37</v>
      </c>
      <c r="L44" s="82">
        <v>59</v>
      </c>
      <c r="M44" s="82">
        <v>46</v>
      </c>
      <c r="N44" s="82">
        <f t="shared" si="0"/>
        <v>257</v>
      </c>
      <c r="O44" s="83">
        <f t="shared" si="1"/>
        <v>64.25</v>
      </c>
      <c r="P44" s="13">
        <f t="shared" si="2"/>
        <v>94.25</v>
      </c>
      <c r="Q44" s="84">
        <f t="shared" si="3"/>
        <v>407</v>
      </c>
      <c r="R44" s="14">
        <f t="shared" ref="R44:V44" si="46">H44+30</f>
        <v>75</v>
      </c>
      <c r="S44" s="14">
        <f t="shared" si="46"/>
        <v>96</v>
      </c>
      <c r="T44" s="14">
        <f t="shared" si="46"/>
        <v>80</v>
      </c>
      <c r="U44" s="14">
        <f t="shared" si="46"/>
        <v>67</v>
      </c>
      <c r="V44" s="14">
        <f t="shared" si="46"/>
        <v>89</v>
      </c>
    </row>
    <row r="45" spans="1:22" ht="15.75" customHeight="1" x14ac:dyDescent="0.3">
      <c r="A45" s="6">
        <v>44</v>
      </c>
      <c r="B45" s="7" t="s">
        <v>356</v>
      </c>
      <c r="C45" s="7" t="s">
        <v>357</v>
      </c>
      <c r="D45" s="7" t="s">
        <v>358</v>
      </c>
      <c r="E45" s="7"/>
      <c r="F45" s="85">
        <v>40106</v>
      </c>
      <c r="G45" s="86" t="s">
        <v>30</v>
      </c>
      <c r="H45" s="87">
        <v>34</v>
      </c>
      <c r="I45" s="87">
        <v>40</v>
      </c>
      <c r="J45" s="87">
        <v>45</v>
      </c>
      <c r="K45" s="87">
        <v>23</v>
      </c>
      <c r="L45" s="88">
        <v>28</v>
      </c>
      <c r="M45" s="88">
        <v>39</v>
      </c>
      <c r="N45" s="88">
        <f t="shared" si="0"/>
        <v>170</v>
      </c>
      <c r="O45" s="89">
        <f t="shared" si="1"/>
        <v>42.5</v>
      </c>
      <c r="P45" s="13">
        <f t="shared" si="2"/>
        <v>72.5</v>
      </c>
      <c r="Q45" s="84">
        <f t="shared" si="3"/>
        <v>320</v>
      </c>
      <c r="R45" s="14">
        <f t="shared" ref="R45:V45" si="47">H45+30</f>
        <v>64</v>
      </c>
      <c r="S45" s="14">
        <f t="shared" si="47"/>
        <v>70</v>
      </c>
      <c r="T45" s="14">
        <f t="shared" si="47"/>
        <v>75</v>
      </c>
      <c r="U45" s="14">
        <f t="shared" si="47"/>
        <v>53</v>
      </c>
      <c r="V45" s="14">
        <f t="shared" si="47"/>
        <v>58</v>
      </c>
    </row>
    <row r="46" spans="1:22" ht="15.75" customHeight="1" x14ac:dyDescent="0.3">
      <c r="A46" s="24">
        <v>45</v>
      </c>
      <c r="B46" s="25" t="s">
        <v>359</v>
      </c>
      <c r="C46" s="25" t="s">
        <v>360</v>
      </c>
      <c r="D46" s="25" t="s">
        <v>361</v>
      </c>
      <c r="E46" s="25"/>
      <c r="F46" s="79">
        <v>40114</v>
      </c>
      <c r="G46" s="80" t="s">
        <v>30</v>
      </c>
      <c r="H46" s="81">
        <v>42</v>
      </c>
      <c r="I46" s="81">
        <v>48</v>
      </c>
      <c r="J46" s="81">
        <v>63</v>
      </c>
      <c r="K46" s="81">
        <v>60</v>
      </c>
      <c r="L46" s="82">
        <v>47</v>
      </c>
      <c r="M46" s="82">
        <v>49</v>
      </c>
      <c r="N46" s="82">
        <f t="shared" si="0"/>
        <v>260</v>
      </c>
      <c r="O46" s="83">
        <f t="shared" si="1"/>
        <v>65</v>
      </c>
      <c r="P46" s="13">
        <f t="shared" si="2"/>
        <v>95</v>
      </c>
      <c r="Q46" s="84">
        <f t="shared" si="3"/>
        <v>410</v>
      </c>
      <c r="R46" s="14">
        <f t="shared" ref="R46:V46" si="48">H46+30</f>
        <v>72</v>
      </c>
      <c r="S46" s="14">
        <f t="shared" si="48"/>
        <v>78</v>
      </c>
      <c r="T46" s="14">
        <f t="shared" si="48"/>
        <v>93</v>
      </c>
      <c r="U46" s="14">
        <f t="shared" si="48"/>
        <v>90</v>
      </c>
      <c r="V46" s="14">
        <f t="shared" si="48"/>
        <v>77</v>
      </c>
    </row>
    <row r="47" spans="1:22" ht="15.75" customHeight="1" x14ac:dyDescent="0.3">
      <c r="A47" s="24">
        <v>46</v>
      </c>
      <c r="B47" s="25" t="s">
        <v>362</v>
      </c>
      <c r="C47" s="25" t="s">
        <v>363</v>
      </c>
      <c r="D47" s="25" t="s">
        <v>364</v>
      </c>
      <c r="E47" s="25"/>
      <c r="F47" s="79">
        <v>39916</v>
      </c>
      <c r="G47" s="80" t="s">
        <v>39</v>
      </c>
      <c r="H47" s="81">
        <v>55</v>
      </c>
      <c r="I47" s="81">
        <v>72</v>
      </c>
      <c r="J47" s="81">
        <v>52</v>
      </c>
      <c r="K47" s="81">
        <v>53</v>
      </c>
      <c r="L47" s="82">
        <v>62</v>
      </c>
      <c r="M47" s="82">
        <v>50</v>
      </c>
      <c r="N47" s="82">
        <f t="shared" si="0"/>
        <v>294</v>
      </c>
      <c r="O47" s="83">
        <f t="shared" si="1"/>
        <v>73.5</v>
      </c>
      <c r="P47" s="13">
        <f t="shared" si="2"/>
        <v>103.5</v>
      </c>
      <c r="Q47" s="84">
        <f t="shared" si="3"/>
        <v>444</v>
      </c>
      <c r="R47" s="14">
        <f t="shared" ref="R47:V47" si="49">H47+30</f>
        <v>85</v>
      </c>
      <c r="S47" s="14">
        <f t="shared" si="49"/>
        <v>102</v>
      </c>
      <c r="T47" s="14">
        <f t="shared" si="49"/>
        <v>82</v>
      </c>
      <c r="U47" s="14">
        <f t="shared" si="49"/>
        <v>83</v>
      </c>
      <c r="V47" s="14">
        <f t="shared" si="49"/>
        <v>92</v>
      </c>
    </row>
    <row r="48" spans="1:22" ht="15.75" customHeight="1" x14ac:dyDescent="0.3">
      <c r="A48" s="24">
        <v>47</v>
      </c>
      <c r="B48" s="25" t="s">
        <v>365</v>
      </c>
      <c r="C48" s="25" t="s">
        <v>366</v>
      </c>
      <c r="D48" s="25" t="s">
        <v>367</v>
      </c>
      <c r="E48" s="25"/>
      <c r="F48" s="79">
        <v>40300</v>
      </c>
      <c r="G48" s="80" t="s">
        <v>39</v>
      </c>
      <c r="H48" s="81">
        <v>52</v>
      </c>
      <c r="I48" s="81">
        <v>74</v>
      </c>
      <c r="J48" s="81">
        <v>61</v>
      </c>
      <c r="K48" s="81">
        <v>46</v>
      </c>
      <c r="L48" s="82">
        <v>63</v>
      </c>
      <c r="M48" s="82">
        <v>50</v>
      </c>
      <c r="N48" s="82">
        <f t="shared" si="0"/>
        <v>296</v>
      </c>
      <c r="O48" s="83">
        <f t="shared" si="1"/>
        <v>74</v>
      </c>
      <c r="P48" s="13">
        <f t="shared" si="2"/>
        <v>104</v>
      </c>
      <c r="Q48" s="84">
        <f t="shared" si="3"/>
        <v>446</v>
      </c>
      <c r="R48" s="14">
        <f t="shared" ref="R48:V48" si="50">H48+30</f>
        <v>82</v>
      </c>
      <c r="S48" s="14">
        <f t="shared" si="50"/>
        <v>104</v>
      </c>
      <c r="T48" s="14">
        <f t="shared" si="50"/>
        <v>91</v>
      </c>
      <c r="U48" s="14">
        <f t="shared" si="50"/>
        <v>76</v>
      </c>
      <c r="V48" s="14">
        <f t="shared" si="50"/>
        <v>93</v>
      </c>
    </row>
    <row r="49" spans="1:22" ht="15.75" customHeight="1" x14ac:dyDescent="0.3">
      <c r="A49" s="24">
        <v>48</v>
      </c>
      <c r="B49" s="25" t="s">
        <v>368</v>
      </c>
      <c r="C49" s="25" t="s">
        <v>369</v>
      </c>
      <c r="D49" s="25" t="s">
        <v>370</v>
      </c>
      <c r="E49" s="25"/>
      <c r="F49" s="79">
        <v>39972</v>
      </c>
      <c r="G49" s="80" t="s">
        <v>39</v>
      </c>
      <c r="H49" s="96">
        <v>48</v>
      </c>
      <c r="I49" s="96">
        <v>62</v>
      </c>
      <c r="J49" s="96">
        <v>51</v>
      </c>
      <c r="K49" s="96">
        <v>53</v>
      </c>
      <c r="L49" s="96">
        <v>57</v>
      </c>
      <c r="M49" s="96">
        <v>49</v>
      </c>
      <c r="N49" s="82">
        <f t="shared" si="0"/>
        <v>271</v>
      </c>
      <c r="O49" s="83">
        <f t="shared" si="1"/>
        <v>67.75</v>
      </c>
      <c r="P49" s="97">
        <f t="shared" si="2"/>
        <v>97.75</v>
      </c>
      <c r="Q49" s="84">
        <f t="shared" si="3"/>
        <v>421</v>
      </c>
      <c r="R49" s="14">
        <f t="shared" ref="R49:V49" si="51">H49+30</f>
        <v>78</v>
      </c>
      <c r="S49" s="14">
        <f t="shared" si="51"/>
        <v>92</v>
      </c>
      <c r="T49" s="14">
        <f t="shared" si="51"/>
        <v>81</v>
      </c>
      <c r="U49" s="14">
        <f t="shared" si="51"/>
        <v>83</v>
      </c>
      <c r="V49" s="14">
        <f t="shared" si="51"/>
        <v>87</v>
      </c>
    </row>
    <row r="50" spans="1:22" ht="15.75" customHeight="1" x14ac:dyDescent="0.3">
      <c r="G50" s="98"/>
    </row>
    <row r="51" spans="1:22" ht="15.75" customHeight="1" x14ac:dyDescent="0.3">
      <c r="G51" s="98"/>
    </row>
    <row r="52" spans="1:22" ht="15.75" customHeight="1" x14ac:dyDescent="0.3">
      <c r="G52" s="98"/>
    </row>
    <row r="53" spans="1:22" ht="15.75" customHeight="1" x14ac:dyDescent="0.3">
      <c r="C53" s="64" t="s">
        <v>216</v>
      </c>
      <c r="D53" s="65">
        <v>27</v>
      </c>
      <c r="G53" s="98"/>
    </row>
    <row r="54" spans="1:22" ht="15.75" customHeight="1" x14ac:dyDescent="0.3">
      <c r="C54" s="66" t="s">
        <v>217</v>
      </c>
      <c r="D54" s="67">
        <v>6</v>
      </c>
      <c r="G54" s="98"/>
    </row>
    <row r="55" spans="1:22" ht="15.75" customHeight="1" x14ac:dyDescent="0.3">
      <c r="C55" s="68" t="s">
        <v>218</v>
      </c>
      <c r="D55" s="67">
        <v>10</v>
      </c>
      <c r="G55" s="98"/>
    </row>
    <row r="56" spans="1:22" ht="15.75" customHeight="1" x14ac:dyDescent="0.3">
      <c r="C56" s="69" t="s">
        <v>219</v>
      </c>
      <c r="D56" s="67">
        <v>5</v>
      </c>
      <c r="G56" s="98"/>
    </row>
    <row r="57" spans="1:22" ht="15.75" customHeight="1" x14ac:dyDescent="0.3">
      <c r="C57" s="70" t="s">
        <v>220</v>
      </c>
      <c r="D57" s="67">
        <v>0</v>
      </c>
      <c r="G57" s="98"/>
    </row>
    <row r="58" spans="1:22" ht="15.75" customHeight="1" x14ac:dyDescent="0.3">
      <c r="C58" s="71" t="s">
        <v>221</v>
      </c>
      <c r="D58" s="67">
        <v>0</v>
      </c>
      <c r="G58" s="98"/>
    </row>
    <row r="59" spans="1:22" ht="15.75" customHeight="1" x14ac:dyDescent="0.3">
      <c r="D59" s="72">
        <f>SUM(D53:D58)</f>
        <v>48</v>
      </c>
      <c r="G59" s="98"/>
    </row>
    <row r="60" spans="1:22" ht="15.75" customHeight="1" x14ac:dyDescent="0.3">
      <c r="G60" s="98"/>
    </row>
    <row r="61" spans="1:22" ht="15.75" customHeight="1" x14ac:dyDescent="0.3">
      <c r="G61" s="98"/>
    </row>
    <row r="62" spans="1:22" ht="15.75" customHeight="1" x14ac:dyDescent="0.3">
      <c r="G62" s="98"/>
    </row>
    <row r="63" spans="1:22" ht="15.75" customHeight="1" x14ac:dyDescent="0.3">
      <c r="G63" s="98"/>
    </row>
    <row r="64" spans="1:22" ht="15.75" customHeight="1" x14ac:dyDescent="0.3">
      <c r="G64" s="98"/>
    </row>
    <row r="65" spans="7:7" ht="15.75" customHeight="1" x14ac:dyDescent="0.3">
      <c r="G65" s="98"/>
    </row>
    <row r="66" spans="7:7" ht="15.75" customHeight="1" x14ac:dyDescent="0.3">
      <c r="G66" s="98"/>
    </row>
    <row r="67" spans="7:7" ht="15.75" customHeight="1" x14ac:dyDescent="0.3">
      <c r="G67" s="98"/>
    </row>
    <row r="68" spans="7:7" ht="15.75" customHeight="1" x14ac:dyDescent="0.3">
      <c r="G68" s="98"/>
    </row>
    <row r="69" spans="7:7" ht="15.75" customHeight="1" x14ac:dyDescent="0.3">
      <c r="G69" s="98"/>
    </row>
    <row r="70" spans="7:7" ht="15.75" customHeight="1" x14ac:dyDescent="0.3">
      <c r="G70" s="98"/>
    </row>
    <row r="71" spans="7:7" ht="15.75" customHeight="1" x14ac:dyDescent="0.3">
      <c r="G71" s="98"/>
    </row>
    <row r="72" spans="7:7" ht="15.75" customHeight="1" x14ac:dyDescent="0.3">
      <c r="G72" s="98"/>
    </row>
    <row r="73" spans="7:7" ht="15.75" customHeight="1" x14ac:dyDescent="0.3">
      <c r="G73" s="98"/>
    </row>
    <row r="74" spans="7:7" ht="15.75" customHeight="1" x14ac:dyDescent="0.3">
      <c r="G74" s="98"/>
    </row>
    <row r="75" spans="7:7" ht="15.75" customHeight="1" x14ac:dyDescent="0.3">
      <c r="G75" s="98"/>
    </row>
    <row r="76" spans="7:7" ht="15.75" customHeight="1" x14ac:dyDescent="0.3">
      <c r="G76" s="98"/>
    </row>
    <row r="77" spans="7:7" ht="15.75" customHeight="1" x14ac:dyDescent="0.3">
      <c r="G77" s="98"/>
    </row>
    <row r="78" spans="7:7" ht="15.75" customHeight="1" x14ac:dyDescent="0.3">
      <c r="G78" s="98"/>
    </row>
    <row r="79" spans="7:7" ht="15.75" customHeight="1" x14ac:dyDescent="0.3">
      <c r="G79" s="98"/>
    </row>
    <row r="80" spans="7:7" ht="15.75" customHeight="1" x14ac:dyDescent="0.3">
      <c r="G80" s="98"/>
    </row>
    <row r="81" spans="7:7" ht="15.75" customHeight="1" x14ac:dyDescent="0.3">
      <c r="G81" s="98"/>
    </row>
    <row r="82" spans="7:7" ht="15.75" customHeight="1" x14ac:dyDescent="0.3">
      <c r="G82" s="98"/>
    </row>
    <row r="83" spans="7:7" ht="15.75" customHeight="1" x14ac:dyDescent="0.3">
      <c r="G83" s="98"/>
    </row>
    <row r="84" spans="7:7" ht="15.75" customHeight="1" x14ac:dyDescent="0.3">
      <c r="G84" s="98"/>
    </row>
    <row r="85" spans="7:7" ht="15.75" customHeight="1" x14ac:dyDescent="0.3">
      <c r="G85" s="98"/>
    </row>
    <row r="86" spans="7:7" ht="15.75" customHeight="1" x14ac:dyDescent="0.3">
      <c r="G86" s="98"/>
    </row>
    <row r="87" spans="7:7" ht="15.75" customHeight="1" x14ac:dyDescent="0.3">
      <c r="G87" s="98"/>
    </row>
    <row r="88" spans="7:7" ht="15.75" customHeight="1" x14ac:dyDescent="0.3">
      <c r="G88" s="98"/>
    </row>
    <row r="89" spans="7:7" ht="15.75" customHeight="1" x14ac:dyDescent="0.3">
      <c r="G89" s="98"/>
    </row>
    <row r="90" spans="7:7" ht="15.75" customHeight="1" x14ac:dyDescent="0.3">
      <c r="G90" s="98"/>
    </row>
    <row r="91" spans="7:7" ht="15.75" customHeight="1" x14ac:dyDescent="0.3">
      <c r="G91" s="98"/>
    </row>
    <row r="92" spans="7:7" ht="15.75" customHeight="1" x14ac:dyDescent="0.3">
      <c r="G92" s="98"/>
    </row>
    <row r="93" spans="7:7" ht="15.75" customHeight="1" x14ac:dyDescent="0.3">
      <c r="G93" s="98"/>
    </row>
    <row r="94" spans="7:7" ht="15.75" customHeight="1" x14ac:dyDescent="0.3">
      <c r="G94" s="98"/>
    </row>
    <row r="95" spans="7:7" ht="15.75" customHeight="1" x14ac:dyDescent="0.3">
      <c r="G95" s="98"/>
    </row>
    <row r="96" spans="7:7" ht="15.75" customHeight="1" x14ac:dyDescent="0.3">
      <c r="G96" s="98"/>
    </row>
    <row r="97" spans="7:7" ht="15.75" customHeight="1" x14ac:dyDescent="0.3">
      <c r="G97" s="98"/>
    </row>
    <row r="98" spans="7:7" ht="15.75" customHeight="1" x14ac:dyDescent="0.3">
      <c r="G98" s="98"/>
    </row>
    <row r="99" spans="7:7" ht="15.75" customHeight="1" x14ac:dyDescent="0.3">
      <c r="G99" s="98"/>
    </row>
    <row r="100" spans="7:7" ht="15.75" customHeight="1" x14ac:dyDescent="0.3">
      <c r="G100" s="98"/>
    </row>
    <row r="101" spans="7:7" ht="15.75" customHeight="1" x14ac:dyDescent="0.3">
      <c r="G101" s="98"/>
    </row>
    <row r="102" spans="7:7" ht="15.75" customHeight="1" x14ac:dyDescent="0.3">
      <c r="G102" s="98"/>
    </row>
    <row r="103" spans="7:7" ht="15.75" customHeight="1" x14ac:dyDescent="0.3">
      <c r="G103" s="98"/>
    </row>
    <row r="104" spans="7:7" ht="15.75" customHeight="1" x14ac:dyDescent="0.3">
      <c r="G104" s="98"/>
    </row>
    <row r="105" spans="7:7" ht="15.75" customHeight="1" x14ac:dyDescent="0.3">
      <c r="G105" s="98"/>
    </row>
    <row r="106" spans="7:7" ht="15.75" customHeight="1" x14ac:dyDescent="0.3">
      <c r="G106" s="98"/>
    </row>
    <row r="107" spans="7:7" ht="15.75" customHeight="1" x14ac:dyDescent="0.3">
      <c r="G107" s="98"/>
    </row>
    <row r="108" spans="7:7" ht="15.75" customHeight="1" x14ac:dyDescent="0.3">
      <c r="G108" s="98"/>
    </row>
    <row r="109" spans="7:7" ht="15.75" customHeight="1" x14ac:dyDescent="0.3">
      <c r="G109" s="98"/>
    </row>
    <row r="110" spans="7:7" ht="15.75" customHeight="1" x14ac:dyDescent="0.3">
      <c r="G110" s="98"/>
    </row>
    <row r="111" spans="7:7" ht="15.75" customHeight="1" x14ac:dyDescent="0.3">
      <c r="G111" s="98"/>
    </row>
    <row r="112" spans="7:7" ht="15.75" customHeight="1" x14ac:dyDescent="0.3">
      <c r="G112" s="98"/>
    </row>
    <row r="113" spans="7:7" ht="15.75" customHeight="1" x14ac:dyDescent="0.3">
      <c r="G113" s="98"/>
    </row>
    <row r="114" spans="7:7" ht="15.75" customHeight="1" x14ac:dyDescent="0.3">
      <c r="G114" s="98"/>
    </row>
    <row r="115" spans="7:7" ht="15.75" customHeight="1" x14ac:dyDescent="0.3">
      <c r="G115" s="98"/>
    </row>
    <row r="116" spans="7:7" ht="15.75" customHeight="1" x14ac:dyDescent="0.3">
      <c r="G116" s="98"/>
    </row>
    <row r="117" spans="7:7" ht="15.75" customHeight="1" x14ac:dyDescent="0.3">
      <c r="G117" s="98"/>
    </row>
    <row r="118" spans="7:7" ht="15.75" customHeight="1" x14ac:dyDescent="0.3">
      <c r="G118" s="98"/>
    </row>
    <row r="119" spans="7:7" ht="15.75" customHeight="1" x14ac:dyDescent="0.3">
      <c r="G119" s="98"/>
    </row>
    <row r="120" spans="7:7" ht="15.75" customHeight="1" x14ac:dyDescent="0.3">
      <c r="G120" s="98"/>
    </row>
    <row r="121" spans="7:7" ht="15.75" customHeight="1" x14ac:dyDescent="0.3">
      <c r="G121" s="98"/>
    </row>
    <row r="122" spans="7:7" ht="15.75" customHeight="1" x14ac:dyDescent="0.3">
      <c r="G122" s="98"/>
    </row>
    <row r="123" spans="7:7" ht="15.75" customHeight="1" x14ac:dyDescent="0.3">
      <c r="G123" s="98"/>
    </row>
    <row r="124" spans="7:7" ht="15.75" customHeight="1" x14ac:dyDescent="0.3">
      <c r="G124" s="98"/>
    </row>
    <row r="125" spans="7:7" ht="15.75" customHeight="1" x14ac:dyDescent="0.3">
      <c r="G125" s="98"/>
    </row>
    <row r="126" spans="7:7" ht="15.75" customHeight="1" x14ac:dyDescent="0.3">
      <c r="G126" s="98"/>
    </row>
    <row r="127" spans="7:7" ht="15.75" customHeight="1" x14ac:dyDescent="0.3">
      <c r="G127" s="98"/>
    </row>
    <row r="128" spans="7:7" ht="15.75" customHeight="1" x14ac:dyDescent="0.3">
      <c r="G128" s="98"/>
    </row>
    <row r="129" spans="7:7" ht="15.75" customHeight="1" x14ac:dyDescent="0.3">
      <c r="G129" s="98"/>
    </row>
    <row r="130" spans="7:7" ht="15.75" customHeight="1" x14ac:dyDescent="0.3">
      <c r="G130" s="98"/>
    </row>
    <row r="131" spans="7:7" ht="15.75" customHeight="1" x14ac:dyDescent="0.3">
      <c r="G131" s="98"/>
    </row>
    <row r="132" spans="7:7" ht="15.75" customHeight="1" x14ac:dyDescent="0.3">
      <c r="G132" s="98"/>
    </row>
    <row r="133" spans="7:7" ht="15.75" customHeight="1" x14ac:dyDescent="0.3">
      <c r="G133" s="98"/>
    </row>
    <row r="134" spans="7:7" ht="15.75" customHeight="1" x14ac:dyDescent="0.3">
      <c r="G134" s="98"/>
    </row>
    <row r="135" spans="7:7" ht="15.75" customHeight="1" x14ac:dyDescent="0.3">
      <c r="G135" s="98"/>
    </row>
    <row r="136" spans="7:7" ht="15.75" customHeight="1" x14ac:dyDescent="0.3">
      <c r="G136" s="98"/>
    </row>
    <row r="137" spans="7:7" ht="15.75" customHeight="1" x14ac:dyDescent="0.3">
      <c r="G137" s="98"/>
    </row>
    <row r="138" spans="7:7" ht="15.75" customHeight="1" x14ac:dyDescent="0.3">
      <c r="G138" s="98"/>
    </row>
    <row r="139" spans="7:7" ht="15.75" customHeight="1" x14ac:dyDescent="0.3">
      <c r="G139" s="98"/>
    </row>
    <row r="140" spans="7:7" ht="15.75" customHeight="1" x14ac:dyDescent="0.3">
      <c r="G140" s="98"/>
    </row>
    <row r="141" spans="7:7" ht="15.75" customHeight="1" x14ac:dyDescent="0.3">
      <c r="G141" s="98"/>
    </row>
    <row r="142" spans="7:7" ht="15.75" customHeight="1" x14ac:dyDescent="0.3">
      <c r="G142" s="98"/>
    </row>
    <row r="143" spans="7:7" ht="15.75" customHeight="1" x14ac:dyDescent="0.3">
      <c r="G143" s="98"/>
    </row>
    <row r="144" spans="7:7" ht="15.75" customHeight="1" x14ac:dyDescent="0.3">
      <c r="G144" s="98"/>
    </row>
    <row r="145" spans="7:7" ht="15.75" customHeight="1" x14ac:dyDescent="0.3">
      <c r="G145" s="98"/>
    </row>
    <row r="146" spans="7:7" ht="15.75" customHeight="1" x14ac:dyDescent="0.3">
      <c r="G146" s="98"/>
    </row>
    <row r="147" spans="7:7" ht="15.75" customHeight="1" x14ac:dyDescent="0.3">
      <c r="G147" s="98"/>
    </row>
    <row r="148" spans="7:7" ht="15.75" customHeight="1" x14ac:dyDescent="0.3">
      <c r="G148" s="98"/>
    </row>
    <row r="149" spans="7:7" ht="15.75" customHeight="1" x14ac:dyDescent="0.3">
      <c r="G149" s="98"/>
    </row>
    <row r="150" spans="7:7" ht="15.75" customHeight="1" x14ac:dyDescent="0.3">
      <c r="G150" s="98"/>
    </row>
    <row r="151" spans="7:7" ht="15.75" customHeight="1" x14ac:dyDescent="0.3">
      <c r="G151" s="98"/>
    </row>
    <row r="152" spans="7:7" ht="15.75" customHeight="1" x14ac:dyDescent="0.3">
      <c r="G152" s="98"/>
    </row>
    <row r="153" spans="7:7" ht="15.75" customHeight="1" x14ac:dyDescent="0.3">
      <c r="G153" s="98"/>
    </row>
    <row r="154" spans="7:7" ht="15.75" customHeight="1" x14ac:dyDescent="0.3">
      <c r="G154" s="98"/>
    </row>
    <row r="155" spans="7:7" ht="15.75" customHeight="1" x14ac:dyDescent="0.3">
      <c r="G155" s="98"/>
    </row>
    <row r="156" spans="7:7" ht="15.75" customHeight="1" x14ac:dyDescent="0.3">
      <c r="G156" s="98"/>
    </row>
    <row r="157" spans="7:7" ht="15.75" customHeight="1" x14ac:dyDescent="0.3">
      <c r="G157" s="98"/>
    </row>
    <row r="158" spans="7:7" ht="15.75" customHeight="1" x14ac:dyDescent="0.3">
      <c r="G158" s="98"/>
    </row>
    <row r="159" spans="7:7" ht="15.75" customHeight="1" x14ac:dyDescent="0.3">
      <c r="G159" s="98"/>
    </row>
    <row r="160" spans="7:7" ht="15.75" customHeight="1" x14ac:dyDescent="0.3">
      <c r="G160" s="98"/>
    </row>
    <row r="161" spans="7:7" ht="15.75" customHeight="1" x14ac:dyDescent="0.3">
      <c r="G161" s="98"/>
    </row>
    <row r="162" spans="7:7" ht="15.75" customHeight="1" x14ac:dyDescent="0.3">
      <c r="G162" s="98"/>
    </row>
    <row r="163" spans="7:7" ht="15.75" customHeight="1" x14ac:dyDescent="0.3">
      <c r="G163" s="98"/>
    </row>
    <row r="164" spans="7:7" ht="15.75" customHeight="1" x14ac:dyDescent="0.3">
      <c r="G164" s="98"/>
    </row>
    <row r="165" spans="7:7" ht="15.75" customHeight="1" x14ac:dyDescent="0.3">
      <c r="G165" s="98"/>
    </row>
    <row r="166" spans="7:7" ht="15.75" customHeight="1" x14ac:dyDescent="0.3">
      <c r="G166" s="98"/>
    </row>
    <row r="167" spans="7:7" ht="15.75" customHeight="1" x14ac:dyDescent="0.3">
      <c r="G167" s="98"/>
    </row>
    <row r="168" spans="7:7" ht="15.75" customHeight="1" x14ac:dyDescent="0.3">
      <c r="G168" s="98"/>
    </row>
    <row r="169" spans="7:7" ht="15.75" customHeight="1" x14ac:dyDescent="0.3">
      <c r="G169" s="98"/>
    </row>
    <row r="170" spans="7:7" ht="15.75" customHeight="1" x14ac:dyDescent="0.3">
      <c r="G170" s="98"/>
    </row>
    <row r="171" spans="7:7" ht="15.75" customHeight="1" x14ac:dyDescent="0.3">
      <c r="G171" s="98"/>
    </row>
    <row r="172" spans="7:7" ht="15.75" customHeight="1" x14ac:dyDescent="0.3">
      <c r="G172" s="98"/>
    </row>
    <row r="173" spans="7:7" ht="15.75" customHeight="1" x14ac:dyDescent="0.3">
      <c r="G173" s="98"/>
    </row>
    <row r="174" spans="7:7" ht="15.75" customHeight="1" x14ac:dyDescent="0.3">
      <c r="G174" s="98"/>
    </row>
    <row r="175" spans="7:7" ht="15.75" customHeight="1" x14ac:dyDescent="0.3">
      <c r="G175" s="98"/>
    </row>
    <row r="176" spans="7:7" ht="15.75" customHeight="1" x14ac:dyDescent="0.3">
      <c r="G176" s="98"/>
    </row>
    <row r="177" spans="7:7" ht="15.75" customHeight="1" x14ac:dyDescent="0.3">
      <c r="G177" s="98"/>
    </row>
    <row r="178" spans="7:7" ht="15.75" customHeight="1" x14ac:dyDescent="0.3">
      <c r="G178" s="98"/>
    </row>
    <row r="179" spans="7:7" ht="15.75" customHeight="1" x14ac:dyDescent="0.3">
      <c r="G179" s="98"/>
    </row>
    <row r="180" spans="7:7" ht="15.75" customHeight="1" x14ac:dyDescent="0.3">
      <c r="G180" s="98"/>
    </row>
    <row r="181" spans="7:7" ht="15.75" customHeight="1" x14ac:dyDescent="0.3">
      <c r="G181" s="98"/>
    </row>
    <row r="182" spans="7:7" ht="15.75" customHeight="1" x14ac:dyDescent="0.3">
      <c r="G182" s="98"/>
    </row>
    <row r="183" spans="7:7" ht="15.75" customHeight="1" x14ac:dyDescent="0.3">
      <c r="G183" s="98"/>
    </row>
    <row r="184" spans="7:7" ht="15.75" customHeight="1" x14ac:dyDescent="0.3">
      <c r="G184" s="98"/>
    </row>
    <row r="185" spans="7:7" ht="15.75" customHeight="1" x14ac:dyDescent="0.3">
      <c r="G185" s="98"/>
    </row>
    <row r="186" spans="7:7" ht="15.75" customHeight="1" x14ac:dyDescent="0.3">
      <c r="G186" s="98"/>
    </row>
    <row r="187" spans="7:7" ht="15.75" customHeight="1" x14ac:dyDescent="0.3">
      <c r="G187" s="98"/>
    </row>
    <row r="188" spans="7:7" ht="15.75" customHeight="1" x14ac:dyDescent="0.3">
      <c r="G188" s="98"/>
    </row>
    <row r="189" spans="7:7" ht="15.75" customHeight="1" x14ac:dyDescent="0.3">
      <c r="G189" s="98"/>
    </row>
    <row r="190" spans="7:7" ht="15.75" customHeight="1" x14ac:dyDescent="0.3">
      <c r="G190" s="98"/>
    </row>
    <row r="191" spans="7:7" ht="15.75" customHeight="1" x14ac:dyDescent="0.3">
      <c r="G191" s="98"/>
    </row>
    <row r="192" spans="7:7" ht="15.75" customHeight="1" x14ac:dyDescent="0.3">
      <c r="G192" s="98"/>
    </row>
    <row r="193" spans="7:7" ht="15.75" customHeight="1" x14ac:dyDescent="0.3">
      <c r="G193" s="98"/>
    </row>
    <row r="194" spans="7:7" ht="15.75" customHeight="1" x14ac:dyDescent="0.3">
      <c r="G194" s="98"/>
    </row>
    <row r="195" spans="7:7" ht="15.75" customHeight="1" x14ac:dyDescent="0.3">
      <c r="G195" s="98"/>
    </row>
    <row r="196" spans="7:7" ht="15.75" customHeight="1" x14ac:dyDescent="0.3">
      <c r="G196" s="98"/>
    </row>
    <row r="197" spans="7:7" ht="15.75" customHeight="1" x14ac:dyDescent="0.3">
      <c r="G197" s="98"/>
    </row>
    <row r="198" spans="7:7" ht="15.75" customHeight="1" x14ac:dyDescent="0.3">
      <c r="G198" s="98"/>
    </row>
    <row r="199" spans="7:7" ht="15.75" customHeight="1" x14ac:dyDescent="0.3">
      <c r="G199" s="98"/>
    </row>
    <row r="200" spans="7:7" ht="15.75" customHeight="1" x14ac:dyDescent="0.3">
      <c r="G200" s="98"/>
    </row>
    <row r="201" spans="7:7" ht="15.75" customHeight="1" x14ac:dyDescent="0.3">
      <c r="G201" s="98"/>
    </row>
    <row r="202" spans="7:7" ht="15.75" customHeight="1" x14ac:dyDescent="0.3">
      <c r="G202" s="98"/>
    </row>
    <row r="203" spans="7:7" ht="15.75" customHeight="1" x14ac:dyDescent="0.3">
      <c r="G203" s="98"/>
    </row>
    <row r="204" spans="7:7" ht="15.75" customHeight="1" x14ac:dyDescent="0.3">
      <c r="G204" s="98"/>
    </row>
    <row r="205" spans="7:7" ht="15.75" customHeight="1" x14ac:dyDescent="0.3">
      <c r="G205" s="98"/>
    </row>
    <row r="206" spans="7:7" ht="15.75" customHeight="1" x14ac:dyDescent="0.3">
      <c r="G206" s="98"/>
    </row>
    <row r="207" spans="7:7" ht="15.75" customHeight="1" x14ac:dyDescent="0.3">
      <c r="G207" s="98"/>
    </row>
    <row r="208" spans="7:7" ht="15.75" customHeight="1" x14ac:dyDescent="0.3">
      <c r="G208" s="98"/>
    </row>
    <row r="209" spans="7:7" ht="15.75" customHeight="1" x14ac:dyDescent="0.3">
      <c r="G209" s="98"/>
    </row>
    <row r="210" spans="7:7" ht="15.75" customHeight="1" x14ac:dyDescent="0.3">
      <c r="G210" s="98"/>
    </row>
    <row r="211" spans="7:7" ht="15.75" customHeight="1" x14ac:dyDescent="0.3">
      <c r="G211" s="98"/>
    </row>
    <row r="212" spans="7:7" ht="15.75" customHeight="1" x14ac:dyDescent="0.3">
      <c r="G212" s="98"/>
    </row>
    <row r="213" spans="7:7" ht="15.75" customHeight="1" x14ac:dyDescent="0.3">
      <c r="G213" s="98"/>
    </row>
    <row r="214" spans="7:7" ht="15.75" customHeight="1" x14ac:dyDescent="0.3">
      <c r="G214" s="98"/>
    </row>
    <row r="215" spans="7:7" ht="15.75" customHeight="1" x14ac:dyDescent="0.3">
      <c r="G215" s="98"/>
    </row>
    <row r="216" spans="7:7" ht="15.75" customHeight="1" x14ac:dyDescent="0.3">
      <c r="G216" s="98"/>
    </row>
    <row r="217" spans="7:7" ht="15.75" customHeight="1" x14ac:dyDescent="0.3">
      <c r="G217" s="98"/>
    </row>
    <row r="218" spans="7:7" ht="15.75" customHeight="1" x14ac:dyDescent="0.3">
      <c r="G218" s="98"/>
    </row>
    <row r="219" spans="7:7" ht="15.75" customHeight="1" x14ac:dyDescent="0.3">
      <c r="G219" s="98"/>
    </row>
    <row r="220" spans="7:7" ht="15.75" customHeight="1" x14ac:dyDescent="0.3">
      <c r="G220" s="98"/>
    </row>
    <row r="221" spans="7:7" ht="15.75" customHeight="1" x14ac:dyDescent="0.3">
      <c r="G221" s="98"/>
    </row>
    <row r="222" spans="7:7" ht="15.75" customHeight="1" x14ac:dyDescent="0.3">
      <c r="G222" s="98"/>
    </row>
    <row r="223" spans="7:7" ht="15.75" customHeight="1" x14ac:dyDescent="0.3">
      <c r="G223" s="98"/>
    </row>
    <row r="224" spans="7:7" ht="15.75" customHeight="1" x14ac:dyDescent="0.3">
      <c r="G224" s="98"/>
    </row>
    <row r="225" spans="7:7" ht="15.75" customHeight="1" x14ac:dyDescent="0.3">
      <c r="G225" s="98"/>
    </row>
    <row r="226" spans="7:7" ht="15.75" customHeight="1" x14ac:dyDescent="0.3">
      <c r="G226" s="98"/>
    </row>
    <row r="227" spans="7:7" ht="15.75" customHeight="1" x14ac:dyDescent="0.3">
      <c r="G227" s="98"/>
    </row>
    <row r="228" spans="7:7" ht="15.75" customHeight="1" x14ac:dyDescent="0.3">
      <c r="G228" s="98"/>
    </row>
    <row r="229" spans="7:7" ht="15.75" customHeight="1" x14ac:dyDescent="0.3">
      <c r="G229" s="98"/>
    </row>
    <row r="230" spans="7:7" ht="15.75" customHeight="1" x14ac:dyDescent="0.3">
      <c r="G230" s="98"/>
    </row>
    <row r="231" spans="7:7" ht="15.75" customHeight="1" x14ac:dyDescent="0.3">
      <c r="G231" s="98"/>
    </row>
    <row r="232" spans="7:7" ht="15.75" customHeight="1" x14ac:dyDescent="0.3">
      <c r="G232" s="98"/>
    </row>
    <row r="233" spans="7:7" ht="15.75" customHeight="1" x14ac:dyDescent="0.3">
      <c r="G233" s="98"/>
    </row>
    <row r="234" spans="7:7" ht="15.75" customHeight="1" x14ac:dyDescent="0.3">
      <c r="G234" s="98"/>
    </row>
    <row r="235" spans="7:7" ht="15.75" customHeight="1" x14ac:dyDescent="0.3">
      <c r="G235" s="98"/>
    </row>
    <row r="236" spans="7:7" ht="15.75" customHeight="1" x14ac:dyDescent="0.3">
      <c r="G236" s="98"/>
    </row>
    <row r="237" spans="7:7" ht="15.75" customHeight="1" x14ac:dyDescent="0.3">
      <c r="G237" s="98"/>
    </row>
    <row r="238" spans="7:7" ht="15.75" customHeight="1" x14ac:dyDescent="0.3">
      <c r="G238" s="98"/>
    </row>
    <row r="239" spans="7:7" ht="15.75" customHeight="1" x14ac:dyDescent="0.3">
      <c r="G239" s="98"/>
    </row>
    <row r="240" spans="7:7" ht="15.75" customHeight="1" x14ac:dyDescent="0.3">
      <c r="G240" s="98"/>
    </row>
    <row r="241" spans="7:7" ht="15.75" customHeight="1" x14ac:dyDescent="0.3">
      <c r="G241" s="98"/>
    </row>
    <row r="242" spans="7:7" ht="15.75" customHeight="1" x14ac:dyDescent="0.3">
      <c r="G242" s="98"/>
    </row>
    <row r="243" spans="7:7" ht="15.75" customHeight="1" x14ac:dyDescent="0.3">
      <c r="G243" s="98"/>
    </row>
    <row r="244" spans="7:7" ht="15.75" customHeight="1" x14ac:dyDescent="0.3">
      <c r="G244" s="98"/>
    </row>
    <row r="245" spans="7:7" ht="15.75" customHeight="1" x14ac:dyDescent="0.3">
      <c r="G245" s="98"/>
    </row>
    <row r="246" spans="7:7" ht="15.75" customHeight="1" x14ac:dyDescent="0.3">
      <c r="G246" s="98"/>
    </row>
    <row r="247" spans="7:7" ht="15.75" customHeight="1" x14ac:dyDescent="0.3">
      <c r="G247" s="98"/>
    </row>
    <row r="248" spans="7:7" ht="15.75" customHeight="1" x14ac:dyDescent="0.3">
      <c r="G248" s="98"/>
    </row>
    <row r="249" spans="7:7" ht="15.75" customHeight="1" x14ac:dyDescent="0.3">
      <c r="G249" s="98"/>
    </row>
    <row r="250" spans="7:7" ht="15.75" customHeight="1" x14ac:dyDescent="0.3">
      <c r="G250" s="98"/>
    </row>
    <row r="251" spans="7:7" ht="15.75" customHeight="1" x14ac:dyDescent="0.3">
      <c r="G251" s="98"/>
    </row>
    <row r="252" spans="7:7" ht="15.75" customHeight="1" x14ac:dyDescent="0.3">
      <c r="G252" s="98"/>
    </row>
    <row r="253" spans="7:7" ht="15.75" customHeight="1" x14ac:dyDescent="0.3">
      <c r="G253" s="98"/>
    </row>
    <row r="254" spans="7:7" ht="15.75" customHeight="1" x14ac:dyDescent="0.3">
      <c r="G254" s="98"/>
    </row>
    <row r="255" spans="7:7" ht="15.75" customHeight="1" x14ac:dyDescent="0.3">
      <c r="G255" s="98"/>
    </row>
    <row r="256" spans="7:7" ht="15.75" customHeight="1" x14ac:dyDescent="0.3">
      <c r="G256" s="98"/>
    </row>
    <row r="257" spans="7:7" ht="15.75" customHeight="1" x14ac:dyDescent="0.3">
      <c r="G257" s="98"/>
    </row>
    <row r="258" spans="7:7" ht="15.75" customHeight="1" x14ac:dyDescent="0.3">
      <c r="G258" s="98"/>
    </row>
    <row r="259" spans="7:7" ht="15.75" customHeight="1" x14ac:dyDescent="0.3">
      <c r="G259" s="98"/>
    </row>
    <row r="260" spans="7:7" ht="15.75" customHeight="1" x14ac:dyDescent="0.3">
      <c r="G260" s="98"/>
    </row>
    <row r="261" spans="7:7" ht="15.75" customHeight="1" x14ac:dyDescent="0.3">
      <c r="G261" s="98"/>
    </row>
    <row r="262" spans="7:7" ht="15.75" customHeight="1" x14ac:dyDescent="0.3">
      <c r="G262" s="98"/>
    </row>
    <row r="263" spans="7:7" ht="15.75" customHeight="1" x14ac:dyDescent="0.3">
      <c r="G263" s="98"/>
    </row>
    <row r="264" spans="7:7" ht="15.75" customHeight="1" x14ac:dyDescent="0.3">
      <c r="G264" s="98"/>
    </row>
    <row r="265" spans="7:7" ht="15.75" customHeight="1" x14ac:dyDescent="0.3">
      <c r="G265" s="98"/>
    </row>
    <row r="266" spans="7:7" ht="15.75" customHeight="1" x14ac:dyDescent="0.3">
      <c r="G266" s="98"/>
    </row>
    <row r="267" spans="7:7" ht="15.75" customHeight="1" x14ac:dyDescent="0.3">
      <c r="G267" s="98"/>
    </row>
    <row r="268" spans="7:7" ht="15.75" customHeight="1" x14ac:dyDescent="0.3">
      <c r="G268" s="98"/>
    </row>
    <row r="269" spans="7:7" ht="15.75" customHeight="1" x14ac:dyDescent="0.3">
      <c r="G269" s="98"/>
    </row>
    <row r="270" spans="7:7" ht="15.75" customHeight="1" x14ac:dyDescent="0.3">
      <c r="G270" s="98"/>
    </row>
    <row r="271" spans="7:7" ht="15.75" customHeight="1" x14ac:dyDescent="0.3">
      <c r="G271" s="98"/>
    </row>
    <row r="272" spans="7:7" ht="15.75" customHeight="1" x14ac:dyDescent="0.3">
      <c r="G272" s="98"/>
    </row>
    <row r="273" spans="7:7" ht="15.75" customHeight="1" x14ac:dyDescent="0.3">
      <c r="G273" s="98"/>
    </row>
    <row r="274" spans="7:7" ht="15.75" customHeight="1" x14ac:dyDescent="0.3">
      <c r="G274" s="98"/>
    </row>
    <row r="275" spans="7:7" ht="15.75" customHeight="1" x14ac:dyDescent="0.3">
      <c r="G275" s="98"/>
    </row>
    <row r="276" spans="7:7" ht="15.75" customHeight="1" x14ac:dyDescent="0.3">
      <c r="G276" s="98"/>
    </row>
    <row r="277" spans="7:7" ht="15.75" customHeight="1" x14ac:dyDescent="0.3">
      <c r="G277" s="98"/>
    </row>
    <row r="278" spans="7:7" ht="15.75" customHeight="1" x14ac:dyDescent="0.3">
      <c r="G278" s="98"/>
    </row>
    <row r="279" spans="7:7" ht="15.75" customHeight="1" x14ac:dyDescent="0.3">
      <c r="G279" s="98"/>
    </row>
    <row r="280" spans="7:7" ht="15.75" customHeight="1" x14ac:dyDescent="0.3">
      <c r="G280" s="98"/>
    </row>
    <row r="281" spans="7:7" ht="15.75" customHeight="1" x14ac:dyDescent="0.3">
      <c r="G281" s="98"/>
    </row>
    <row r="282" spans="7:7" ht="15.75" customHeight="1" x14ac:dyDescent="0.3">
      <c r="G282" s="98"/>
    </row>
    <row r="283" spans="7:7" ht="15.75" customHeight="1" x14ac:dyDescent="0.3">
      <c r="G283" s="98"/>
    </row>
    <row r="284" spans="7:7" ht="15.75" customHeight="1" x14ac:dyDescent="0.3">
      <c r="G284" s="98"/>
    </row>
    <row r="285" spans="7:7" ht="15.75" customHeight="1" x14ac:dyDescent="0.3">
      <c r="G285" s="98"/>
    </row>
    <row r="286" spans="7:7" ht="15.75" customHeight="1" x14ac:dyDescent="0.3">
      <c r="G286" s="98"/>
    </row>
    <row r="287" spans="7:7" ht="15.75" customHeight="1" x14ac:dyDescent="0.3">
      <c r="G287" s="98"/>
    </row>
    <row r="288" spans="7:7" ht="15.75" customHeight="1" x14ac:dyDescent="0.3">
      <c r="G288" s="98"/>
    </row>
    <row r="289" spans="7:7" ht="15.75" customHeight="1" x14ac:dyDescent="0.3">
      <c r="G289" s="98"/>
    </row>
    <row r="290" spans="7:7" ht="15.75" customHeight="1" x14ac:dyDescent="0.3">
      <c r="G290" s="98"/>
    </row>
    <row r="291" spans="7:7" ht="15.75" customHeight="1" x14ac:dyDescent="0.3">
      <c r="G291" s="98"/>
    </row>
    <row r="292" spans="7:7" ht="15.75" customHeight="1" x14ac:dyDescent="0.3">
      <c r="G292" s="98"/>
    </row>
    <row r="293" spans="7:7" ht="15.75" customHeight="1" x14ac:dyDescent="0.3">
      <c r="G293" s="98"/>
    </row>
    <row r="294" spans="7:7" ht="15.75" customHeight="1" x14ac:dyDescent="0.3">
      <c r="G294" s="98"/>
    </row>
    <row r="295" spans="7:7" ht="15.75" customHeight="1" x14ac:dyDescent="0.3">
      <c r="G295" s="98"/>
    </row>
    <row r="296" spans="7:7" ht="15.75" customHeight="1" x14ac:dyDescent="0.3">
      <c r="G296" s="98"/>
    </row>
    <row r="297" spans="7:7" ht="15.75" customHeight="1" x14ac:dyDescent="0.3">
      <c r="G297" s="98"/>
    </row>
    <row r="298" spans="7:7" ht="15.75" customHeight="1" x14ac:dyDescent="0.3">
      <c r="G298" s="98"/>
    </row>
    <row r="299" spans="7:7" ht="15.75" customHeight="1" x14ac:dyDescent="0.3">
      <c r="G299" s="98"/>
    </row>
    <row r="300" spans="7:7" ht="15.75" customHeight="1" x14ac:dyDescent="0.3">
      <c r="G300" s="98"/>
    </row>
    <row r="301" spans="7:7" ht="15.75" customHeight="1" x14ac:dyDescent="0.3">
      <c r="G301" s="98"/>
    </row>
    <row r="302" spans="7:7" ht="15.75" customHeight="1" x14ac:dyDescent="0.3">
      <c r="G302" s="98"/>
    </row>
    <row r="303" spans="7:7" ht="15.75" customHeight="1" x14ac:dyDescent="0.3">
      <c r="G303" s="98"/>
    </row>
    <row r="304" spans="7:7" ht="15.75" customHeight="1" x14ac:dyDescent="0.3">
      <c r="G304" s="98"/>
    </row>
    <row r="305" spans="7:7" ht="15.75" customHeight="1" x14ac:dyDescent="0.3">
      <c r="G305" s="98"/>
    </row>
    <row r="306" spans="7:7" ht="15.75" customHeight="1" x14ac:dyDescent="0.3">
      <c r="G306" s="98"/>
    </row>
    <row r="307" spans="7:7" ht="15.75" customHeight="1" x14ac:dyDescent="0.3">
      <c r="G307" s="98"/>
    </row>
    <row r="308" spans="7:7" ht="15.75" customHeight="1" x14ac:dyDescent="0.3">
      <c r="G308" s="98"/>
    </row>
    <row r="309" spans="7:7" ht="15.75" customHeight="1" x14ac:dyDescent="0.3">
      <c r="G309" s="98"/>
    </row>
    <row r="310" spans="7:7" ht="15.75" customHeight="1" x14ac:dyDescent="0.3">
      <c r="G310" s="98"/>
    </row>
    <row r="311" spans="7:7" ht="15.75" customHeight="1" x14ac:dyDescent="0.3">
      <c r="G311" s="98"/>
    </row>
    <row r="312" spans="7:7" ht="15.75" customHeight="1" x14ac:dyDescent="0.3">
      <c r="G312" s="98"/>
    </row>
    <row r="313" spans="7:7" ht="15.75" customHeight="1" x14ac:dyDescent="0.3">
      <c r="G313" s="98"/>
    </row>
    <row r="314" spans="7:7" ht="15.75" customHeight="1" x14ac:dyDescent="0.3">
      <c r="G314" s="98"/>
    </row>
    <row r="315" spans="7:7" ht="15.75" customHeight="1" x14ac:dyDescent="0.3">
      <c r="G315" s="98"/>
    </row>
    <row r="316" spans="7:7" ht="15.75" customHeight="1" x14ac:dyDescent="0.3">
      <c r="G316" s="98"/>
    </row>
    <row r="317" spans="7:7" ht="15.75" customHeight="1" x14ac:dyDescent="0.3">
      <c r="G317" s="98"/>
    </row>
    <row r="318" spans="7:7" ht="15.75" customHeight="1" x14ac:dyDescent="0.3">
      <c r="G318" s="98"/>
    </row>
    <row r="319" spans="7:7" ht="15.75" customHeight="1" x14ac:dyDescent="0.3">
      <c r="G319" s="98"/>
    </row>
    <row r="320" spans="7:7" ht="15.75" customHeight="1" x14ac:dyDescent="0.3">
      <c r="G320" s="98"/>
    </row>
    <row r="321" spans="7:7" ht="15.75" customHeight="1" x14ac:dyDescent="0.3">
      <c r="G321" s="98"/>
    </row>
    <row r="322" spans="7:7" ht="15.75" customHeight="1" x14ac:dyDescent="0.3">
      <c r="G322" s="98"/>
    </row>
    <row r="323" spans="7:7" ht="15.75" customHeight="1" x14ac:dyDescent="0.3">
      <c r="G323" s="98"/>
    </row>
    <row r="324" spans="7:7" ht="15.75" customHeight="1" x14ac:dyDescent="0.3">
      <c r="G324" s="98"/>
    </row>
    <row r="325" spans="7:7" ht="15.75" customHeight="1" x14ac:dyDescent="0.3">
      <c r="G325" s="98"/>
    </row>
    <row r="326" spans="7:7" ht="15.75" customHeight="1" x14ac:dyDescent="0.3">
      <c r="G326" s="98"/>
    </row>
    <row r="327" spans="7:7" ht="15.75" customHeight="1" x14ac:dyDescent="0.3">
      <c r="G327" s="98"/>
    </row>
    <row r="328" spans="7:7" ht="15.75" customHeight="1" x14ac:dyDescent="0.3">
      <c r="G328" s="98"/>
    </row>
    <row r="329" spans="7:7" ht="15.75" customHeight="1" x14ac:dyDescent="0.3">
      <c r="G329" s="98"/>
    </row>
    <row r="330" spans="7:7" ht="15.75" customHeight="1" x14ac:dyDescent="0.3">
      <c r="G330" s="98"/>
    </row>
    <row r="331" spans="7:7" ht="15.75" customHeight="1" x14ac:dyDescent="0.3">
      <c r="G331" s="98"/>
    </row>
    <row r="332" spans="7:7" ht="15.75" customHeight="1" x14ac:dyDescent="0.3">
      <c r="G332" s="98"/>
    </row>
    <row r="333" spans="7:7" ht="15.75" customHeight="1" x14ac:dyDescent="0.3">
      <c r="G333" s="98"/>
    </row>
    <row r="334" spans="7:7" ht="15.75" customHeight="1" x14ac:dyDescent="0.3">
      <c r="G334" s="98"/>
    </row>
    <row r="335" spans="7:7" ht="15.75" customHeight="1" x14ac:dyDescent="0.3">
      <c r="G335" s="98"/>
    </row>
    <row r="336" spans="7:7" ht="15.75" customHeight="1" x14ac:dyDescent="0.3">
      <c r="G336" s="98"/>
    </row>
    <row r="337" spans="7:7" ht="15.75" customHeight="1" x14ac:dyDescent="0.3">
      <c r="G337" s="98"/>
    </row>
    <row r="338" spans="7:7" ht="15.75" customHeight="1" x14ac:dyDescent="0.3">
      <c r="G338" s="98"/>
    </row>
    <row r="339" spans="7:7" ht="15.75" customHeight="1" x14ac:dyDescent="0.3">
      <c r="G339" s="98"/>
    </row>
    <row r="340" spans="7:7" ht="15.75" customHeight="1" x14ac:dyDescent="0.3">
      <c r="G340" s="98"/>
    </row>
    <row r="341" spans="7:7" ht="15.75" customHeight="1" x14ac:dyDescent="0.3">
      <c r="G341" s="98"/>
    </row>
    <row r="342" spans="7:7" ht="15.75" customHeight="1" x14ac:dyDescent="0.3">
      <c r="G342" s="98"/>
    </row>
    <row r="343" spans="7:7" ht="15.75" customHeight="1" x14ac:dyDescent="0.3">
      <c r="G343" s="98"/>
    </row>
    <row r="344" spans="7:7" ht="15.75" customHeight="1" x14ac:dyDescent="0.3">
      <c r="G344" s="98"/>
    </row>
    <row r="345" spans="7:7" ht="15.75" customHeight="1" x14ac:dyDescent="0.3">
      <c r="G345" s="98"/>
    </row>
    <row r="346" spans="7:7" ht="15.75" customHeight="1" x14ac:dyDescent="0.3">
      <c r="G346" s="98"/>
    </row>
    <row r="347" spans="7:7" ht="15.75" customHeight="1" x14ac:dyDescent="0.3">
      <c r="G347" s="98"/>
    </row>
    <row r="348" spans="7:7" ht="15.75" customHeight="1" x14ac:dyDescent="0.3">
      <c r="G348" s="98"/>
    </row>
    <row r="349" spans="7:7" ht="15.75" customHeight="1" x14ac:dyDescent="0.3">
      <c r="G349" s="98"/>
    </row>
    <row r="350" spans="7:7" ht="15.75" customHeight="1" x14ac:dyDescent="0.3">
      <c r="G350" s="98"/>
    </row>
    <row r="351" spans="7:7" ht="15.75" customHeight="1" x14ac:dyDescent="0.3">
      <c r="G351" s="98"/>
    </row>
    <row r="352" spans="7:7" ht="15.75" customHeight="1" x14ac:dyDescent="0.3">
      <c r="G352" s="98"/>
    </row>
    <row r="353" spans="7:7" ht="15.75" customHeight="1" x14ac:dyDescent="0.3">
      <c r="G353" s="98"/>
    </row>
    <row r="354" spans="7:7" ht="15.75" customHeight="1" x14ac:dyDescent="0.3">
      <c r="G354" s="98"/>
    </row>
    <row r="355" spans="7:7" ht="15.75" customHeight="1" x14ac:dyDescent="0.3">
      <c r="G355" s="98"/>
    </row>
    <row r="356" spans="7:7" ht="15.75" customHeight="1" x14ac:dyDescent="0.3">
      <c r="G356" s="98"/>
    </row>
    <row r="357" spans="7:7" ht="15.75" customHeight="1" x14ac:dyDescent="0.3">
      <c r="G357" s="98"/>
    </row>
    <row r="358" spans="7:7" ht="15.75" customHeight="1" x14ac:dyDescent="0.3">
      <c r="G358" s="98"/>
    </row>
    <row r="359" spans="7:7" ht="15.75" customHeight="1" x14ac:dyDescent="0.3">
      <c r="G359" s="98"/>
    </row>
    <row r="360" spans="7:7" ht="15.75" customHeight="1" x14ac:dyDescent="0.3">
      <c r="G360" s="98"/>
    </row>
    <row r="361" spans="7:7" ht="15.75" customHeight="1" x14ac:dyDescent="0.3">
      <c r="G361" s="98"/>
    </row>
    <row r="362" spans="7:7" ht="15.75" customHeight="1" x14ac:dyDescent="0.3">
      <c r="G362" s="98"/>
    </row>
    <row r="363" spans="7:7" ht="15.75" customHeight="1" x14ac:dyDescent="0.3">
      <c r="G363" s="98"/>
    </row>
    <row r="364" spans="7:7" ht="15.75" customHeight="1" x14ac:dyDescent="0.3">
      <c r="G364" s="98"/>
    </row>
    <row r="365" spans="7:7" ht="15.75" customHeight="1" x14ac:dyDescent="0.3">
      <c r="G365" s="98"/>
    </row>
    <row r="366" spans="7:7" ht="15.75" customHeight="1" x14ac:dyDescent="0.3">
      <c r="G366" s="98"/>
    </row>
    <row r="367" spans="7:7" ht="15.75" customHeight="1" x14ac:dyDescent="0.3">
      <c r="G367" s="98"/>
    </row>
    <row r="368" spans="7:7" ht="15.75" customHeight="1" x14ac:dyDescent="0.3">
      <c r="G368" s="98"/>
    </row>
    <row r="369" spans="7:7" ht="15.75" customHeight="1" x14ac:dyDescent="0.3">
      <c r="G369" s="98"/>
    </row>
    <row r="370" spans="7:7" ht="15.75" customHeight="1" x14ac:dyDescent="0.3">
      <c r="G370" s="98"/>
    </row>
    <row r="371" spans="7:7" ht="15.75" customHeight="1" x14ac:dyDescent="0.3">
      <c r="G371" s="98"/>
    </row>
    <row r="372" spans="7:7" ht="15.75" customHeight="1" x14ac:dyDescent="0.3">
      <c r="G372" s="98"/>
    </row>
    <row r="373" spans="7:7" ht="15.75" customHeight="1" x14ac:dyDescent="0.3">
      <c r="G373" s="98"/>
    </row>
    <row r="374" spans="7:7" ht="15.75" customHeight="1" x14ac:dyDescent="0.3">
      <c r="G374" s="98"/>
    </row>
    <row r="375" spans="7:7" ht="15.75" customHeight="1" x14ac:dyDescent="0.3">
      <c r="G375" s="98"/>
    </row>
    <row r="376" spans="7:7" ht="15.75" customHeight="1" x14ac:dyDescent="0.3">
      <c r="G376" s="98"/>
    </row>
    <row r="377" spans="7:7" ht="15.75" customHeight="1" x14ac:dyDescent="0.3">
      <c r="G377" s="98"/>
    </row>
    <row r="378" spans="7:7" ht="15.75" customHeight="1" x14ac:dyDescent="0.3">
      <c r="G378" s="98"/>
    </row>
    <row r="379" spans="7:7" ht="15.75" customHeight="1" x14ac:dyDescent="0.3">
      <c r="G379" s="98"/>
    </row>
    <row r="380" spans="7:7" ht="15.75" customHeight="1" x14ac:dyDescent="0.3">
      <c r="G380" s="98"/>
    </row>
    <row r="381" spans="7:7" ht="15.75" customHeight="1" x14ac:dyDescent="0.3">
      <c r="G381" s="98"/>
    </row>
    <row r="382" spans="7:7" ht="15.75" customHeight="1" x14ac:dyDescent="0.3">
      <c r="G382" s="98"/>
    </row>
    <row r="383" spans="7:7" ht="15.75" customHeight="1" x14ac:dyDescent="0.3">
      <c r="G383" s="98"/>
    </row>
    <row r="384" spans="7:7" ht="15.75" customHeight="1" x14ac:dyDescent="0.3">
      <c r="G384" s="98"/>
    </row>
    <row r="385" spans="7:7" ht="15.75" customHeight="1" x14ac:dyDescent="0.3">
      <c r="G385" s="98"/>
    </row>
    <row r="386" spans="7:7" ht="15.75" customHeight="1" x14ac:dyDescent="0.3">
      <c r="G386" s="98"/>
    </row>
    <row r="387" spans="7:7" ht="15.75" customHeight="1" x14ac:dyDescent="0.3">
      <c r="G387" s="98"/>
    </row>
    <row r="388" spans="7:7" ht="15.75" customHeight="1" x14ac:dyDescent="0.3">
      <c r="G388" s="98"/>
    </row>
    <row r="389" spans="7:7" ht="15.75" customHeight="1" x14ac:dyDescent="0.3">
      <c r="G389" s="98"/>
    </row>
    <row r="390" spans="7:7" ht="15.75" customHeight="1" x14ac:dyDescent="0.3">
      <c r="G390" s="98"/>
    </row>
    <row r="391" spans="7:7" ht="15.75" customHeight="1" x14ac:dyDescent="0.3">
      <c r="G391" s="98"/>
    </row>
    <row r="392" spans="7:7" ht="15.75" customHeight="1" x14ac:dyDescent="0.3">
      <c r="G392" s="98"/>
    </row>
    <row r="393" spans="7:7" ht="15.75" customHeight="1" x14ac:dyDescent="0.3">
      <c r="G393" s="98"/>
    </row>
    <row r="394" spans="7:7" ht="15.75" customHeight="1" x14ac:dyDescent="0.3">
      <c r="G394" s="98"/>
    </row>
    <row r="395" spans="7:7" ht="15.75" customHeight="1" x14ac:dyDescent="0.3">
      <c r="G395" s="98"/>
    </row>
    <row r="396" spans="7:7" ht="15.75" customHeight="1" x14ac:dyDescent="0.3">
      <c r="G396" s="98"/>
    </row>
    <row r="397" spans="7:7" ht="15.75" customHeight="1" x14ac:dyDescent="0.3">
      <c r="G397" s="98"/>
    </row>
    <row r="398" spans="7:7" ht="15.75" customHeight="1" x14ac:dyDescent="0.3">
      <c r="G398" s="98"/>
    </row>
    <row r="399" spans="7:7" ht="15.75" customHeight="1" x14ac:dyDescent="0.3">
      <c r="G399" s="98"/>
    </row>
    <row r="400" spans="7:7" ht="15.75" customHeight="1" x14ac:dyDescent="0.3">
      <c r="G400" s="98"/>
    </row>
    <row r="401" spans="7:7" ht="15.75" customHeight="1" x14ac:dyDescent="0.3">
      <c r="G401" s="98"/>
    </row>
    <row r="402" spans="7:7" ht="15.75" customHeight="1" x14ac:dyDescent="0.3">
      <c r="G402" s="98"/>
    </row>
    <row r="403" spans="7:7" ht="15.75" customHeight="1" x14ac:dyDescent="0.3">
      <c r="G403" s="98"/>
    </row>
    <row r="404" spans="7:7" ht="15.75" customHeight="1" x14ac:dyDescent="0.3">
      <c r="G404" s="98"/>
    </row>
    <row r="405" spans="7:7" ht="15.75" customHeight="1" x14ac:dyDescent="0.3">
      <c r="G405" s="98"/>
    </row>
    <row r="406" spans="7:7" ht="15.75" customHeight="1" x14ac:dyDescent="0.3">
      <c r="G406" s="98"/>
    </row>
    <row r="407" spans="7:7" ht="15.75" customHeight="1" x14ac:dyDescent="0.3">
      <c r="G407" s="98"/>
    </row>
    <row r="408" spans="7:7" ht="15.75" customHeight="1" x14ac:dyDescent="0.3">
      <c r="G408" s="98"/>
    </row>
    <row r="409" spans="7:7" ht="15.75" customHeight="1" x14ac:dyDescent="0.3">
      <c r="G409" s="98"/>
    </row>
    <row r="410" spans="7:7" ht="15.75" customHeight="1" x14ac:dyDescent="0.3">
      <c r="G410" s="98"/>
    </row>
    <row r="411" spans="7:7" ht="15.75" customHeight="1" x14ac:dyDescent="0.3">
      <c r="G411" s="98"/>
    </row>
    <row r="412" spans="7:7" ht="15.75" customHeight="1" x14ac:dyDescent="0.3">
      <c r="G412" s="98"/>
    </row>
    <row r="413" spans="7:7" ht="15.75" customHeight="1" x14ac:dyDescent="0.3">
      <c r="G413" s="98"/>
    </row>
    <row r="414" spans="7:7" ht="15.75" customHeight="1" x14ac:dyDescent="0.3">
      <c r="G414" s="98"/>
    </row>
    <row r="415" spans="7:7" ht="15.75" customHeight="1" x14ac:dyDescent="0.3">
      <c r="G415" s="98"/>
    </row>
    <row r="416" spans="7:7" ht="15.75" customHeight="1" x14ac:dyDescent="0.3">
      <c r="G416" s="98"/>
    </row>
    <row r="417" spans="7:7" ht="15.75" customHeight="1" x14ac:dyDescent="0.3">
      <c r="G417" s="98"/>
    </row>
    <row r="418" spans="7:7" ht="15.75" customHeight="1" x14ac:dyDescent="0.3">
      <c r="G418" s="98"/>
    </row>
    <row r="419" spans="7:7" ht="15.75" customHeight="1" x14ac:dyDescent="0.3">
      <c r="G419" s="98"/>
    </row>
    <row r="420" spans="7:7" ht="15.75" customHeight="1" x14ac:dyDescent="0.3">
      <c r="G420" s="98"/>
    </row>
    <row r="421" spans="7:7" ht="15.75" customHeight="1" x14ac:dyDescent="0.3">
      <c r="G421" s="98"/>
    </row>
    <row r="422" spans="7:7" ht="15.75" customHeight="1" x14ac:dyDescent="0.3">
      <c r="G422" s="98"/>
    </row>
    <row r="423" spans="7:7" ht="15.75" customHeight="1" x14ac:dyDescent="0.3">
      <c r="G423" s="98"/>
    </row>
    <row r="424" spans="7:7" ht="15.75" customHeight="1" x14ac:dyDescent="0.3">
      <c r="G424" s="98"/>
    </row>
    <row r="425" spans="7:7" ht="15.75" customHeight="1" x14ac:dyDescent="0.3">
      <c r="G425" s="98"/>
    </row>
    <row r="426" spans="7:7" ht="15.75" customHeight="1" x14ac:dyDescent="0.3">
      <c r="G426" s="98"/>
    </row>
    <row r="427" spans="7:7" ht="15.75" customHeight="1" x14ac:dyDescent="0.3">
      <c r="G427" s="98"/>
    </row>
    <row r="428" spans="7:7" ht="15.75" customHeight="1" x14ac:dyDescent="0.3">
      <c r="G428" s="98"/>
    </row>
    <row r="429" spans="7:7" ht="15.75" customHeight="1" x14ac:dyDescent="0.3">
      <c r="G429" s="98"/>
    </row>
    <row r="430" spans="7:7" ht="15.75" customHeight="1" x14ac:dyDescent="0.3">
      <c r="G430" s="98"/>
    </row>
    <row r="431" spans="7:7" ht="15.75" customHeight="1" x14ac:dyDescent="0.3">
      <c r="G431" s="98"/>
    </row>
    <row r="432" spans="7:7" ht="15.75" customHeight="1" x14ac:dyDescent="0.3">
      <c r="G432" s="98"/>
    </row>
    <row r="433" spans="7:7" ht="15.75" customHeight="1" x14ac:dyDescent="0.3">
      <c r="G433" s="98"/>
    </row>
    <row r="434" spans="7:7" ht="15.75" customHeight="1" x14ac:dyDescent="0.3">
      <c r="G434" s="98"/>
    </row>
    <row r="435" spans="7:7" ht="15.75" customHeight="1" x14ac:dyDescent="0.3">
      <c r="G435" s="98"/>
    </row>
    <row r="436" spans="7:7" ht="15.75" customHeight="1" x14ac:dyDescent="0.3">
      <c r="G436" s="98"/>
    </row>
    <row r="437" spans="7:7" ht="15.75" customHeight="1" x14ac:dyDescent="0.3">
      <c r="G437" s="98"/>
    </row>
    <row r="438" spans="7:7" ht="15.75" customHeight="1" x14ac:dyDescent="0.3">
      <c r="G438" s="98"/>
    </row>
    <row r="439" spans="7:7" ht="15.75" customHeight="1" x14ac:dyDescent="0.3">
      <c r="G439" s="98"/>
    </row>
    <row r="440" spans="7:7" ht="15.75" customHeight="1" x14ac:dyDescent="0.3">
      <c r="G440" s="98"/>
    </row>
    <row r="441" spans="7:7" ht="15.75" customHeight="1" x14ac:dyDescent="0.3">
      <c r="G441" s="98"/>
    </row>
    <row r="442" spans="7:7" ht="15.75" customHeight="1" x14ac:dyDescent="0.3">
      <c r="G442" s="98"/>
    </row>
    <row r="443" spans="7:7" ht="15.75" customHeight="1" x14ac:dyDescent="0.3">
      <c r="G443" s="98"/>
    </row>
    <row r="444" spans="7:7" ht="15.75" customHeight="1" x14ac:dyDescent="0.3">
      <c r="G444" s="98"/>
    </row>
    <row r="445" spans="7:7" ht="15.75" customHeight="1" x14ac:dyDescent="0.3">
      <c r="G445" s="98"/>
    </row>
    <row r="446" spans="7:7" ht="15.75" customHeight="1" x14ac:dyDescent="0.3">
      <c r="G446" s="98"/>
    </row>
    <row r="447" spans="7:7" ht="15.75" customHeight="1" x14ac:dyDescent="0.3">
      <c r="G447" s="98"/>
    </row>
    <row r="448" spans="7:7" ht="15.75" customHeight="1" x14ac:dyDescent="0.3">
      <c r="G448" s="98"/>
    </row>
    <row r="449" spans="7:7" ht="15.75" customHeight="1" x14ac:dyDescent="0.3">
      <c r="G449" s="98"/>
    </row>
    <row r="450" spans="7:7" ht="15.75" customHeight="1" x14ac:dyDescent="0.3">
      <c r="G450" s="98"/>
    </row>
    <row r="451" spans="7:7" ht="15.75" customHeight="1" x14ac:dyDescent="0.3">
      <c r="G451" s="98"/>
    </row>
    <row r="452" spans="7:7" ht="15.75" customHeight="1" x14ac:dyDescent="0.3">
      <c r="G452" s="98"/>
    </row>
    <row r="453" spans="7:7" ht="15.75" customHeight="1" x14ac:dyDescent="0.3">
      <c r="G453" s="98"/>
    </row>
    <row r="454" spans="7:7" ht="15.75" customHeight="1" x14ac:dyDescent="0.3">
      <c r="G454" s="98"/>
    </row>
    <row r="455" spans="7:7" ht="15.75" customHeight="1" x14ac:dyDescent="0.3">
      <c r="G455" s="98"/>
    </row>
    <row r="456" spans="7:7" ht="15.75" customHeight="1" x14ac:dyDescent="0.3">
      <c r="G456" s="98"/>
    </row>
    <row r="457" spans="7:7" ht="15.75" customHeight="1" x14ac:dyDescent="0.3">
      <c r="G457" s="98"/>
    </row>
    <row r="458" spans="7:7" ht="15.75" customHeight="1" x14ac:dyDescent="0.3">
      <c r="G458" s="98"/>
    </row>
    <row r="459" spans="7:7" ht="15.75" customHeight="1" x14ac:dyDescent="0.3">
      <c r="G459" s="98"/>
    </row>
    <row r="460" spans="7:7" ht="15.75" customHeight="1" x14ac:dyDescent="0.3">
      <c r="G460" s="98"/>
    </row>
    <row r="461" spans="7:7" ht="15.75" customHeight="1" x14ac:dyDescent="0.3">
      <c r="G461" s="98"/>
    </row>
    <row r="462" spans="7:7" ht="15.75" customHeight="1" x14ac:dyDescent="0.3">
      <c r="G462" s="98"/>
    </row>
    <row r="463" spans="7:7" ht="15.75" customHeight="1" x14ac:dyDescent="0.3">
      <c r="G463" s="98"/>
    </row>
    <row r="464" spans="7:7" ht="15.75" customHeight="1" x14ac:dyDescent="0.3">
      <c r="G464" s="98"/>
    </row>
    <row r="465" spans="7:7" ht="15.75" customHeight="1" x14ac:dyDescent="0.3">
      <c r="G465" s="98"/>
    </row>
    <row r="466" spans="7:7" ht="15.75" customHeight="1" x14ac:dyDescent="0.3">
      <c r="G466" s="98"/>
    </row>
    <row r="467" spans="7:7" ht="15.75" customHeight="1" x14ac:dyDescent="0.3">
      <c r="G467" s="98"/>
    </row>
    <row r="468" spans="7:7" ht="15.75" customHeight="1" x14ac:dyDescent="0.3">
      <c r="G468" s="98"/>
    </row>
    <row r="469" spans="7:7" ht="15.75" customHeight="1" x14ac:dyDescent="0.3">
      <c r="G469" s="98"/>
    </row>
    <row r="470" spans="7:7" ht="15.75" customHeight="1" x14ac:dyDescent="0.3">
      <c r="G470" s="98"/>
    </row>
    <row r="471" spans="7:7" ht="15.75" customHeight="1" x14ac:dyDescent="0.3">
      <c r="G471" s="98"/>
    </row>
    <row r="472" spans="7:7" ht="15.75" customHeight="1" x14ac:dyDescent="0.3">
      <c r="G472" s="98"/>
    </row>
    <row r="473" spans="7:7" ht="15.75" customHeight="1" x14ac:dyDescent="0.3">
      <c r="G473" s="98"/>
    </row>
    <row r="474" spans="7:7" ht="15.75" customHeight="1" x14ac:dyDescent="0.3">
      <c r="G474" s="98"/>
    </row>
    <row r="475" spans="7:7" ht="15.75" customHeight="1" x14ac:dyDescent="0.3">
      <c r="G475" s="98"/>
    </row>
    <row r="476" spans="7:7" ht="15.75" customHeight="1" x14ac:dyDescent="0.3">
      <c r="G476" s="98"/>
    </row>
    <row r="477" spans="7:7" ht="15.75" customHeight="1" x14ac:dyDescent="0.3">
      <c r="G477" s="98"/>
    </row>
    <row r="478" spans="7:7" ht="15.75" customHeight="1" x14ac:dyDescent="0.3">
      <c r="G478" s="98"/>
    </row>
    <row r="479" spans="7:7" ht="15.75" customHeight="1" x14ac:dyDescent="0.3">
      <c r="G479" s="98"/>
    </row>
    <row r="480" spans="7:7" ht="15.75" customHeight="1" x14ac:dyDescent="0.3">
      <c r="G480" s="98"/>
    </row>
    <row r="481" spans="7:7" ht="15.75" customHeight="1" x14ac:dyDescent="0.3">
      <c r="G481" s="98"/>
    </row>
    <row r="482" spans="7:7" ht="15.75" customHeight="1" x14ac:dyDescent="0.3">
      <c r="G482" s="98"/>
    </row>
    <row r="483" spans="7:7" ht="15.75" customHeight="1" x14ac:dyDescent="0.3">
      <c r="G483" s="98"/>
    </row>
    <row r="484" spans="7:7" ht="15.75" customHeight="1" x14ac:dyDescent="0.3">
      <c r="G484" s="98"/>
    </row>
    <row r="485" spans="7:7" ht="15.75" customHeight="1" x14ac:dyDescent="0.3">
      <c r="G485" s="98"/>
    </row>
    <row r="486" spans="7:7" ht="15.75" customHeight="1" x14ac:dyDescent="0.3">
      <c r="G486" s="98"/>
    </row>
    <row r="487" spans="7:7" ht="15.75" customHeight="1" x14ac:dyDescent="0.3">
      <c r="G487" s="98"/>
    </row>
    <row r="488" spans="7:7" ht="15.75" customHeight="1" x14ac:dyDescent="0.3">
      <c r="G488" s="98"/>
    </row>
    <row r="489" spans="7:7" ht="15.75" customHeight="1" x14ac:dyDescent="0.3">
      <c r="G489" s="98"/>
    </row>
    <row r="490" spans="7:7" ht="15.75" customHeight="1" x14ac:dyDescent="0.3">
      <c r="G490" s="98"/>
    </row>
    <row r="491" spans="7:7" ht="15.75" customHeight="1" x14ac:dyDescent="0.3">
      <c r="G491" s="98"/>
    </row>
    <row r="492" spans="7:7" ht="15.75" customHeight="1" x14ac:dyDescent="0.3">
      <c r="G492" s="98"/>
    </row>
    <row r="493" spans="7:7" ht="15.75" customHeight="1" x14ac:dyDescent="0.3">
      <c r="G493" s="98"/>
    </row>
    <row r="494" spans="7:7" ht="15.75" customHeight="1" x14ac:dyDescent="0.3">
      <c r="G494" s="98"/>
    </row>
    <row r="495" spans="7:7" ht="15.75" customHeight="1" x14ac:dyDescent="0.3">
      <c r="G495" s="98"/>
    </row>
    <row r="496" spans="7:7" ht="15.75" customHeight="1" x14ac:dyDescent="0.3">
      <c r="G496" s="98"/>
    </row>
    <row r="497" spans="7:7" ht="15.75" customHeight="1" x14ac:dyDescent="0.3">
      <c r="G497" s="98"/>
    </row>
    <row r="498" spans="7:7" ht="15.75" customHeight="1" x14ac:dyDescent="0.3">
      <c r="G498" s="98"/>
    </row>
    <row r="499" spans="7:7" ht="15.75" customHeight="1" x14ac:dyDescent="0.3">
      <c r="G499" s="98"/>
    </row>
    <row r="500" spans="7:7" ht="15.75" customHeight="1" x14ac:dyDescent="0.3">
      <c r="G500" s="98"/>
    </row>
    <row r="501" spans="7:7" ht="15.75" customHeight="1" x14ac:dyDescent="0.3">
      <c r="G501" s="98"/>
    </row>
    <row r="502" spans="7:7" ht="15.75" customHeight="1" x14ac:dyDescent="0.3">
      <c r="G502" s="98"/>
    </row>
    <row r="503" spans="7:7" ht="15.75" customHeight="1" x14ac:dyDescent="0.3">
      <c r="G503" s="98"/>
    </row>
    <row r="504" spans="7:7" ht="15.75" customHeight="1" x14ac:dyDescent="0.3">
      <c r="G504" s="98"/>
    </row>
    <row r="505" spans="7:7" ht="15.75" customHeight="1" x14ac:dyDescent="0.3">
      <c r="G505" s="98"/>
    </row>
    <row r="506" spans="7:7" ht="15.75" customHeight="1" x14ac:dyDescent="0.3">
      <c r="G506" s="98"/>
    </row>
    <row r="507" spans="7:7" ht="15.75" customHeight="1" x14ac:dyDescent="0.3">
      <c r="G507" s="98"/>
    </row>
    <row r="508" spans="7:7" ht="15.75" customHeight="1" x14ac:dyDescent="0.3">
      <c r="G508" s="98"/>
    </row>
    <row r="509" spans="7:7" ht="15.75" customHeight="1" x14ac:dyDescent="0.3">
      <c r="G509" s="98"/>
    </row>
    <row r="510" spans="7:7" ht="15.75" customHeight="1" x14ac:dyDescent="0.3">
      <c r="G510" s="98"/>
    </row>
    <row r="511" spans="7:7" ht="15.75" customHeight="1" x14ac:dyDescent="0.3">
      <c r="G511" s="98"/>
    </row>
    <row r="512" spans="7:7" ht="15.75" customHeight="1" x14ac:dyDescent="0.3">
      <c r="G512" s="98"/>
    </row>
    <row r="513" spans="7:7" ht="15.75" customHeight="1" x14ac:dyDescent="0.3">
      <c r="G513" s="98"/>
    </row>
    <row r="514" spans="7:7" ht="15.75" customHeight="1" x14ac:dyDescent="0.3">
      <c r="G514" s="98"/>
    </row>
    <row r="515" spans="7:7" ht="15.75" customHeight="1" x14ac:dyDescent="0.3">
      <c r="G515" s="98"/>
    </row>
    <row r="516" spans="7:7" ht="15.75" customHeight="1" x14ac:dyDescent="0.3">
      <c r="G516" s="98"/>
    </row>
    <row r="517" spans="7:7" ht="15.75" customHeight="1" x14ac:dyDescent="0.3">
      <c r="G517" s="98"/>
    </row>
    <row r="518" spans="7:7" ht="15.75" customHeight="1" x14ac:dyDescent="0.3">
      <c r="G518" s="98"/>
    </row>
    <row r="519" spans="7:7" ht="15.75" customHeight="1" x14ac:dyDescent="0.3">
      <c r="G519" s="98"/>
    </row>
    <row r="520" spans="7:7" ht="15.75" customHeight="1" x14ac:dyDescent="0.3">
      <c r="G520" s="98"/>
    </row>
    <row r="521" spans="7:7" ht="15.75" customHeight="1" x14ac:dyDescent="0.3">
      <c r="G521" s="98"/>
    </row>
    <row r="522" spans="7:7" ht="15.75" customHeight="1" x14ac:dyDescent="0.3">
      <c r="G522" s="98"/>
    </row>
    <row r="523" spans="7:7" ht="15.75" customHeight="1" x14ac:dyDescent="0.3">
      <c r="G523" s="98"/>
    </row>
    <row r="524" spans="7:7" ht="15.75" customHeight="1" x14ac:dyDescent="0.3">
      <c r="G524" s="98"/>
    </row>
    <row r="525" spans="7:7" ht="15.75" customHeight="1" x14ac:dyDescent="0.3">
      <c r="G525" s="98"/>
    </row>
    <row r="526" spans="7:7" ht="15.75" customHeight="1" x14ac:dyDescent="0.3">
      <c r="G526" s="98"/>
    </row>
    <row r="527" spans="7:7" ht="15.75" customHeight="1" x14ac:dyDescent="0.3">
      <c r="G527" s="98"/>
    </row>
    <row r="528" spans="7:7" ht="15.75" customHeight="1" x14ac:dyDescent="0.3">
      <c r="G528" s="98"/>
    </row>
    <row r="529" spans="7:7" ht="15.75" customHeight="1" x14ac:dyDescent="0.3">
      <c r="G529" s="98"/>
    </row>
    <row r="530" spans="7:7" ht="15.75" customHeight="1" x14ac:dyDescent="0.3">
      <c r="G530" s="98"/>
    </row>
    <row r="531" spans="7:7" ht="15.75" customHeight="1" x14ac:dyDescent="0.3">
      <c r="G531" s="98"/>
    </row>
    <row r="532" spans="7:7" ht="15.75" customHeight="1" x14ac:dyDescent="0.3">
      <c r="G532" s="98"/>
    </row>
    <row r="533" spans="7:7" ht="15.75" customHeight="1" x14ac:dyDescent="0.3">
      <c r="G533" s="98"/>
    </row>
    <row r="534" spans="7:7" ht="15.75" customHeight="1" x14ac:dyDescent="0.3">
      <c r="G534" s="98"/>
    </row>
    <row r="535" spans="7:7" ht="15.75" customHeight="1" x14ac:dyDescent="0.3">
      <c r="G535" s="98"/>
    </row>
    <row r="536" spans="7:7" ht="15.75" customHeight="1" x14ac:dyDescent="0.3">
      <c r="G536" s="98"/>
    </row>
    <row r="537" spans="7:7" ht="15.75" customHeight="1" x14ac:dyDescent="0.3">
      <c r="G537" s="98"/>
    </row>
    <row r="538" spans="7:7" ht="15.75" customHeight="1" x14ac:dyDescent="0.3">
      <c r="G538" s="98"/>
    </row>
    <row r="539" spans="7:7" ht="15.75" customHeight="1" x14ac:dyDescent="0.3">
      <c r="G539" s="98"/>
    </row>
    <row r="540" spans="7:7" ht="15.75" customHeight="1" x14ac:dyDescent="0.3">
      <c r="G540" s="98"/>
    </row>
    <row r="541" spans="7:7" ht="15.75" customHeight="1" x14ac:dyDescent="0.3">
      <c r="G541" s="98"/>
    </row>
    <row r="542" spans="7:7" ht="15.75" customHeight="1" x14ac:dyDescent="0.3">
      <c r="G542" s="98"/>
    </row>
    <row r="543" spans="7:7" ht="15.75" customHeight="1" x14ac:dyDescent="0.3">
      <c r="G543" s="98"/>
    </row>
    <row r="544" spans="7:7" ht="15.75" customHeight="1" x14ac:dyDescent="0.3">
      <c r="G544" s="98"/>
    </row>
    <row r="545" spans="7:7" ht="15.75" customHeight="1" x14ac:dyDescent="0.3">
      <c r="G545" s="98"/>
    </row>
    <row r="546" spans="7:7" ht="15.75" customHeight="1" x14ac:dyDescent="0.3">
      <c r="G546" s="98"/>
    </row>
    <row r="547" spans="7:7" ht="15.75" customHeight="1" x14ac:dyDescent="0.3">
      <c r="G547" s="98"/>
    </row>
    <row r="548" spans="7:7" ht="15.75" customHeight="1" x14ac:dyDescent="0.3">
      <c r="G548" s="98"/>
    </row>
    <row r="549" spans="7:7" ht="15.75" customHeight="1" x14ac:dyDescent="0.3">
      <c r="G549" s="98"/>
    </row>
    <row r="550" spans="7:7" ht="15.75" customHeight="1" x14ac:dyDescent="0.3">
      <c r="G550" s="98"/>
    </row>
    <row r="551" spans="7:7" ht="15.75" customHeight="1" x14ac:dyDescent="0.3">
      <c r="G551" s="98"/>
    </row>
    <row r="552" spans="7:7" ht="15.75" customHeight="1" x14ac:dyDescent="0.3">
      <c r="G552" s="98"/>
    </row>
    <row r="553" spans="7:7" ht="15.75" customHeight="1" x14ac:dyDescent="0.3">
      <c r="G553" s="98"/>
    </row>
    <row r="554" spans="7:7" ht="15.75" customHeight="1" x14ac:dyDescent="0.3">
      <c r="G554" s="98"/>
    </row>
    <row r="555" spans="7:7" ht="15.75" customHeight="1" x14ac:dyDescent="0.3">
      <c r="G555" s="98"/>
    </row>
    <row r="556" spans="7:7" ht="15.75" customHeight="1" x14ac:dyDescent="0.3">
      <c r="G556" s="98"/>
    </row>
    <row r="557" spans="7:7" ht="15.75" customHeight="1" x14ac:dyDescent="0.3">
      <c r="G557" s="98"/>
    </row>
    <row r="558" spans="7:7" ht="15.75" customHeight="1" x14ac:dyDescent="0.3">
      <c r="G558" s="98"/>
    </row>
    <row r="559" spans="7:7" ht="15.75" customHeight="1" x14ac:dyDescent="0.3">
      <c r="G559" s="98"/>
    </row>
    <row r="560" spans="7:7" ht="15.75" customHeight="1" x14ac:dyDescent="0.3">
      <c r="G560" s="98"/>
    </row>
    <row r="561" spans="7:7" ht="15.75" customHeight="1" x14ac:dyDescent="0.3">
      <c r="G561" s="98"/>
    </row>
    <row r="562" spans="7:7" ht="15.75" customHeight="1" x14ac:dyDescent="0.3">
      <c r="G562" s="98"/>
    </row>
    <row r="563" spans="7:7" ht="15.75" customHeight="1" x14ac:dyDescent="0.3">
      <c r="G563" s="98"/>
    </row>
    <row r="564" spans="7:7" ht="15.75" customHeight="1" x14ac:dyDescent="0.3">
      <c r="G564" s="98"/>
    </row>
    <row r="565" spans="7:7" ht="15.75" customHeight="1" x14ac:dyDescent="0.3">
      <c r="G565" s="98"/>
    </row>
    <row r="566" spans="7:7" ht="15.75" customHeight="1" x14ac:dyDescent="0.3">
      <c r="G566" s="98"/>
    </row>
    <row r="567" spans="7:7" ht="15.75" customHeight="1" x14ac:dyDescent="0.3">
      <c r="G567" s="98"/>
    </row>
    <row r="568" spans="7:7" ht="15.75" customHeight="1" x14ac:dyDescent="0.3">
      <c r="G568" s="98"/>
    </row>
    <row r="569" spans="7:7" ht="15.75" customHeight="1" x14ac:dyDescent="0.3">
      <c r="G569" s="98"/>
    </row>
    <row r="570" spans="7:7" ht="15.75" customHeight="1" x14ac:dyDescent="0.3">
      <c r="G570" s="98"/>
    </row>
    <row r="571" spans="7:7" ht="15.75" customHeight="1" x14ac:dyDescent="0.3">
      <c r="G571" s="98"/>
    </row>
    <row r="572" spans="7:7" ht="15.75" customHeight="1" x14ac:dyDescent="0.3">
      <c r="G572" s="98"/>
    </row>
    <row r="573" spans="7:7" ht="15.75" customHeight="1" x14ac:dyDescent="0.3">
      <c r="G573" s="98"/>
    </row>
    <row r="574" spans="7:7" ht="15.75" customHeight="1" x14ac:dyDescent="0.3">
      <c r="G574" s="98"/>
    </row>
    <row r="575" spans="7:7" ht="15.75" customHeight="1" x14ac:dyDescent="0.3">
      <c r="G575" s="98"/>
    </row>
    <row r="576" spans="7:7" ht="15.75" customHeight="1" x14ac:dyDescent="0.3">
      <c r="G576" s="98"/>
    </row>
    <row r="577" spans="7:7" ht="15.75" customHeight="1" x14ac:dyDescent="0.3">
      <c r="G577" s="98"/>
    </row>
    <row r="578" spans="7:7" ht="15.75" customHeight="1" x14ac:dyDescent="0.3">
      <c r="G578" s="98"/>
    </row>
    <row r="579" spans="7:7" ht="15.75" customHeight="1" x14ac:dyDescent="0.3">
      <c r="G579" s="98"/>
    </row>
    <row r="580" spans="7:7" ht="15.75" customHeight="1" x14ac:dyDescent="0.3">
      <c r="G580" s="98"/>
    </row>
    <row r="581" spans="7:7" ht="15.75" customHeight="1" x14ac:dyDescent="0.3">
      <c r="G581" s="98"/>
    </row>
    <row r="582" spans="7:7" ht="15.75" customHeight="1" x14ac:dyDescent="0.3">
      <c r="G582" s="98"/>
    </row>
    <row r="583" spans="7:7" ht="15.75" customHeight="1" x14ac:dyDescent="0.3">
      <c r="G583" s="98"/>
    </row>
    <row r="584" spans="7:7" ht="15.75" customHeight="1" x14ac:dyDescent="0.3">
      <c r="G584" s="98"/>
    </row>
    <row r="585" spans="7:7" ht="15.75" customHeight="1" x14ac:dyDescent="0.3">
      <c r="G585" s="98"/>
    </row>
    <row r="586" spans="7:7" ht="15.75" customHeight="1" x14ac:dyDescent="0.3">
      <c r="G586" s="98"/>
    </row>
    <row r="587" spans="7:7" ht="15.75" customHeight="1" x14ac:dyDescent="0.3">
      <c r="G587" s="98"/>
    </row>
    <row r="588" spans="7:7" ht="15.75" customHeight="1" x14ac:dyDescent="0.3">
      <c r="G588" s="98"/>
    </row>
    <row r="589" spans="7:7" ht="15.75" customHeight="1" x14ac:dyDescent="0.3">
      <c r="G589" s="98"/>
    </row>
    <row r="590" spans="7:7" ht="15.75" customHeight="1" x14ac:dyDescent="0.3">
      <c r="G590" s="98"/>
    </row>
    <row r="591" spans="7:7" ht="15.75" customHeight="1" x14ac:dyDescent="0.3">
      <c r="G591" s="98"/>
    </row>
    <row r="592" spans="7:7" ht="15.75" customHeight="1" x14ac:dyDescent="0.3">
      <c r="G592" s="98"/>
    </row>
    <row r="593" spans="7:7" ht="15.75" customHeight="1" x14ac:dyDescent="0.3">
      <c r="G593" s="98"/>
    </row>
    <row r="594" spans="7:7" ht="15.75" customHeight="1" x14ac:dyDescent="0.3">
      <c r="G594" s="98"/>
    </row>
    <row r="595" spans="7:7" ht="15.75" customHeight="1" x14ac:dyDescent="0.3">
      <c r="G595" s="98"/>
    </row>
    <row r="596" spans="7:7" ht="15.75" customHeight="1" x14ac:dyDescent="0.3">
      <c r="G596" s="98"/>
    </row>
    <row r="597" spans="7:7" ht="15.75" customHeight="1" x14ac:dyDescent="0.3">
      <c r="G597" s="98"/>
    </row>
    <row r="598" spans="7:7" ht="15.75" customHeight="1" x14ac:dyDescent="0.3">
      <c r="G598" s="98"/>
    </row>
    <row r="599" spans="7:7" ht="15.75" customHeight="1" x14ac:dyDescent="0.3">
      <c r="G599" s="98"/>
    </row>
    <row r="600" spans="7:7" ht="15.75" customHeight="1" x14ac:dyDescent="0.3">
      <c r="G600" s="98"/>
    </row>
    <row r="601" spans="7:7" ht="15.75" customHeight="1" x14ac:dyDescent="0.3">
      <c r="G601" s="98"/>
    </row>
    <row r="602" spans="7:7" ht="15.75" customHeight="1" x14ac:dyDescent="0.3">
      <c r="G602" s="98"/>
    </row>
    <row r="603" spans="7:7" ht="15.75" customHeight="1" x14ac:dyDescent="0.3">
      <c r="G603" s="98"/>
    </row>
    <row r="604" spans="7:7" ht="15.75" customHeight="1" x14ac:dyDescent="0.3">
      <c r="G604" s="98"/>
    </row>
    <row r="605" spans="7:7" ht="15.75" customHeight="1" x14ac:dyDescent="0.3">
      <c r="G605" s="98"/>
    </row>
    <row r="606" spans="7:7" ht="15.75" customHeight="1" x14ac:dyDescent="0.3">
      <c r="G606" s="98"/>
    </row>
    <row r="607" spans="7:7" ht="15.75" customHeight="1" x14ac:dyDescent="0.3">
      <c r="G607" s="98"/>
    </row>
    <row r="608" spans="7:7" ht="15.75" customHeight="1" x14ac:dyDescent="0.3">
      <c r="G608" s="98"/>
    </row>
    <row r="609" spans="7:7" ht="15.75" customHeight="1" x14ac:dyDescent="0.3">
      <c r="G609" s="98"/>
    </row>
    <row r="610" spans="7:7" ht="15.75" customHeight="1" x14ac:dyDescent="0.3">
      <c r="G610" s="98"/>
    </row>
    <row r="611" spans="7:7" ht="15.75" customHeight="1" x14ac:dyDescent="0.3">
      <c r="G611" s="98"/>
    </row>
    <row r="612" spans="7:7" ht="15.75" customHeight="1" x14ac:dyDescent="0.3">
      <c r="G612" s="98"/>
    </row>
    <row r="613" spans="7:7" ht="15.75" customHeight="1" x14ac:dyDescent="0.3">
      <c r="G613" s="98"/>
    </row>
    <row r="614" spans="7:7" ht="15.75" customHeight="1" x14ac:dyDescent="0.3">
      <c r="G614" s="98"/>
    </row>
    <row r="615" spans="7:7" ht="15.75" customHeight="1" x14ac:dyDescent="0.3">
      <c r="G615" s="98"/>
    </row>
    <row r="616" spans="7:7" ht="15.75" customHeight="1" x14ac:dyDescent="0.3">
      <c r="G616" s="98"/>
    </row>
    <row r="617" spans="7:7" ht="15.75" customHeight="1" x14ac:dyDescent="0.3">
      <c r="G617" s="98"/>
    </row>
    <row r="618" spans="7:7" ht="15.75" customHeight="1" x14ac:dyDescent="0.3">
      <c r="G618" s="98"/>
    </row>
    <row r="619" spans="7:7" ht="15.75" customHeight="1" x14ac:dyDescent="0.3">
      <c r="G619" s="98"/>
    </row>
    <row r="620" spans="7:7" ht="15.75" customHeight="1" x14ac:dyDescent="0.3">
      <c r="G620" s="98"/>
    </row>
    <row r="621" spans="7:7" ht="15.75" customHeight="1" x14ac:dyDescent="0.3">
      <c r="G621" s="98"/>
    </row>
    <row r="622" spans="7:7" ht="15.75" customHeight="1" x14ac:dyDescent="0.3">
      <c r="G622" s="98"/>
    </row>
    <row r="623" spans="7:7" ht="15.75" customHeight="1" x14ac:dyDescent="0.3">
      <c r="G623" s="98"/>
    </row>
    <row r="624" spans="7:7" ht="15.75" customHeight="1" x14ac:dyDescent="0.3">
      <c r="G624" s="98"/>
    </row>
    <row r="625" spans="7:7" ht="15.75" customHeight="1" x14ac:dyDescent="0.3">
      <c r="G625" s="98"/>
    </row>
    <row r="626" spans="7:7" ht="15.75" customHeight="1" x14ac:dyDescent="0.3">
      <c r="G626" s="98"/>
    </row>
    <row r="627" spans="7:7" ht="15.75" customHeight="1" x14ac:dyDescent="0.3">
      <c r="G627" s="98"/>
    </row>
    <row r="628" spans="7:7" ht="15.75" customHeight="1" x14ac:dyDescent="0.3">
      <c r="G628" s="98"/>
    </row>
    <row r="629" spans="7:7" ht="15.75" customHeight="1" x14ac:dyDescent="0.3">
      <c r="G629" s="98"/>
    </row>
    <row r="630" spans="7:7" ht="15.75" customHeight="1" x14ac:dyDescent="0.3">
      <c r="G630" s="98"/>
    </row>
    <row r="631" spans="7:7" ht="15.75" customHeight="1" x14ac:dyDescent="0.3">
      <c r="G631" s="98"/>
    </row>
    <row r="632" spans="7:7" ht="15.75" customHeight="1" x14ac:dyDescent="0.3">
      <c r="G632" s="98"/>
    </row>
    <row r="633" spans="7:7" ht="15.75" customHeight="1" x14ac:dyDescent="0.3">
      <c r="G633" s="98"/>
    </row>
    <row r="634" spans="7:7" ht="15.75" customHeight="1" x14ac:dyDescent="0.3">
      <c r="G634" s="98"/>
    </row>
    <row r="635" spans="7:7" ht="15.75" customHeight="1" x14ac:dyDescent="0.3">
      <c r="G635" s="98"/>
    </row>
    <row r="636" spans="7:7" ht="15.75" customHeight="1" x14ac:dyDescent="0.3">
      <c r="G636" s="98"/>
    </row>
    <row r="637" spans="7:7" ht="15.75" customHeight="1" x14ac:dyDescent="0.3">
      <c r="G637" s="98"/>
    </row>
    <row r="638" spans="7:7" ht="15.75" customHeight="1" x14ac:dyDescent="0.3">
      <c r="G638" s="98"/>
    </row>
    <row r="639" spans="7:7" ht="15.75" customHeight="1" x14ac:dyDescent="0.3">
      <c r="G639" s="98"/>
    </row>
    <row r="640" spans="7:7" ht="15.75" customHeight="1" x14ac:dyDescent="0.3">
      <c r="G640" s="98"/>
    </row>
    <row r="641" spans="7:7" ht="15.75" customHeight="1" x14ac:dyDescent="0.3">
      <c r="G641" s="98"/>
    </row>
    <row r="642" spans="7:7" ht="15.75" customHeight="1" x14ac:dyDescent="0.3">
      <c r="G642" s="98"/>
    </row>
    <row r="643" spans="7:7" ht="15.75" customHeight="1" x14ac:dyDescent="0.3">
      <c r="G643" s="98"/>
    </row>
    <row r="644" spans="7:7" ht="15.75" customHeight="1" x14ac:dyDescent="0.3">
      <c r="G644" s="98"/>
    </row>
    <row r="645" spans="7:7" ht="15.75" customHeight="1" x14ac:dyDescent="0.3">
      <c r="G645" s="98"/>
    </row>
    <row r="646" spans="7:7" ht="15.75" customHeight="1" x14ac:dyDescent="0.3">
      <c r="G646" s="98"/>
    </row>
    <row r="647" spans="7:7" ht="15.75" customHeight="1" x14ac:dyDescent="0.3">
      <c r="G647" s="98"/>
    </row>
    <row r="648" spans="7:7" ht="15.75" customHeight="1" x14ac:dyDescent="0.3">
      <c r="G648" s="98"/>
    </row>
    <row r="649" spans="7:7" ht="15.75" customHeight="1" x14ac:dyDescent="0.3">
      <c r="G649" s="98"/>
    </row>
    <row r="650" spans="7:7" ht="15.75" customHeight="1" x14ac:dyDescent="0.3">
      <c r="G650" s="98"/>
    </row>
    <row r="651" spans="7:7" ht="15.75" customHeight="1" x14ac:dyDescent="0.3">
      <c r="G651" s="98"/>
    </row>
    <row r="652" spans="7:7" ht="15.75" customHeight="1" x14ac:dyDescent="0.3">
      <c r="G652" s="98"/>
    </row>
    <row r="653" spans="7:7" ht="15.75" customHeight="1" x14ac:dyDescent="0.3">
      <c r="G653" s="98"/>
    </row>
    <row r="654" spans="7:7" ht="15.75" customHeight="1" x14ac:dyDescent="0.3">
      <c r="G654" s="98"/>
    </row>
    <row r="655" spans="7:7" ht="15.75" customHeight="1" x14ac:dyDescent="0.3">
      <c r="G655" s="98"/>
    </row>
    <row r="656" spans="7:7" ht="15.75" customHeight="1" x14ac:dyDescent="0.3">
      <c r="G656" s="98"/>
    </row>
    <row r="657" spans="7:7" ht="15.75" customHeight="1" x14ac:dyDescent="0.3">
      <c r="G657" s="98"/>
    </row>
    <row r="658" spans="7:7" ht="15.75" customHeight="1" x14ac:dyDescent="0.3">
      <c r="G658" s="98"/>
    </row>
    <row r="659" spans="7:7" ht="15.75" customHeight="1" x14ac:dyDescent="0.3">
      <c r="G659" s="98"/>
    </row>
    <row r="660" spans="7:7" ht="15.75" customHeight="1" x14ac:dyDescent="0.3">
      <c r="G660" s="98"/>
    </row>
    <row r="661" spans="7:7" ht="15.75" customHeight="1" x14ac:dyDescent="0.3">
      <c r="G661" s="98"/>
    </row>
    <row r="662" spans="7:7" ht="15.75" customHeight="1" x14ac:dyDescent="0.3">
      <c r="G662" s="98"/>
    </row>
    <row r="663" spans="7:7" ht="15.75" customHeight="1" x14ac:dyDescent="0.3">
      <c r="G663" s="98"/>
    </row>
    <row r="664" spans="7:7" ht="15.75" customHeight="1" x14ac:dyDescent="0.3">
      <c r="G664" s="98"/>
    </row>
    <row r="665" spans="7:7" ht="15.75" customHeight="1" x14ac:dyDescent="0.3">
      <c r="G665" s="98"/>
    </row>
    <row r="666" spans="7:7" ht="15.75" customHeight="1" x14ac:dyDescent="0.3">
      <c r="G666" s="98"/>
    </row>
    <row r="667" spans="7:7" ht="15.75" customHeight="1" x14ac:dyDescent="0.3">
      <c r="G667" s="98"/>
    </row>
    <row r="668" spans="7:7" ht="15.75" customHeight="1" x14ac:dyDescent="0.3">
      <c r="G668" s="98"/>
    </row>
    <row r="669" spans="7:7" ht="15.75" customHeight="1" x14ac:dyDescent="0.3">
      <c r="G669" s="98"/>
    </row>
    <row r="670" spans="7:7" ht="15.75" customHeight="1" x14ac:dyDescent="0.3">
      <c r="G670" s="98"/>
    </row>
    <row r="671" spans="7:7" ht="15.75" customHeight="1" x14ac:dyDescent="0.3">
      <c r="G671" s="98"/>
    </row>
    <row r="672" spans="7:7" ht="15.75" customHeight="1" x14ac:dyDescent="0.3">
      <c r="G672" s="98"/>
    </row>
    <row r="673" spans="7:7" ht="15.75" customHeight="1" x14ac:dyDescent="0.3">
      <c r="G673" s="98"/>
    </row>
    <row r="674" spans="7:7" ht="15.75" customHeight="1" x14ac:dyDescent="0.3">
      <c r="G674" s="98"/>
    </row>
    <row r="675" spans="7:7" ht="15.75" customHeight="1" x14ac:dyDescent="0.3">
      <c r="G675" s="98"/>
    </row>
    <row r="676" spans="7:7" ht="15.75" customHeight="1" x14ac:dyDescent="0.3">
      <c r="G676" s="98"/>
    </row>
    <row r="677" spans="7:7" ht="15.75" customHeight="1" x14ac:dyDescent="0.3">
      <c r="G677" s="98"/>
    </row>
    <row r="678" spans="7:7" ht="15.75" customHeight="1" x14ac:dyDescent="0.3">
      <c r="G678" s="98"/>
    </row>
    <row r="679" spans="7:7" ht="15.75" customHeight="1" x14ac:dyDescent="0.3">
      <c r="G679" s="98"/>
    </row>
    <row r="680" spans="7:7" ht="15.75" customHeight="1" x14ac:dyDescent="0.3">
      <c r="G680" s="98"/>
    </row>
    <row r="681" spans="7:7" ht="15.75" customHeight="1" x14ac:dyDescent="0.3">
      <c r="G681" s="98"/>
    </row>
    <row r="682" spans="7:7" ht="15.75" customHeight="1" x14ac:dyDescent="0.3">
      <c r="G682" s="98"/>
    </row>
    <row r="683" spans="7:7" ht="15.75" customHeight="1" x14ac:dyDescent="0.3">
      <c r="G683" s="98"/>
    </row>
    <row r="684" spans="7:7" ht="15.75" customHeight="1" x14ac:dyDescent="0.3">
      <c r="G684" s="98"/>
    </row>
    <row r="685" spans="7:7" ht="15.75" customHeight="1" x14ac:dyDescent="0.3">
      <c r="G685" s="98"/>
    </row>
    <row r="686" spans="7:7" ht="15.75" customHeight="1" x14ac:dyDescent="0.3">
      <c r="G686" s="98"/>
    </row>
    <row r="687" spans="7:7" ht="15.75" customHeight="1" x14ac:dyDescent="0.3">
      <c r="G687" s="98"/>
    </row>
    <row r="688" spans="7:7" ht="15.75" customHeight="1" x14ac:dyDescent="0.3">
      <c r="G688" s="98"/>
    </row>
    <row r="689" spans="7:7" ht="15.75" customHeight="1" x14ac:dyDescent="0.3">
      <c r="G689" s="98"/>
    </row>
    <row r="690" spans="7:7" ht="15.75" customHeight="1" x14ac:dyDescent="0.3">
      <c r="G690" s="98"/>
    </row>
    <row r="691" spans="7:7" ht="15.75" customHeight="1" x14ac:dyDescent="0.3">
      <c r="G691" s="98"/>
    </row>
    <row r="692" spans="7:7" ht="15.75" customHeight="1" x14ac:dyDescent="0.3">
      <c r="G692" s="98"/>
    </row>
    <row r="693" spans="7:7" ht="15.75" customHeight="1" x14ac:dyDescent="0.3">
      <c r="G693" s="98"/>
    </row>
    <row r="694" spans="7:7" ht="15.75" customHeight="1" x14ac:dyDescent="0.3">
      <c r="G694" s="98"/>
    </row>
    <row r="695" spans="7:7" ht="15.75" customHeight="1" x14ac:dyDescent="0.3">
      <c r="G695" s="98"/>
    </row>
    <row r="696" spans="7:7" ht="15.75" customHeight="1" x14ac:dyDescent="0.3">
      <c r="G696" s="98"/>
    </row>
    <row r="697" spans="7:7" ht="15.75" customHeight="1" x14ac:dyDescent="0.3">
      <c r="G697" s="98"/>
    </row>
    <row r="698" spans="7:7" ht="15.75" customHeight="1" x14ac:dyDescent="0.3">
      <c r="G698" s="98"/>
    </row>
    <row r="699" spans="7:7" ht="15.75" customHeight="1" x14ac:dyDescent="0.3">
      <c r="G699" s="98"/>
    </row>
    <row r="700" spans="7:7" ht="15.75" customHeight="1" x14ac:dyDescent="0.3">
      <c r="G700" s="98"/>
    </row>
    <row r="701" spans="7:7" ht="15.75" customHeight="1" x14ac:dyDescent="0.3">
      <c r="G701" s="98"/>
    </row>
    <row r="702" spans="7:7" ht="15.75" customHeight="1" x14ac:dyDescent="0.3">
      <c r="G702" s="98"/>
    </row>
    <row r="703" spans="7:7" ht="15.75" customHeight="1" x14ac:dyDescent="0.3">
      <c r="G703" s="98"/>
    </row>
    <row r="704" spans="7:7" ht="15.75" customHeight="1" x14ac:dyDescent="0.3">
      <c r="G704" s="98"/>
    </row>
    <row r="705" spans="7:7" ht="15.75" customHeight="1" x14ac:dyDescent="0.3">
      <c r="G705" s="98"/>
    </row>
    <row r="706" spans="7:7" ht="15.75" customHeight="1" x14ac:dyDescent="0.3">
      <c r="G706" s="98"/>
    </row>
    <row r="707" spans="7:7" ht="15.75" customHeight="1" x14ac:dyDescent="0.3">
      <c r="G707" s="98"/>
    </row>
    <row r="708" spans="7:7" ht="15.75" customHeight="1" x14ac:dyDescent="0.3">
      <c r="G708" s="98"/>
    </row>
    <row r="709" spans="7:7" ht="15.75" customHeight="1" x14ac:dyDescent="0.3">
      <c r="G709" s="98"/>
    </row>
    <row r="710" spans="7:7" ht="15.75" customHeight="1" x14ac:dyDescent="0.3">
      <c r="G710" s="98"/>
    </row>
    <row r="711" spans="7:7" ht="15.75" customHeight="1" x14ac:dyDescent="0.3">
      <c r="G711" s="98"/>
    </row>
    <row r="712" spans="7:7" ht="15.75" customHeight="1" x14ac:dyDescent="0.3">
      <c r="G712" s="98"/>
    </row>
    <row r="713" spans="7:7" ht="15.75" customHeight="1" x14ac:dyDescent="0.3">
      <c r="G713" s="98"/>
    </row>
    <row r="714" spans="7:7" ht="15.75" customHeight="1" x14ac:dyDescent="0.3">
      <c r="G714" s="98"/>
    </row>
    <row r="715" spans="7:7" ht="15.75" customHeight="1" x14ac:dyDescent="0.3">
      <c r="G715" s="98"/>
    </row>
    <row r="716" spans="7:7" ht="15.75" customHeight="1" x14ac:dyDescent="0.3">
      <c r="G716" s="98"/>
    </row>
    <row r="717" spans="7:7" ht="15.75" customHeight="1" x14ac:dyDescent="0.3">
      <c r="G717" s="98"/>
    </row>
    <row r="718" spans="7:7" ht="15.75" customHeight="1" x14ac:dyDescent="0.3">
      <c r="G718" s="98"/>
    </row>
    <row r="719" spans="7:7" ht="15.75" customHeight="1" x14ac:dyDescent="0.3">
      <c r="G719" s="98"/>
    </row>
    <row r="720" spans="7:7" ht="15.75" customHeight="1" x14ac:dyDescent="0.3">
      <c r="G720" s="98"/>
    </row>
    <row r="721" spans="7:7" ht="15.75" customHeight="1" x14ac:dyDescent="0.3">
      <c r="G721" s="98"/>
    </row>
    <row r="722" spans="7:7" ht="15.75" customHeight="1" x14ac:dyDescent="0.3">
      <c r="G722" s="98"/>
    </row>
    <row r="723" spans="7:7" ht="15.75" customHeight="1" x14ac:dyDescent="0.3">
      <c r="G723" s="98"/>
    </row>
    <row r="724" spans="7:7" ht="15.75" customHeight="1" x14ac:dyDescent="0.3">
      <c r="G724" s="98"/>
    </row>
    <row r="725" spans="7:7" ht="15.75" customHeight="1" x14ac:dyDescent="0.3">
      <c r="G725" s="98"/>
    </row>
    <row r="726" spans="7:7" ht="15.75" customHeight="1" x14ac:dyDescent="0.3">
      <c r="G726" s="98"/>
    </row>
    <row r="727" spans="7:7" ht="15.75" customHeight="1" x14ac:dyDescent="0.3">
      <c r="G727" s="98"/>
    </row>
    <row r="728" spans="7:7" ht="15.75" customHeight="1" x14ac:dyDescent="0.3">
      <c r="G728" s="98"/>
    </row>
    <row r="729" spans="7:7" ht="15.75" customHeight="1" x14ac:dyDescent="0.3">
      <c r="G729" s="98"/>
    </row>
    <row r="730" spans="7:7" ht="15.75" customHeight="1" x14ac:dyDescent="0.3">
      <c r="G730" s="98"/>
    </row>
    <row r="731" spans="7:7" ht="15.75" customHeight="1" x14ac:dyDescent="0.3">
      <c r="G731" s="98"/>
    </row>
    <row r="732" spans="7:7" ht="15.75" customHeight="1" x14ac:dyDescent="0.3">
      <c r="G732" s="98"/>
    </row>
    <row r="733" spans="7:7" ht="15.75" customHeight="1" x14ac:dyDescent="0.3">
      <c r="G733" s="98"/>
    </row>
    <row r="734" spans="7:7" ht="15.75" customHeight="1" x14ac:dyDescent="0.3">
      <c r="G734" s="98"/>
    </row>
    <row r="735" spans="7:7" ht="15.75" customHeight="1" x14ac:dyDescent="0.3">
      <c r="G735" s="98"/>
    </row>
    <row r="736" spans="7:7" ht="15.75" customHeight="1" x14ac:dyDescent="0.3">
      <c r="G736" s="98"/>
    </row>
    <row r="737" spans="7:7" ht="15.75" customHeight="1" x14ac:dyDescent="0.3">
      <c r="G737" s="98"/>
    </row>
    <row r="738" spans="7:7" ht="15.75" customHeight="1" x14ac:dyDescent="0.3">
      <c r="G738" s="98"/>
    </row>
    <row r="739" spans="7:7" ht="15.75" customHeight="1" x14ac:dyDescent="0.3">
      <c r="G739" s="98"/>
    </row>
    <row r="740" spans="7:7" ht="15.75" customHeight="1" x14ac:dyDescent="0.3">
      <c r="G740" s="98"/>
    </row>
    <row r="741" spans="7:7" ht="15.75" customHeight="1" x14ac:dyDescent="0.3">
      <c r="G741" s="98"/>
    </row>
    <row r="742" spans="7:7" ht="15.75" customHeight="1" x14ac:dyDescent="0.3">
      <c r="G742" s="98"/>
    </row>
    <row r="743" spans="7:7" ht="15.75" customHeight="1" x14ac:dyDescent="0.3">
      <c r="G743" s="98"/>
    </row>
    <row r="744" spans="7:7" ht="15.75" customHeight="1" x14ac:dyDescent="0.3">
      <c r="G744" s="98"/>
    </row>
    <row r="745" spans="7:7" ht="15.75" customHeight="1" x14ac:dyDescent="0.3">
      <c r="G745" s="98"/>
    </row>
    <row r="746" spans="7:7" ht="15.75" customHeight="1" x14ac:dyDescent="0.3">
      <c r="G746" s="98"/>
    </row>
    <row r="747" spans="7:7" ht="15.75" customHeight="1" x14ac:dyDescent="0.3">
      <c r="G747" s="98"/>
    </row>
    <row r="748" spans="7:7" ht="15.75" customHeight="1" x14ac:dyDescent="0.3">
      <c r="G748" s="98"/>
    </row>
    <row r="749" spans="7:7" ht="15.75" customHeight="1" x14ac:dyDescent="0.3">
      <c r="G749" s="98"/>
    </row>
    <row r="750" spans="7:7" ht="15.75" customHeight="1" x14ac:dyDescent="0.3">
      <c r="G750" s="98"/>
    </row>
    <row r="751" spans="7:7" ht="15.75" customHeight="1" x14ac:dyDescent="0.3">
      <c r="G751" s="98"/>
    </row>
    <row r="752" spans="7:7" ht="15.75" customHeight="1" x14ac:dyDescent="0.3">
      <c r="G752" s="98"/>
    </row>
    <row r="753" spans="7:7" ht="15.75" customHeight="1" x14ac:dyDescent="0.3">
      <c r="G753" s="98"/>
    </row>
    <row r="754" spans="7:7" ht="15.75" customHeight="1" x14ac:dyDescent="0.3">
      <c r="G754" s="98"/>
    </row>
    <row r="755" spans="7:7" ht="15.75" customHeight="1" x14ac:dyDescent="0.3">
      <c r="G755" s="98"/>
    </row>
    <row r="756" spans="7:7" ht="15.75" customHeight="1" x14ac:dyDescent="0.3">
      <c r="G756" s="98"/>
    </row>
    <row r="757" spans="7:7" ht="15.75" customHeight="1" x14ac:dyDescent="0.3">
      <c r="G757" s="98"/>
    </row>
    <row r="758" spans="7:7" ht="15.75" customHeight="1" x14ac:dyDescent="0.3">
      <c r="G758" s="98"/>
    </row>
    <row r="759" spans="7:7" ht="15.75" customHeight="1" x14ac:dyDescent="0.3">
      <c r="G759" s="98"/>
    </row>
    <row r="760" spans="7:7" ht="15.75" customHeight="1" x14ac:dyDescent="0.3">
      <c r="G760" s="98"/>
    </row>
    <row r="761" spans="7:7" ht="15.75" customHeight="1" x14ac:dyDescent="0.3">
      <c r="G761" s="98"/>
    </row>
    <row r="762" spans="7:7" ht="15.75" customHeight="1" x14ac:dyDescent="0.3">
      <c r="G762" s="98"/>
    </row>
    <row r="763" spans="7:7" ht="15.75" customHeight="1" x14ac:dyDescent="0.3">
      <c r="G763" s="98"/>
    </row>
    <row r="764" spans="7:7" ht="15.75" customHeight="1" x14ac:dyDescent="0.3">
      <c r="G764" s="98"/>
    </row>
    <row r="765" spans="7:7" ht="15.75" customHeight="1" x14ac:dyDescent="0.3">
      <c r="G765" s="98"/>
    </row>
    <row r="766" spans="7:7" ht="15.75" customHeight="1" x14ac:dyDescent="0.3">
      <c r="G766" s="98"/>
    </row>
    <row r="767" spans="7:7" ht="15.75" customHeight="1" x14ac:dyDescent="0.3">
      <c r="G767" s="98"/>
    </row>
    <row r="768" spans="7:7" ht="15.75" customHeight="1" x14ac:dyDescent="0.3">
      <c r="G768" s="98"/>
    </row>
    <row r="769" spans="7:7" ht="15.75" customHeight="1" x14ac:dyDescent="0.3">
      <c r="G769" s="98"/>
    </row>
    <row r="770" spans="7:7" ht="15.75" customHeight="1" x14ac:dyDescent="0.3">
      <c r="G770" s="98"/>
    </row>
    <row r="771" spans="7:7" ht="15.75" customHeight="1" x14ac:dyDescent="0.3">
      <c r="G771" s="98"/>
    </row>
    <row r="772" spans="7:7" ht="15.75" customHeight="1" x14ac:dyDescent="0.3">
      <c r="G772" s="98"/>
    </row>
    <row r="773" spans="7:7" ht="15.75" customHeight="1" x14ac:dyDescent="0.3">
      <c r="G773" s="98"/>
    </row>
    <row r="774" spans="7:7" ht="15.75" customHeight="1" x14ac:dyDescent="0.3">
      <c r="G774" s="98"/>
    </row>
    <row r="775" spans="7:7" ht="15.75" customHeight="1" x14ac:dyDescent="0.3">
      <c r="G775" s="98"/>
    </row>
    <row r="776" spans="7:7" ht="15.75" customHeight="1" x14ac:dyDescent="0.3">
      <c r="G776" s="98"/>
    </row>
    <row r="777" spans="7:7" ht="15.75" customHeight="1" x14ac:dyDescent="0.3">
      <c r="G777" s="98"/>
    </row>
    <row r="778" spans="7:7" ht="15.75" customHeight="1" x14ac:dyDescent="0.3">
      <c r="G778" s="98"/>
    </row>
    <row r="779" spans="7:7" ht="15.75" customHeight="1" x14ac:dyDescent="0.3">
      <c r="G779" s="98"/>
    </row>
    <row r="780" spans="7:7" ht="15.75" customHeight="1" x14ac:dyDescent="0.3">
      <c r="G780" s="98"/>
    </row>
    <row r="781" spans="7:7" ht="15.75" customHeight="1" x14ac:dyDescent="0.3">
      <c r="G781" s="98"/>
    </row>
    <row r="782" spans="7:7" ht="15.75" customHeight="1" x14ac:dyDescent="0.3">
      <c r="G782" s="98"/>
    </row>
    <row r="783" spans="7:7" ht="15.75" customHeight="1" x14ac:dyDescent="0.3">
      <c r="G783" s="98"/>
    </row>
    <row r="784" spans="7:7" ht="15.75" customHeight="1" x14ac:dyDescent="0.3">
      <c r="G784" s="98"/>
    </row>
    <row r="785" spans="7:7" ht="15.75" customHeight="1" x14ac:dyDescent="0.3">
      <c r="G785" s="98"/>
    </row>
    <row r="786" spans="7:7" ht="15.75" customHeight="1" x14ac:dyDescent="0.3">
      <c r="G786" s="98"/>
    </row>
    <row r="787" spans="7:7" ht="15.75" customHeight="1" x14ac:dyDescent="0.3">
      <c r="G787" s="98"/>
    </row>
    <row r="788" spans="7:7" ht="15.75" customHeight="1" x14ac:dyDescent="0.3">
      <c r="G788" s="98"/>
    </row>
    <row r="789" spans="7:7" ht="15.75" customHeight="1" x14ac:dyDescent="0.3">
      <c r="G789" s="98"/>
    </row>
    <row r="790" spans="7:7" ht="15.75" customHeight="1" x14ac:dyDescent="0.3">
      <c r="G790" s="98"/>
    </row>
    <row r="791" spans="7:7" ht="15.75" customHeight="1" x14ac:dyDescent="0.3">
      <c r="G791" s="98"/>
    </row>
    <row r="792" spans="7:7" ht="15.75" customHeight="1" x14ac:dyDescent="0.3">
      <c r="G792" s="98"/>
    </row>
    <row r="793" spans="7:7" ht="15.75" customHeight="1" x14ac:dyDescent="0.3">
      <c r="G793" s="98"/>
    </row>
    <row r="794" spans="7:7" ht="15.75" customHeight="1" x14ac:dyDescent="0.3">
      <c r="G794" s="98"/>
    </row>
    <row r="795" spans="7:7" ht="15.75" customHeight="1" x14ac:dyDescent="0.3">
      <c r="G795" s="98"/>
    </row>
    <row r="796" spans="7:7" ht="15.75" customHeight="1" x14ac:dyDescent="0.3">
      <c r="G796" s="98"/>
    </row>
    <row r="797" spans="7:7" ht="15.75" customHeight="1" x14ac:dyDescent="0.3">
      <c r="G797" s="98"/>
    </row>
    <row r="798" spans="7:7" ht="15.75" customHeight="1" x14ac:dyDescent="0.3">
      <c r="G798" s="98"/>
    </row>
    <row r="799" spans="7:7" ht="15.75" customHeight="1" x14ac:dyDescent="0.3">
      <c r="G799" s="98"/>
    </row>
    <row r="800" spans="7:7" ht="15.75" customHeight="1" x14ac:dyDescent="0.3">
      <c r="G800" s="98"/>
    </row>
    <row r="801" spans="7:7" ht="15.75" customHeight="1" x14ac:dyDescent="0.3">
      <c r="G801" s="98"/>
    </row>
    <row r="802" spans="7:7" ht="15.75" customHeight="1" x14ac:dyDescent="0.3">
      <c r="G802" s="98"/>
    </row>
    <row r="803" spans="7:7" ht="15.75" customHeight="1" x14ac:dyDescent="0.3">
      <c r="G803" s="98"/>
    </row>
    <row r="804" spans="7:7" ht="15.75" customHeight="1" x14ac:dyDescent="0.3">
      <c r="G804" s="98"/>
    </row>
    <row r="805" spans="7:7" ht="15.75" customHeight="1" x14ac:dyDescent="0.3">
      <c r="G805" s="98"/>
    </row>
    <row r="806" spans="7:7" ht="15.75" customHeight="1" x14ac:dyDescent="0.3">
      <c r="G806" s="98"/>
    </row>
    <row r="807" spans="7:7" ht="15.75" customHeight="1" x14ac:dyDescent="0.3">
      <c r="G807" s="98"/>
    </row>
    <row r="808" spans="7:7" ht="15.75" customHeight="1" x14ac:dyDescent="0.3">
      <c r="G808" s="98"/>
    </row>
    <row r="809" spans="7:7" ht="15.75" customHeight="1" x14ac:dyDescent="0.3">
      <c r="G809" s="98"/>
    </row>
    <row r="810" spans="7:7" ht="15.75" customHeight="1" x14ac:dyDescent="0.3">
      <c r="G810" s="98"/>
    </row>
    <row r="811" spans="7:7" ht="15.75" customHeight="1" x14ac:dyDescent="0.3">
      <c r="G811" s="98"/>
    </row>
    <row r="812" spans="7:7" ht="15.75" customHeight="1" x14ac:dyDescent="0.3">
      <c r="G812" s="98"/>
    </row>
    <row r="813" spans="7:7" ht="15.75" customHeight="1" x14ac:dyDescent="0.3">
      <c r="G813" s="98"/>
    </row>
    <row r="814" spans="7:7" ht="15.75" customHeight="1" x14ac:dyDescent="0.3">
      <c r="G814" s="98"/>
    </row>
    <row r="815" spans="7:7" ht="15.75" customHeight="1" x14ac:dyDescent="0.3">
      <c r="G815" s="98"/>
    </row>
    <row r="816" spans="7:7" ht="15.75" customHeight="1" x14ac:dyDescent="0.3">
      <c r="G816" s="98"/>
    </row>
    <row r="817" spans="7:7" ht="15.75" customHeight="1" x14ac:dyDescent="0.3">
      <c r="G817" s="98"/>
    </row>
    <row r="818" spans="7:7" ht="15.75" customHeight="1" x14ac:dyDescent="0.3">
      <c r="G818" s="98"/>
    </row>
    <row r="819" spans="7:7" ht="15.75" customHeight="1" x14ac:dyDescent="0.3">
      <c r="G819" s="98"/>
    </row>
    <row r="820" spans="7:7" ht="15.75" customHeight="1" x14ac:dyDescent="0.3">
      <c r="G820" s="98"/>
    </row>
    <row r="821" spans="7:7" ht="15.75" customHeight="1" x14ac:dyDescent="0.3">
      <c r="G821" s="98"/>
    </row>
    <row r="822" spans="7:7" ht="15.75" customHeight="1" x14ac:dyDescent="0.3">
      <c r="G822" s="98"/>
    </row>
    <row r="823" spans="7:7" ht="15.75" customHeight="1" x14ac:dyDescent="0.3">
      <c r="G823" s="98"/>
    </row>
    <row r="824" spans="7:7" ht="15.75" customHeight="1" x14ac:dyDescent="0.3">
      <c r="G824" s="98"/>
    </row>
    <row r="825" spans="7:7" ht="15.75" customHeight="1" x14ac:dyDescent="0.3">
      <c r="G825" s="98"/>
    </row>
    <row r="826" spans="7:7" ht="15.75" customHeight="1" x14ac:dyDescent="0.3">
      <c r="G826" s="98"/>
    </row>
    <row r="827" spans="7:7" ht="15.75" customHeight="1" x14ac:dyDescent="0.3">
      <c r="G827" s="98"/>
    </row>
    <row r="828" spans="7:7" ht="15.75" customHeight="1" x14ac:dyDescent="0.3">
      <c r="G828" s="98"/>
    </row>
    <row r="829" spans="7:7" ht="15.75" customHeight="1" x14ac:dyDescent="0.3">
      <c r="G829" s="98"/>
    </row>
    <row r="830" spans="7:7" ht="15.75" customHeight="1" x14ac:dyDescent="0.3">
      <c r="G830" s="98"/>
    </row>
    <row r="831" spans="7:7" ht="15.75" customHeight="1" x14ac:dyDescent="0.3">
      <c r="G831" s="98"/>
    </row>
    <row r="832" spans="7:7" ht="15.75" customHeight="1" x14ac:dyDescent="0.3">
      <c r="G832" s="98"/>
    </row>
    <row r="833" spans="7:7" ht="15.75" customHeight="1" x14ac:dyDescent="0.3">
      <c r="G833" s="98"/>
    </row>
    <row r="834" spans="7:7" ht="15.75" customHeight="1" x14ac:dyDescent="0.3">
      <c r="G834" s="98"/>
    </row>
    <row r="835" spans="7:7" ht="15.75" customHeight="1" x14ac:dyDescent="0.3">
      <c r="G835" s="98"/>
    </row>
    <row r="836" spans="7:7" ht="15.75" customHeight="1" x14ac:dyDescent="0.3">
      <c r="G836" s="98"/>
    </row>
    <row r="837" spans="7:7" ht="15.75" customHeight="1" x14ac:dyDescent="0.3">
      <c r="G837" s="98"/>
    </row>
    <row r="838" spans="7:7" ht="15.75" customHeight="1" x14ac:dyDescent="0.3">
      <c r="G838" s="98"/>
    </row>
    <row r="839" spans="7:7" ht="15.75" customHeight="1" x14ac:dyDescent="0.3">
      <c r="G839" s="98"/>
    </row>
    <row r="840" spans="7:7" ht="15.75" customHeight="1" x14ac:dyDescent="0.3">
      <c r="G840" s="98"/>
    </row>
    <row r="841" spans="7:7" ht="15.75" customHeight="1" x14ac:dyDescent="0.3">
      <c r="G841" s="98"/>
    </row>
    <row r="842" spans="7:7" ht="15.75" customHeight="1" x14ac:dyDescent="0.3">
      <c r="G842" s="98"/>
    </row>
    <row r="843" spans="7:7" ht="15.75" customHeight="1" x14ac:dyDescent="0.3">
      <c r="G843" s="98"/>
    </row>
    <row r="844" spans="7:7" ht="15.75" customHeight="1" x14ac:dyDescent="0.3">
      <c r="G844" s="98"/>
    </row>
    <row r="845" spans="7:7" ht="15.75" customHeight="1" x14ac:dyDescent="0.3">
      <c r="G845" s="98"/>
    </row>
    <row r="846" spans="7:7" ht="15.75" customHeight="1" x14ac:dyDescent="0.3">
      <c r="G846" s="98"/>
    </row>
    <row r="847" spans="7:7" ht="15.75" customHeight="1" x14ac:dyDescent="0.3">
      <c r="G847" s="98"/>
    </row>
    <row r="848" spans="7:7" ht="15.75" customHeight="1" x14ac:dyDescent="0.3">
      <c r="G848" s="98"/>
    </row>
    <row r="849" spans="7:7" ht="15.75" customHeight="1" x14ac:dyDescent="0.3">
      <c r="G849" s="98"/>
    </row>
    <row r="850" spans="7:7" ht="15.75" customHeight="1" x14ac:dyDescent="0.3">
      <c r="G850" s="98"/>
    </row>
    <row r="851" spans="7:7" ht="15.75" customHeight="1" x14ac:dyDescent="0.3">
      <c r="G851" s="98"/>
    </row>
    <row r="852" spans="7:7" ht="15.75" customHeight="1" x14ac:dyDescent="0.3">
      <c r="G852" s="98"/>
    </row>
    <row r="853" spans="7:7" ht="15.75" customHeight="1" x14ac:dyDescent="0.3">
      <c r="G853" s="98"/>
    </row>
    <row r="854" spans="7:7" ht="15.75" customHeight="1" x14ac:dyDescent="0.3">
      <c r="G854" s="98"/>
    </row>
    <row r="855" spans="7:7" ht="15.75" customHeight="1" x14ac:dyDescent="0.3">
      <c r="G855" s="98"/>
    </row>
    <row r="856" spans="7:7" ht="15.75" customHeight="1" x14ac:dyDescent="0.3">
      <c r="G856" s="98"/>
    </row>
    <row r="857" spans="7:7" ht="15.75" customHeight="1" x14ac:dyDescent="0.3">
      <c r="G857" s="98"/>
    </row>
    <row r="858" spans="7:7" ht="15.75" customHeight="1" x14ac:dyDescent="0.3">
      <c r="G858" s="98"/>
    </row>
    <row r="859" spans="7:7" ht="15.75" customHeight="1" x14ac:dyDescent="0.3">
      <c r="G859" s="98"/>
    </row>
    <row r="860" spans="7:7" ht="15.75" customHeight="1" x14ac:dyDescent="0.3">
      <c r="G860" s="98"/>
    </row>
    <row r="861" spans="7:7" ht="15.75" customHeight="1" x14ac:dyDescent="0.3">
      <c r="G861" s="98"/>
    </row>
    <row r="862" spans="7:7" ht="15.75" customHeight="1" x14ac:dyDescent="0.3">
      <c r="G862" s="98"/>
    </row>
    <row r="863" spans="7:7" ht="15.75" customHeight="1" x14ac:dyDescent="0.3">
      <c r="G863" s="98"/>
    </row>
    <row r="864" spans="7:7" ht="15.75" customHeight="1" x14ac:dyDescent="0.3">
      <c r="G864" s="98"/>
    </row>
    <row r="865" spans="7:7" ht="15.75" customHeight="1" x14ac:dyDescent="0.3">
      <c r="G865" s="98"/>
    </row>
    <row r="866" spans="7:7" ht="15.75" customHeight="1" x14ac:dyDescent="0.3">
      <c r="G866" s="98"/>
    </row>
    <row r="867" spans="7:7" ht="15.75" customHeight="1" x14ac:dyDescent="0.3">
      <c r="G867" s="98"/>
    </row>
    <row r="868" spans="7:7" ht="15.75" customHeight="1" x14ac:dyDescent="0.3">
      <c r="G868" s="98"/>
    </row>
    <row r="869" spans="7:7" ht="15.75" customHeight="1" x14ac:dyDescent="0.3">
      <c r="G869" s="98"/>
    </row>
    <row r="870" spans="7:7" ht="15.75" customHeight="1" x14ac:dyDescent="0.3">
      <c r="G870" s="98"/>
    </row>
    <row r="871" spans="7:7" ht="15.75" customHeight="1" x14ac:dyDescent="0.3">
      <c r="G871" s="98"/>
    </row>
    <row r="872" spans="7:7" ht="15.75" customHeight="1" x14ac:dyDescent="0.3">
      <c r="G872" s="98"/>
    </row>
    <row r="873" spans="7:7" ht="15.75" customHeight="1" x14ac:dyDescent="0.3">
      <c r="G873" s="98"/>
    </row>
    <row r="874" spans="7:7" ht="15.75" customHeight="1" x14ac:dyDescent="0.3">
      <c r="G874" s="98"/>
    </row>
    <row r="875" spans="7:7" ht="15.75" customHeight="1" x14ac:dyDescent="0.3">
      <c r="G875" s="98"/>
    </row>
    <row r="876" spans="7:7" ht="15.75" customHeight="1" x14ac:dyDescent="0.3">
      <c r="G876" s="98"/>
    </row>
    <row r="877" spans="7:7" ht="15.75" customHeight="1" x14ac:dyDescent="0.3">
      <c r="G877" s="98"/>
    </row>
    <row r="878" spans="7:7" ht="15.75" customHeight="1" x14ac:dyDescent="0.3">
      <c r="G878" s="98"/>
    </row>
    <row r="879" spans="7:7" ht="15.75" customHeight="1" x14ac:dyDescent="0.3">
      <c r="G879" s="98"/>
    </row>
    <row r="880" spans="7:7" ht="15.75" customHeight="1" x14ac:dyDescent="0.3">
      <c r="G880" s="98"/>
    </row>
    <row r="881" spans="7:7" ht="15.75" customHeight="1" x14ac:dyDescent="0.3">
      <c r="G881" s="98"/>
    </row>
    <row r="882" spans="7:7" ht="15.75" customHeight="1" x14ac:dyDescent="0.3">
      <c r="G882" s="98"/>
    </row>
    <row r="883" spans="7:7" ht="15.75" customHeight="1" x14ac:dyDescent="0.3">
      <c r="G883" s="98"/>
    </row>
    <row r="884" spans="7:7" ht="15.75" customHeight="1" x14ac:dyDescent="0.3">
      <c r="G884" s="98"/>
    </row>
    <row r="885" spans="7:7" ht="15.75" customHeight="1" x14ac:dyDescent="0.3">
      <c r="G885" s="98"/>
    </row>
    <row r="886" spans="7:7" ht="15.75" customHeight="1" x14ac:dyDescent="0.3">
      <c r="G886" s="98"/>
    </row>
    <row r="887" spans="7:7" ht="15.75" customHeight="1" x14ac:dyDescent="0.3">
      <c r="G887" s="98"/>
    </row>
    <row r="888" spans="7:7" ht="15.75" customHeight="1" x14ac:dyDescent="0.3">
      <c r="G888" s="98"/>
    </row>
    <row r="889" spans="7:7" ht="15.75" customHeight="1" x14ac:dyDescent="0.3">
      <c r="G889" s="98"/>
    </row>
    <row r="890" spans="7:7" ht="15.75" customHeight="1" x14ac:dyDescent="0.3">
      <c r="G890" s="98"/>
    </row>
    <row r="891" spans="7:7" ht="15.75" customHeight="1" x14ac:dyDescent="0.3">
      <c r="G891" s="98"/>
    </row>
    <row r="892" spans="7:7" ht="15.75" customHeight="1" x14ac:dyDescent="0.3">
      <c r="G892" s="98"/>
    </row>
    <row r="893" spans="7:7" ht="15.75" customHeight="1" x14ac:dyDescent="0.3">
      <c r="G893" s="98"/>
    </row>
    <row r="894" spans="7:7" ht="15.75" customHeight="1" x14ac:dyDescent="0.3">
      <c r="G894" s="98"/>
    </row>
    <row r="895" spans="7:7" ht="15.75" customHeight="1" x14ac:dyDescent="0.3">
      <c r="G895" s="98"/>
    </row>
    <row r="896" spans="7:7" ht="15.75" customHeight="1" x14ac:dyDescent="0.3">
      <c r="G896" s="98"/>
    </row>
    <row r="897" spans="7:7" ht="15.75" customHeight="1" x14ac:dyDescent="0.3">
      <c r="G897" s="98"/>
    </row>
    <row r="898" spans="7:7" ht="15.75" customHeight="1" x14ac:dyDescent="0.3">
      <c r="G898" s="98"/>
    </row>
    <row r="899" spans="7:7" ht="15.75" customHeight="1" x14ac:dyDescent="0.3">
      <c r="G899" s="98"/>
    </row>
    <row r="900" spans="7:7" ht="15.75" customHeight="1" x14ac:dyDescent="0.3">
      <c r="G900" s="98"/>
    </row>
    <row r="901" spans="7:7" ht="15.75" customHeight="1" x14ac:dyDescent="0.3">
      <c r="G901" s="98"/>
    </row>
    <row r="902" spans="7:7" ht="15.75" customHeight="1" x14ac:dyDescent="0.3">
      <c r="G902" s="98"/>
    </row>
    <row r="903" spans="7:7" ht="15.75" customHeight="1" x14ac:dyDescent="0.3">
      <c r="G903" s="98"/>
    </row>
    <row r="904" spans="7:7" ht="15.75" customHeight="1" x14ac:dyDescent="0.3">
      <c r="G904" s="98"/>
    </row>
    <row r="905" spans="7:7" ht="15.75" customHeight="1" x14ac:dyDescent="0.3">
      <c r="G905" s="98"/>
    </row>
    <row r="906" spans="7:7" ht="15.75" customHeight="1" x14ac:dyDescent="0.3">
      <c r="G906" s="98"/>
    </row>
    <row r="907" spans="7:7" ht="15.75" customHeight="1" x14ac:dyDescent="0.3">
      <c r="G907" s="98"/>
    </row>
    <row r="908" spans="7:7" ht="15.75" customHeight="1" x14ac:dyDescent="0.3">
      <c r="G908" s="98"/>
    </row>
    <row r="909" spans="7:7" ht="15.75" customHeight="1" x14ac:dyDescent="0.3">
      <c r="G909" s="98"/>
    </row>
    <row r="910" spans="7:7" ht="15.75" customHeight="1" x14ac:dyDescent="0.3">
      <c r="G910" s="98"/>
    </row>
    <row r="911" spans="7:7" ht="15.75" customHeight="1" x14ac:dyDescent="0.3">
      <c r="G911" s="98"/>
    </row>
    <row r="912" spans="7:7" ht="15.75" customHeight="1" x14ac:dyDescent="0.3">
      <c r="G912" s="98"/>
    </row>
    <row r="913" spans="7:7" ht="15.75" customHeight="1" x14ac:dyDescent="0.3">
      <c r="G913" s="98"/>
    </row>
    <row r="914" spans="7:7" ht="15.75" customHeight="1" x14ac:dyDescent="0.3">
      <c r="G914" s="98"/>
    </row>
    <row r="915" spans="7:7" ht="15.75" customHeight="1" x14ac:dyDescent="0.3">
      <c r="G915" s="98"/>
    </row>
    <row r="916" spans="7:7" ht="15.75" customHeight="1" x14ac:dyDescent="0.3">
      <c r="G916" s="98"/>
    </row>
    <row r="917" spans="7:7" ht="15.75" customHeight="1" x14ac:dyDescent="0.3">
      <c r="G917" s="98"/>
    </row>
    <row r="918" spans="7:7" ht="15.75" customHeight="1" x14ac:dyDescent="0.3">
      <c r="G918" s="98"/>
    </row>
    <row r="919" spans="7:7" ht="15.75" customHeight="1" x14ac:dyDescent="0.3">
      <c r="G919" s="98"/>
    </row>
    <row r="920" spans="7:7" ht="15.75" customHeight="1" x14ac:dyDescent="0.3">
      <c r="G920" s="98"/>
    </row>
    <row r="921" spans="7:7" ht="15.75" customHeight="1" x14ac:dyDescent="0.3">
      <c r="G921" s="98"/>
    </row>
    <row r="922" spans="7:7" ht="15.75" customHeight="1" x14ac:dyDescent="0.3">
      <c r="G922" s="98"/>
    </row>
    <row r="923" spans="7:7" ht="15.75" customHeight="1" x14ac:dyDescent="0.3">
      <c r="G923" s="98"/>
    </row>
    <row r="924" spans="7:7" ht="15.75" customHeight="1" x14ac:dyDescent="0.3">
      <c r="G924" s="98"/>
    </row>
    <row r="925" spans="7:7" ht="15.75" customHeight="1" x14ac:dyDescent="0.3">
      <c r="G925" s="98"/>
    </row>
    <row r="926" spans="7:7" ht="15.75" customHeight="1" x14ac:dyDescent="0.3">
      <c r="G926" s="98"/>
    </row>
    <row r="927" spans="7:7" ht="15.75" customHeight="1" x14ac:dyDescent="0.3">
      <c r="G927" s="98"/>
    </row>
    <row r="928" spans="7:7" ht="15.75" customHeight="1" x14ac:dyDescent="0.3">
      <c r="G928" s="98"/>
    </row>
    <row r="929" spans="7:7" ht="15.75" customHeight="1" x14ac:dyDescent="0.3">
      <c r="G929" s="98"/>
    </row>
    <row r="930" spans="7:7" ht="15.75" customHeight="1" x14ac:dyDescent="0.3">
      <c r="G930" s="98"/>
    </row>
    <row r="931" spans="7:7" ht="15.75" customHeight="1" x14ac:dyDescent="0.3">
      <c r="G931" s="98"/>
    </row>
    <row r="932" spans="7:7" ht="15.75" customHeight="1" x14ac:dyDescent="0.3">
      <c r="G932" s="98"/>
    </row>
    <row r="933" spans="7:7" ht="15.75" customHeight="1" x14ac:dyDescent="0.3">
      <c r="G933" s="98"/>
    </row>
    <row r="934" spans="7:7" ht="15.75" customHeight="1" x14ac:dyDescent="0.3">
      <c r="G934" s="98"/>
    </row>
    <row r="935" spans="7:7" ht="15.75" customHeight="1" x14ac:dyDescent="0.3">
      <c r="G935" s="98"/>
    </row>
    <row r="936" spans="7:7" ht="15.75" customHeight="1" x14ac:dyDescent="0.3">
      <c r="G936" s="98"/>
    </row>
    <row r="937" spans="7:7" ht="15.75" customHeight="1" x14ac:dyDescent="0.3">
      <c r="G937" s="98"/>
    </row>
    <row r="938" spans="7:7" ht="15.75" customHeight="1" x14ac:dyDescent="0.3">
      <c r="G938" s="98"/>
    </row>
    <row r="939" spans="7:7" ht="15.75" customHeight="1" x14ac:dyDescent="0.3">
      <c r="G939" s="98"/>
    </row>
    <row r="940" spans="7:7" ht="15.75" customHeight="1" x14ac:dyDescent="0.3">
      <c r="G940" s="98"/>
    </row>
    <row r="941" spans="7:7" ht="15.75" customHeight="1" x14ac:dyDescent="0.3">
      <c r="G941" s="98"/>
    </row>
    <row r="942" spans="7:7" ht="15.75" customHeight="1" x14ac:dyDescent="0.3">
      <c r="G942" s="98"/>
    </row>
    <row r="943" spans="7:7" ht="15.75" customHeight="1" x14ac:dyDescent="0.3">
      <c r="G943" s="98"/>
    </row>
    <row r="944" spans="7:7" ht="15.75" customHeight="1" x14ac:dyDescent="0.3">
      <c r="G944" s="98"/>
    </row>
    <row r="945" spans="7:7" ht="15.75" customHeight="1" x14ac:dyDescent="0.3">
      <c r="G945" s="98"/>
    </row>
    <row r="946" spans="7:7" ht="15.75" customHeight="1" x14ac:dyDescent="0.3">
      <c r="G946" s="98"/>
    </row>
    <row r="947" spans="7:7" ht="15.75" customHeight="1" x14ac:dyDescent="0.3">
      <c r="G947" s="98"/>
    </row>
    <row r="948" spans="7:7" ht="15.75" customHeight="1" x14ac:dyDescent="0.3">
      <c r="G948" s="98"/>
    </row>
    <row r="949" spans="7:7" ht="15.75" customHeight="1" x14ac:dyDescent="0.3">
      <c r="G949" s="98"/>
    </row>
    <row r="950" spans="7:7" ht="15.75" customHeight="1" x14ac:dyDescent="0.3">
      <c r="G950" s="98"/>
    </row>
    <row r="951" spans="7:7" ht="15.75" customHeight="1" x14ac:dyDescent="0.3">
      <c r="G951" s="98"/>
    </row>
    <row r="952" spans="7:7" ht="15.75" customHeight="1" x14ac:dyDescent="0.3">
      <c r="G952" s="98"/>
    </row>
    <row r="953" spans="7:7" ht="15.75" customHeight="1" x14ac:dyDescent="0.3">
      <c r="G953" s="98"/>
    </row>
    <row r="954" spans="7:7" ht="15.75" customHeight="1" x14ac:dyDescent="0.3">
      <c r="G954" s="98"/>
    </row>
    <row r="955" spans="7:7" ht="15.75" customHeight="1" x14ac:dyDescent="0.3">
      <c r="G955" s="98"/>
    </row>
    <row r="956" spans="7:7" ht="15.75" customHeight="1" x14ac:dyDescent="0.3">
      <c r="G956" s="98"/>
    </row>
    <row r="957" spans="7:7" ht="15.75" customHeight="1" x14ac:dyDescent="0.3">
      <c r="G957" s="98"/>
    </row>
    <row r="958" spans="7:7" ht="15.75" customHeight="1" x14ac:dyDescent="0.3">
      <c r="G958" s="98"/>
    </row>
    <row r="959" spans="7:7" ht="15.75" customHeight="1" x14ac:dyDescent="0.3">
      <c r="G959" s="98"/>
    </row>
    <row r="960" spans="7:7" ht="15.75" customHeight="1" x14ac:dyDescent="0.3">
      <c r="G960" s="98"/>
    </row>
    <row r="961" spans="7:7" ht="15.75" customHeight="1" x14ac:dyDescent="0.3">
      <c r="G961" s="98"/>
    </row>
    <row r="962" spans="7:7" ht="15.75" customHeight="1" x14ac:dyDescent="0.3">
      <c r="G962" s="98"/>
    </row>
    <row r="963" spans="7:7" ht="15.75" customHeight="1" x14ac:dyDescent="0.3">
      <c r="G963" s="98"/>
    </row>
    <row r="964" spans="7:7" ht="15.75" customHeight="1" x14ac:dyDescent="0.3">
      <c r="G964" s="98"/>
    </row>
    <row r="965" spans="7:7" ht="15.75" customHeight="1" x14ac:dyDescent="0.3">
      <c r="G965" s="98"/>
    </row>
    <row r="966" spans="7:7" ht="15.75" customHeight="1" x14ac:dyDescent="0.3">
      <c r="G966" s="98"/>
    </row>
    <row r="967" spans="7:7" ht="15.75" customHeight="1" x14ac:dyDescent="0.3">
      <c r="G967" s="98"/>
    </row>
    <row r="968" spans="7:7" ht="15.75" customHeight="1" x14ac:dyDescent="0.3">
      <c r="G968" s="98"/>
    </row>
    <row r="969" spans="7:7" ht="15.75" customHeight="1" x14ac:dyDescent="0.3">
      <c r="G969" s="98"/>
    </row>
    <row r="970" spans="7:7" ht="15.75" customHeight="1" x14ac:dyDescent="0.3">
      <c r="G970" s="98"/>
    </row>
    <row r="971" spans="7:7" ht="15.75" customHeight="1" x14ac:dyDescent="0.3">
      <c r="G971" s="98"/>
    </row>
    <row r="972" spans="7:7" ht="15.75" customHeight="1" x14ac:dyDescent="0.3">
      <c r="G972" s="98"/>
    </row>
    <row r="973" spans="7:7" ht="15.75" customHeight="1" x14ac:dyDescent="0.3">
      <c r="G973" s="98"/>
    </row>
    <row r="974" spans="7:7" ht="15.75" customHeight="1" x14ac:dyDescent="0.3">
      <c r="G974" s="98"/>
    </row>
    <row r="975" spans="7:7" ht="15.75" customHeight="1" x14ac:dyDescent="0.3">
      <c r="G975" s="98"/>
    </row>
    <row r="976" spans="7:7" ht="15.75" customHeight="1" x14ac:dyDescent="0.3">
      <c r="G976" s="98"/>
    </row>
    <row r="977" spans="7:7" ht="15.75" customHeight="1" x14ac:dyDescent="0.3">
      <c r="G977" s="98"/>
    </row>
    <row r="978" spans="7:7" ht="15.75" customHeight="1" x14ac:dyDescent="0.3">
      <c r="G978" s="98"/>
    </row>
    <row r="979" spans="7:7" ht="15.75" customHeight="1" x14ac:dyDescent="0.3">
      <c r="G979" s="98"/>
    </row>
    <row r="980" spans="7:7" ht="15.75" customHeight="1" x14ac:dyDescent="0.3">
      <c r="G980" s="98"/>
    </row>
    <row r="981" spans="7:7" ht="15.75" customHeight="1" x14ac:dyDescent="0.3">
      <c r="G981" s="98"/>
    </row>
    <row r="982" spans="7:7" ht="15.75" customHeight="1" x14ac:dyDescent="0.3">
      <c r="G982" s="98"/>
    </row>
    <row r="983" spans="7:7" ht="15.75" customHeight="1" x14ac:dyDescent="0.3">
      <c r="G983" s="98"/>
    </row>
    <row r="984" spans="7:7" ht="15.75" customHeight="1" x14ac:dyDescent="0.3">
      <c r="G984" s="98"/>
    </row>
    <row r="985" spans="7:7" ht="15.75" customHeight="1" x14ac:dyDescent="0.3">
      <c r="G985" s="98"/>
    </row>
    <row r="986" spans="7:7" ht="15.75" customHeight="1" x14ac:dyDescent="0.3">
      <c r="G986" s="98"/>
    </row>
    <row r="987" spans="7:7" ht="15.75" customHeight="1" x14ac:dyDescent="0.3">
      <c r="G987" s="98"/>
    </row>
    <row r="988" spans="7:7" ht="15.75" customHeight="1" x14ac:dyDescent="0.3">
      <c r="G988" s="98"/>
    </row>
    <row r="989" spans="7:7" ht="15.75" customHeight="1" x14ac:dyDescent="0.3">
      <c r="G989" s="98"/>
    </row>
    <row r="990" spans="7:7" ht="15.75" customHeight="1" x14ac:dyDescent="0.3">
      <c r="G990" s="98"/>
    </row>
    <row r="991" spans="7:7" ht="15.75" customHeight="1" x14ac:dyDescent="0.3">
      <c r="G991" s="98"/>
    </row>
    <row r="992" spans="7:7" ht="15.75" customHeight="1" x14ac:dyDescent="0.3">
      <c r="G992" s="98"/>
    </row>
    <row r="993" spans="7:7" ht="15.75" customHeight="1" x14ac:dyDescent="0.3">
      <c r="G993" s="98"/>
    </row>
    <row r="994" spans="7:7" ht="15.75" customHeight="1" x14ac:dyDescent="0.3">
      <c r="G994" s="98"/>
    </row>
    <row r="995" spans="7:7" ht="15.75" customHeight="1" x14ac:dyDescent="0.3">
      <c r="G995" s="98"/>
    </row>
    <row r="996" spans="7:7" ht="15.75" customHeight="1" x14ac:dyDescent="0.3">
      <c r="G996" s="98"/>
    </row>
    <row r="997" spans="7:7" ht="15.75" customHeight="1" x14ac:dyDescent="0.3">
      <c r="G997" s="98"/>
    </row>
    <row r="998" spans="7:7" ht="15.75" customHeight="1" x14ac:dyDescent="0.3">
      <c r="G998" s="98"/>
    </row>
    <row r="999" spans="7:7" ht="15.75" customHeight="1" x14ac:dyDescent="0.3">
      <c r="G999" s="98"/>
    </row>
  </sheetData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4" customWidth="1"/>
    <col min="2" max="2" width="15.6640625" customWidth="1"/>
    <col min="3" max="3" width="29.44140625" customWidth="1"/>
    <col min="4" max="4" width="30.88671875" hidden="1" customWidth="1"/>
    <col min="5" max="5" width="26" hidden="1" customWidth="1"/>
    <col min="6" max="6" width="11" hidden="1" customWidth="1"/>
    <col min="7" max="7" width="9.6640625" hidden="1" customWidth="1"/>
    <col min="8" max="15" width="4.6640625" customWidth="1"/>
    <col min="16" max="16" width="5.109375" customWidth="1"/>
    <col min="17" max="17" width="6.44140625" customWidth="1"/>
    <col min="18" max="18" width="8" customWidth="1"/>
    <col min="19" max="19" width="11.5546875" customWidth="1"/>
    <col min="20" max="26" width="9.6640625" customWidth="1"/>
  </cols>
  <sheetData>
    <row r="1" spans="1:26" ht="45" customHeight="1" x14ac:dyDescent="0.3">
      <c r="A1" s="99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78" t="s">
        <v>371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</row>
    <row r="2" spans="1:26" ht="12.75" customHeight="1" x14ac:dyDescent="0.3">
      <c r="A2" s="100">
        <v>1</v>
      </c>
      <c r="B2" s="101" t="s">
        <v>372</v>
      </c>
      <c r="C2" s="101" t="s">
        <v>373</v>
      </c>
      <c r="D2" s="101" t="s">
        <v>374</v>
      </c>
      <c r="E2" s="101" t="s">
        <v>375</v>
      </c>
      <c r="F2" s="102">
        <v>39851</v>
      </c>
      <c r="G2" s="101" t="s">
        <v>39</v>
      </c>
      <c r="H2" s="103">
        <v>65</v>
      </c>
      <c r="I2" s="103"/>
      <c r="J2" s="103">
        <v>80</v>
      </c>
      <c r="K2" s="103"/>
      <c r="L2" s="103">
        <v>73</v>
      </c>
      <c r="M2" s="103">
        <v>73</v>
      </c>
      <c r="N2" s="103">
        <v>69</v>
      </c>
      <c r="O2" s="103">
        <v>49</v>
      </c>
      <c r="P2" s="103">
        <f t="shared" ref="P2:P57" si="0">SUM(H2:N2)</f>
        <v>360</v>
      </c>
      <c r="Q2" s="104">
        <f t="shared" ref="Q2:Q57" si="1">(P2/400)*100</f>
        <v>90</v>
      </c>
      <c r="R2" s="13">
        <f t="shared" ref="R2:R57" si="2">Q2+30</f>
        <v>120</v>
      </c>
      <c r="S2" s="84">
        <f t="shared" ref="S2:S57" si="3">SUM(T2:Z2)</f>
        <v>510</v>
      </c>
      <c r="T2" s="14">
        <f t="shared" ref="T2:T57" si="4">H2+30</f>
        <v>95</v>
      </c>
      <c r="U2" s="14"/>
      <c r="V2" s="14">
        <f>J2+30</f>
        <v>110</v>
      </c>
      <c r="W2" s="14"/>
      <c r="X2" s="14">
        <f t="shared" ref="X2:Z2" si="5">L2+30</f>
        <v>103</v>
      </c>
      <c r="Y2" s="14">
        <f t="shared" si="5"/>
        <v>103</v>
      </c>
      <c r="Z2" s="14">
        <f t="shared" si="5"/>
        <v>99</v>
      </c>
    </row>
    <row r="3" spans="1:26" ht="12.75" customHeight="1" x14ac:dyDescent="0.3">
      <c r="A3" s="100">
        <v>2</v>
      </c>
      <c r="B3" s="101" t="s">
        <v>376</v>
      </c>
      <c r="C3" s="101" t="s">
        <v>377</v>
      </c>
      <c r="D3" s="101" t="s">
        <v>378</v>
      </c>
      <c r="E3" s="101" t="s">
        <v>379</v>
      </c>
      <c r="F3" s="102">
        <v>39860</v>
      </c>
      <c r="G3" s="101" t="s">
        <v>39</v>
      </c>
      <c r="H3" s="103">
        <v>67</v>
      </c>
      <c r="I3" s="103"/>
      <c r="J3" s="103"/>
      <c r="K3" s="103">
        <v>80</v>
      </c>
      <c r="L3" s="103">
        <v>75</v>
      </c>
      <c r="M3" s="103">
        <v>60</v>
      </c>
      <c r="N3" s="103">
        <v>72</v>
      </c>
      <c r="O3" s="103">
        <v>50</v>
      </c>
      <c r="P3" s="103">
        <f t="shared" si="0"/>
        <v>354</v>
      </c>
      <c r="Q3" s="104">
        <f t="shared" si="1"/>
        <v>88.5</v>
      </c>
      <c r="R3" s="13">
        <f t="shared" si="2"/>
        <v>118.5</v>
      </c>
      <c r="S3" s="84">
        <f t="shared" si="3"/>
        <v>504</v>
      </c>
      <c r="T3" s="14">
        <f t="shared" si="4"/>
        <v>97</v>
      </c>
      <c r="U3" s="14"/>
      <c r="V3" s="14"/>
      <c r="W3" s="14">
        <f t="shared" ref="W3:Z3" si="6">K3+30</f>
        <v>110</v>
      </c>
      <c r="X3" s="14">
        <f t="shared" si="6"/>
        <v>105</v>
      </c>
      <c r="Y3" s="14">
        <f t="shared" si="6"/>
        <v>90</v>
      </c>
      <c r="Z3" s="14">
        <f t="shared" si="6"/>
        <v>102</v>
      </c>
    </row>
    <row r="4" spans="1:26" ht="12.75" customHeight="1" x14ac:dyDescent="0.3">
      <c r="A4" s="100">
        <v>3</v>
      </c>
      <c r="B4" s="101" t="s">
        <v>380</v>
      </c>
      <c r="C4" s="101" t="s">
        <v>381</v>
      </c>
      <c r="D4" s="101" t="s">
        <v>382</v>
      </c>
      <c r="E4" s="101" t="s">
        <v>383</v>
      </c>
      <c r="F4" s="102">
        <v>40128</v>
      </c>
      <c r="G4" s="101" t="s">
        <v>39</v>
      </c>
      <c r="H4" s="103">
        <v>54</v>
      </c>
      <c r="I4" s="103"/>
      <c r="J4" s="103"/>
      <c r="K4" s="103">
        <v>78</v>
      </c>
      <c r="L4" s="103">
        <v>76</v>
      </c>
      <c r="M4" s="103">
        <v>66</v>
      </c>
      <c r="N4" s="103">
        <v>76</v>
      </c>
      <c r="O4" s="103">
        <v>49</v>
      </c>
      <c r="P4" s="103">
        <f t="shared" si="0"/>
        <v>350</v>
      </c>
      <c r="Q4" s="104">
        <f t="shared" si="1"/>
        <v>87.5</v>
      </c>
      <c r="R4" s="13">
        <f t="shared" si="2"/>
        <v>117.5</v>
      </c>
      <c r="S4" s="84">
        <f t="shared" si="3"/>
        <v>500</v>
      </c>
      <c r="T4" s="14">
        <f t="shared" si="4"/>
        <v>84</v>
      </c>
      <c r="U4" s="14"/>
      <c r="V4" s="14"/>
      <c r="W4" s="14">
        <f t="shared" ref="W4:Z4" si="7">K4+30</f>
        <v>108</v>
      </c>
      <c r="X4" s="14">
        <f t="shared" si="7"/>
        <v>106</v>
      </c>
      <c r="Y4" s="14">
        <f t="shared" si="7"/>
        <v>96</v>
      </c>
      <c r="Z4" s="14">
        <f t="shared" si="7"/>
        <v>106</v>
      </c>
    </row>
    <row r="5" spans="1:26" ht="12.75" customHeight="1" x14ac:dyDescent="0.3">
      <c r="A5" s="100">
        <v>4</v>
      </c>
      <c r="B5" s="101" t="s">
        <v>384</v>
      </c>
      <c r="C5" s="101" t="s">
        <v>385</v>
      </c>
      <c r="D5" s="101" t="s">
        <v>386</v>
      </c>
      <c r="E5" s="101" t="s">
        <v>387</v>
      </c>
      <c r="F5" s="102">
        <v>40278</v>
      </c>
      <c r="G5" s="101" t="s">
        <v>30</v>
      </c>
      <c r="H5" s="103">
        <v>54</v>
      </c>
      <c r="I5" s="103"/>
      <c r="J5" s="103"/>
      <c r="K5" s="103">
        <v>78</v>
      </c>
      <c r="L5" s="103">
        <v>73</v>
      </c>
      <c r="M5" s="103">
        <v>68</v>
      </c>
      <c r="N5" s="103">
        <v>76</v>
      </c>
      <c r="O5" s="103">
        <v>50</v>
      </c>
      <c r="P5" s="103">
        <f t="shared" si="0"/>
        <v>349</v>
      </c>
      <c r="Q5" s="104">
        <f t="shared" si="1"/>
        <v>87.25</v>
      </c>
      <c r="R5" s="13">
        <f t="shared" si="2"/>
        <v>117.25</v>
      </c>
      <c r="S5" s="84">
        <f t="shared" si="3"/>
        <v>499</v>
      </c>
      <c r="T5" s="14">
        <f t="shared" si="4"/>
        <v>84</v>
      </c>
      <c r="U5" s="14"/>
      <c r="V5" s="14"/>
      <c r="W5" s="14">
        <f t="shared" ref="W5:Z5" si="8">K5+30</f>
        <v>108</v>
      </c>
      <c r="X5" s="14">
        <f t="shared" si="8"/>
        <v>103</v>
      </c>
      <c r="Y5" s="14">
        <f t="shared" si="8"/>
        <v>98</v>
      </c>
      <c r="Z5" s="14">
        <f t="shared" si="8"/>
        <v>106</v>
      </c>
    </row>
    <row r="6" spans="1:26" ht="12.75" customHeight="1" x14ac:dyDescent="0.3">
      <c r="A6" s="100">
        <v>5</v>
      </c>
      <c r="B6" s="101" t="s">
        <v>388</v>
      </c>
      <c r="C6" s="101" t="s">
        <v>389</v>
      </c>
      <c r="D6" s="101" t="s">
        <v>390</v>
      </c>
      <c r="E6" s="101" t="s">
        <v>391</v>
      </c>
      <c r="F6" s="102">
        <v>40049</v>
      </c>
      <c r="G6" s="101" t="s">
        <v>39</v>
      </c>
      <c r="H6" s="103">
        <v>63</v>
      </c>
      <c r="I6" s="103"/>
      <c r="J6" s="103"/>
      <c r="K6" s="103">
        <v>76</v>
      </c>
      <c r="L6" s="103">
        <v>77</v>
      </c>
      <c r="M6" s="103">
        <v>64</v>
      </c>
      <c r="N6" s="103">
        <v>66</v>
      </c>
      <c r="O6" s="103">
        <v>48</v>
      </c>
      <c r="P6" s="103">
        <f t="shared" si="0"/>
        <v>346</v>
      </c>
      <c r="Q6" s="104">
        <f t="shared" si="1"/>
        <v>86.5</v>
      </c>
      <c r="R6" s="13">
        <f t="shared" si="2"/>
        <v>116.5</v>
      </c>
      <c r="S6" s="84">
        <f t="shared" si="3"/>
        <v>496</v>
      </c>
      <c r="T6" s="14">
        <f t="shared" si="4"/>
        <v>93</v>
      </c>
      <c r="U6" s="14"/>
      <c r="V6" s="14"/>
      <c r="W6" s="14">
        <f t="shared" ref="W6:Z6" si="9">K6+30</f>
        <v>106</v>
      </c>
      <c r="X6" s="14">
        <f t="shared" si="9"/>
        <v>107</v>
      </c>
      <c r="Y6" s="14">
        <f t="shared" si="9"/>
        <v>94</v>
      </c>
      <c r="Z6" s="14">
        <f t="shared" si="9"/>
        <v>96</v>
      </c>
    </row>
    <row r="7" spans="1:26" ht="12.75" customHeight="1" x14ac:dyDescent="0.3">
      <c r="A7" s="100">
        <v>6</v>
      </c>
      <c r="B7" s="101" t="s">
        <v>392</v>
      </c>
      <c r="C7" s="101" t="s">
        <v>393</v>
      </c>
      <c r="D7" s="101" t="s">
        <v>394</v>
      </c>
      <c r="E7" s="101" t="s">
        <v>395</v>
      </c>
      <c r="F7" s="102">
        <v>39737</v>
      </c>
      <c r="G7" s="101" t="s">
        <v>30</v>
      </c>
      <c r="H7" s="103">
        <v>53</v>
      </c>
      <c r="I7" s="103"/>
      <c r="J7" s="103"/>
      <c r="K7" s="103">
        <v>77</v>
      </c>
      <c r="L7" s="103">
        <v>78</v>
      </c>
      <c r="M7" s="105">
        <v>66</v>
      </c>
      <c r="N7" s="105">
        <v>68</v>
      </c>
      <c r="O7" s="103">
        <v>50</v>
      </c>
      <c r="P7" s="103">
        <f t="shared" si="0"/>
        <v>342</v>
      </c>
      <c r="Q7" s="104">
        <f t="shared" si="1"/>
        <v>85.5</v>
      </c>
      <c r="R7" s="13">
        <f t="shared" si="2"/>
        <v>115.5</v>
      </c>
      <c r="S7" s="84">
        <f t="shared" si="3"/>
        <v>492</v>
      </c>
      <c r="T7" s="14">
        <f t="shared" si="4"/>
        <v>83</v>
      </c>
      <c r="U7" s="14"/>
      <c r="V7" s="14"/>
      <c r="W7" s="14">
        <f t="shared" ref="W7:Z7" si="10">K7+30</f>
        <v>107</v>
      </c>
      <c r="X7" s="14">
        <f t="shared" si="10"/>
        <v>108</v>
      </c>
      <c r="Y7" s="14">
        <f t="shared" si="10"/>
        <v>96</v>
      </c>
      <c r="Z7" s="14">
        <f t="shared" si="10"/>
        <v>98</v>
      </c>
    </row>
    <row r="8" spans="1:26" ht="12.75" customHeight="1" x14ac:dyDescent="0.3">
      <c r="A8" s="100">
        <v>7</v>
      </c>
      <c r="B8" s="101" t="s">
        <v>396</v>
      </c>
      <c r="C8" s="101" t="s">
        <v>397</v>
      </c>
      <c r="D8" s="101" t="s">
        <v>398</v>
      </c>
      <c r="E8" s="101" t="s">
        <v>399</v>
      </c>
      <c r="F8" s="102">
        <v>39770</v>
      </c>
      <c r="G8" s="101" t="s">
        <v>30</v>
      </c>
      <c r="H8" s="103">
        <v>56</v>
      </c>
      <c r="I8" s="103">
        <v>73</v>
      </c>
      <c r="J8" s="103"/>
      <c r="K8" s="103"/>
      <c r="L8" s="103">
        <v>77</v>
      </c>
      <c r="M8" s="105">
        <v>67</v>
      </c>
      <c r="N8" s="105">
        <v>68</v>
      </c>
      <c r="O8" s="103">
        <v>48</v>
      </c>
      <c r="P8" s="103">
        <f t="shared" si="0"/>
        <v>341</v>
      </c>
      <c r="Q8" s="104">
        <f t="shared" si="1"/>
        <v>85.25</v>
      </c>
      <c r="R8" s="13">
        <f t="shared" si="2"/>
        <v>115.25</v>
      </c>
      <c r="S8" s="84">
        <f t="shared" si="3"/>
        <v>491</v>
      </c>
      <c r="T8" s="14">
        <f t="shared" si="4"/>
        <v>86</v>
      </c>
      <c r="U8" s="14">
        <f>I8+30</f>
        <v>103</v>
      </c>
      <c r="V8" s="14"/>
      <c r="W8" s="14"/>
      <c r="X8" s="14">
        <f t="shared" ref="X8:Z8" si="11">L8+30</f>
        <v>107</v>
      </c>
      <c r="Y8" s="14">
        <f t="shared" si="11"/>
        <v>97</v>
      </c>
      <c r="Z8" s="14">
        <f t="shared" si="11"/>
        <v>98</v>
      </c>
    </row>
    <row r="9" spans="1:26" ht="12.75" customHeight="1" x14ac:dyDescent="0.3">
      <c r="A9" s="106">
        <v>8</v>
      </c>
      <c r="B9" s="107" t="s">
        <v>400</v>
      </c>
      <c r="C9" s="101" t="s">
        <v>401</v>
      </c>
      <c r="D9" s="101" t="s">
        <v>402</v>
      </c>
      <c r="E9" s="101" t="s">
        <v>403</v>
      </c>
      <c r="F9" s="102">
        <v>39953</v>
      </c>
      <c r="G9" s="101" t="s">
        <v>30</v>
      </c>
      <c r="H9" s="103">
        <v>50</v>
      </c>
      <c r="I9" s="103"/>
      <c r="J9" s="103"/>
      <c r="K9" s="103">
        <v>78</v>
      </c>
      <c r="L9" s="103">
        <v>77</v>
      </c>
      <c r="M9" s="103">
        <v>69</v>
      </c>
      <c r="N9" s="103">
        <v>66</v>
      </c>
      <c r="O9" s="103">
        <v>50</v>
      </c>
      <c r="P9" s="103">
        <f t="shared" si="0"/>
        <v>340</v>
      </c>
      <c r="Q9" s="104">
        <f t="shared" si="1"/>
        <v>85</v>
      </c>
      <c r="R9" s="13">
        <f t="shared" si="2"/>
        <v>115</v>
      </c>
      <c r="S9" s="84">
        <f t="shared" si="3"/>
        <v>490</v>
      </c>
      <c r="T9" s="14">
        <f t="shared" si="4"/>
        <v>80</v>
      </c>
      <c r="U9" s="14"/>
      <c r="V9" s="14"/>
      <c r="W9" s="14">
        <f t="shared" ref="W9:Z9" si="12">K9+30</f>
        <v>108</v>
      </c>
      <c r="X9" s="14">
        <f t="shared" si="12"/>
        <v>107</v>
      </c>
      <c r="Y9" s="14">
        <f t="shared" si="12"/>
        <v>99</v>
      </c>
      <c r="Z9" s="14">
        <f t="shared" si="12"/>
        <v>96</v>
      </c>
    </row>
    <row r="10" spans="1:26" ht="12.75" customHeight="1" x14ac:dyDescent="0.3">
      <c r="A10" s="100">
        <v>9</v>
      </c>
      <c r="B10" s="101" t="s">
        <v>404</v>
      </c>
      <c r="C10" s="101" t="s">
        <v>405</v>
      </c>
      <c r="D10" s="101" t="s">
        <v>406</v>
      </c>
      <c r="E10" s="101" t="s">
        <v>407</v>
      </c>
      <c r="F10" s="102">
        <v>40162</v>
      </c>
      <c r="G10" s="101" t="s">
        <v>30</v>
      </c>
      <c r="H10" s="103">
        <v>53</v>
      </c>
      <c r="I10" s="103"/>
      <c r="J10" s="103">
        <v>75</v>
      </c>
      <c r="K10" s="103"/>
      <c r="L10" s="103">
        <v>79</v>
      </c>
      <c r="M10" s="103">
        <v>64</v>
      </c>
      <c r="N10" s="103">
        <v>65</v>
      </c>
      <c r="O10" s="103">
        <v>49</v>
      </c>
      <c r="P10" s="103">
        <f t="shared" si="0"/>
        <v>336</v>
      </c>
      <c r="Q10" s="104">
        <f t="shared" si="1"/>
        <v>84</v>
      </c>
      <c r="R10" s="13">
        <f t="shared" si="2"/>
        <v>114</v>
      </c>
      <c r="S10" s="84">
        <f t="shared" si="3"/>
        <v>486</v>
      </c>
      <c r="T10" s="14">
        <f t="shared" si="4"/>
        <v>83</v>
      </c>
      <c r="U10" s="14"/>
      <c r="V10" s="14">
        <f>J10+30</f>
        <v>105</v>
      </c>
      <c r="W10" s="14"/>
      <c r="X10" s="14">
        <f t="shared" ref="X10:Z10" si="13">L10+30</f>
        <v>109</v>
      </c>
      <c r="Y10" s="14">
        <f t="shared" si="13"/>
        <v>94</v>
      </c>
      <c r="Z10" s="14">
        <f t="shared" si="13"/>
        <v>95</v>
      </c>
    </row>
    <row r="11" spans="1:26" ht="12.75" customHeight="1" x14ac:dyDescent="0.3">
      <c r="A11" s="100">
        <v>10</v>
      </c>
      <c r="B11" s="101" t="s">
        <v>408</v>
      </c>
      <c r="C11" s="101" t="s">
        <v>409</v>
      </c>
      <c r="D11" s="101" t="s">
        <v>410</v>
      </c>
      <c r="E11" s="101" t="s">
        <v>411</v>
      </c>
      <c r="F11" s="102">
        <v>39907</v>
      </c>
      <c r="G11" s="101" t="s">
        <v>39</v>
      </c>
      <c r="H11" s="103">
        <v>55</v>
      </c>
      <c r="I11" s="103"/>
      <c r="J11" s="103"/>
      <c r="K11" s="103">
        <v>78</v>
      </c>
      <c r="L11" s="103">
        <v>72</v>
      </c>
      <c r="M11" s="103">
        <v>66</v>
      </c>
      <c r="N11" s="103">
        <v>64</v>
      </c>
      <c r="O11" s="103">
        <v>46</v>
      </c>
      <c r="P11" s="103">
        <f t="shared" si="0"/>
        <v>335</v>
      </c>
      <c r="Q11" s="104">
        <f t="shared" si="1"/>
        <v>83.75</v>
      </c>
      <c r="R11" s="13">
        <f t="shared" si="2"/>
        <v>113.75</v>
      </c>
      <c r="S11" s="84">
        <f t="shared" si="3"/>
        <v>485</v>
      </c>
      <c r="T11" s="14">
        <f t="shared" si="4"/>
        <v>85</v>
      </c>
      <c r="U11" s="14"/>
      <c r="V11" s="14"/>
      <c r="W11" s="14">
        <f t="shared" ref="W11:Z11" si="14">K11+30</f>
        <v>108</v>
      </c>
      <c r="X11" s="14">
        <f t="shared" si="14"/>
        <v>102</v>
      </c>
      <c r="Y11" s="14">
        <f t="shared" si="14"/>
        <v>96</v>
      </c>
      <c r="Z11" s="14">
        <f t="shared" si="14"/>
        <v>94</v>
      </c>
    </row>
    <row r="12" spans="1:26" ht="12.75" customHeight="1" x14ac:dyDescent="0.3">
      <c r="A12" s="100">
        <v>11</v>
      </c>
      <c r="B12" s="101" t="s">
        <v>412</v>
      </c>
      <c r="C12" s="101" t="s">
        <v>413</v>
      </c>
      <c r="D12" s="101" t="s">
        <v>414</v>
      </c>
      <c r="E12" s="101" t="s">
        <v>415</v>
      </c>
      <c r="F12" s="102">
        <v>40074</v>
      </c>
      <c r="G12" s="101" t="s">
        <v>39</v>
      </c>
      <c r="H12" s="103">
        <v>60</v>
      </c>
      <c r="I12" s="103"/>
      <c r="J12" s="103"/>
      <c r="K12" s="103">
        <v>80</v>
      </c>
      <c r="L12" s="103">
        <v>77</v>
      </c>
      <c r="M12" s="103">
        <v>58</v>
      </c>
      <c r="N12" s="103">
        <v>60</v>
      </c>
      <c r="O12" s="103">
        <v>49</v>
      </c>
      <c r="P12" s="103">
        <f t="shared" si="0"/>
        <v>335</v>
      </c>
      <c r="Q12" s="104">
        <f t="shared" si="1"/>
        <v>83.75</v>
      </c>
      <c r="R12" s="13">
        <f t="shared" si="2"/>
        <v>113.75</v>
      </c>
      <c r="S12" s="84">
        <f t="shared" si="3"/>
        <v>485</v>
      </c>
      <c r="T12" s="14">
        <f t="shared" si="4"/>
        <v>90</v>
      </c>
      <c r="U12" s="14"/>
      <c r="V12" s="14"/>
      <c r="W12" s="14">
        <f t="shared" ref="W12:Z12" si="15">K12+30</f>
        <v>110</v>
      </c>
      <c r="X12" s="14">
        <f t="shared" si="15"/>
        <v>107</v>
      </c>
      <c r="Y12" s="14">
        <f t="shared" si="15"/>
        <v>88</v>
      </c>
      <c r="Z12" s="14">
        <f t="shared" si="15"/>
        <v>90</v>
      </c>
    </row>
    <row r="13" spans="1:26" ht="12.75" customHeight="1" x14ac:dyDescent="0.3">
      <c r="A13" s="100">
        <v>12</v>
      </c>
      <c r="B13" s="25" t="s">
        <v>416</v>
      </c>
      <c r="C13" s="108" t="s">
        <v>417</v>
      </c>
      <c r="D13" s="108" t="s">
        <v>418</v>
      </c>
      <c r="E13" s="108" t="s">
        <v>419</v>
      </c>
      <c r="F13" s="109">
        <v>40088</v>
      </c>
      <c r="G13" s="108" t="s">
        <v>30</v>
      </c>
      <c r="H13" s="110">
        <v>49</v>
      </c>
      <c r="I13" s="110"/>
      <c r="J13" s="110">
        <v>73</v>
      </c>
      <c r="K13" s="110"/>
      <c r="L13" s="110">
        <v>77</v>
      </c>
      <c r="M13" s="110">
        <v>66</v>
      </c>
      <c r="N13" s="110">
        <v>67</v>
      </c>
      <c r="O13" s="110">
        <v>50</v>
      </c>
      <c r="P13" s="110">
        <f t="shared" si="0"/>
        <v>332</v>
      </c>
      <c r="Q13" s="111">
        <f t="shared" si="1"/>
        <v>83</v>
      </c>
      <c r="R13" s="13">
        <f t="shared" si="2"/>
        <v>113</v>
      </c>
      <c r="S13" s="84">
        <f t="shared" si="3"/>
        <v>482</v>
      </c>
      <c r="T13" s="14">
        <f t="shared" si="4"/>
        <v>79</v>
      </c>
      <c r="U13" s="14"/>
      <c r="V13" s="14">
        <f>J13+30</f>
        <v>103</v>
      </c>
      <c r="W13" s="14"/>
      <c r="X13" s="14">
        <f t="shared" ref="X13:Z13" si="16">L13+30</f>
        <v>107</v>
      </c>
      <c r="Y13" s="14">
        <f t="shared" si="16"/>
        <v>96</v>
      </c>
      <c r="Z13" s="14">
        <f t="shared" si="16"/>
        <v>97</v>
      </c>
    </row>
    <row r="14" spans="1:26" ht="12.75" customHeight="1" x14ac:dyDescent="0.3">
      <c r="A14" s="100">
        <v>13</v>
      </c>
      <c r="B14" s="101" t="s">
        <v>420</v>
      </c>
      <c r="C14" s="101" t="s">
        <v>421</v>
      </c>
      <c r="D14" s="101" t="s">
        <v>422</v>
      </c>
      <c r="E14" s="101" t="s">
        <v>423</v>
      </c>
      <c r="F14" s="102">
        <v>39724</v>
      </c>
      <c r="G14" s="101" t="s">
        <v>39</v>
      </c>
      <c r="H14" s="103">
        <v>51</v>
      </c>
      <c r="I14" s="103">
        <v>71</v>
      </c>
      <c r="J14" s="103"/>
      <c r="K14" s="103"/>
      <c r="L14" s="103">
        <v>75</v>
      </c>
      <c r="M14" s="103">
        <v>66</v>
      </c>
      <c r="N14" s="103">
        <v>69</v>
      </c>
      <c r="O14" s="103">
        <v>50</v>
      </c>
      <c r="P14" s="103">
        <f t="shared" si="0"/>
        <v>332</v>
      </c>
      <c r="Q14" s="104">
        <f t="shared" si="1"/>
        <v>83</v>
      </c>
      <c r="R14" s="13">
        <f t="shared" si="2"/>
        <v>113</v>
      </c>
      <c r="S14" s="84">
        <f t="shared" si="3"/>
        <v>482</v>
      </c>
      <c r="T14" s="14">
        <f t="shared" si="4"/>
        <v>81</v>
      </c>
      <c r="U14" s="14">
        <f>I14+30</f>
        <v>101</v>
      </c>
      <c r="V14" s="14"/>
      <c r="W14" s="14"/>
      <c r="X14" s="14">
        <f t="shared" ref="X14:Z14" si="17">L14+30</f>
        <v>105</v>
      </c>
      <c r="Y14" s="14">
        <f t="shared" si="17"/>
        <v>96</v>
      </c>
      <c r="Z14" s="14">
        <f t="shared" si="17"/>
        <v>99</v>
      </c>
    </row>
    <row r="15" spans="1:26" ht="12.75" customHeight="1" x14ac:dyDescent="0.3">
      <c r="A15" s="100">
        <v>14</v>
      </c>
      <c r="B15" s="101" t="s">
        <v>424</v>
      </c>
      <c r="C15" s="101" t="s">
        <v>425</v>
      </c>
      <c r="D15" s="101" t="s">
        <v>426</v>
      </c>
      <c r="E15" s="101" t="s">
        <v>427</v>
      </c>
      <c r="F15" s="102">
        <v>40040</v>
      </c>
      <c r="G15" s="101" t="s">
        <v>30</v>
      </c>
      <c r="H15" s="103">
        <v>52</v>
      </c>
      <c r="I15" s="103"/>
      <c r="J15" s="103">
        <v>76</v>
      </c>
      <c r="K15" s="103"/>
      <c r="L15" s="103">
        <v>73</v>
      </c>
      <c r="M15" s="105">
        <v>66</v>
      </c>
      <c r="N15" s="105">
        <v>64</v>
      </c>
      <c r="O15" s="103">
        <v>49</v>
      </c>
      <c r="P15" s="103">
        <f t="shared" si="0"/>
        <v>331</v>
      </c>
      <c r="Q15" s="104">
        <f t="shared" si="1"/>
        <v>82.75</v>
      </c>
      <c r="R15" s="13">
        <f t="shared" si="2"/>
        <v>112.75</v>
      </c>
      <c r="S15" s="84">
        <f t="shared" si="3"/>
        <v>481</v>
      </c>
      <c r="T15" s="14">
        <f t="shared" si="4"/>
        <v>82</v>
      </c>
      <c r="U15" s="14"/>
      <c r="V15" s="14">
        <f t="shared" ref="V15:V16" si="18">J15+30</f>
        <v>106</v>
      </c>
      <c r="W15" s="14"/>
      <c r="X15" s="14">
        <f t="shared" ref="X15:Z15" si="19">L15+30</f>
        <v>103</v>
      </c>
      <c r="Y15" s="14">
        <f t="shared" si="19"/>
        <v>96</v>
      </c>
      <c r="Z15" s="14">
        <f t="shared" si="19"/>
        <v>94</v>
      </c>
    </row>
    <row r="16" spans="1:26" ht="12.75" customHeight="1" x14ac:dyDescent="0.3">
      <c r="A16" s="100">
        <v>15</v>
      </c>
      <c r="B16" s="101" t="s">
        <v>428</v>
      </c>
      <c r="C16" s="101" t="s">
        <v>429</v>
      </c>
      <c r="D16" s="101" t="s">
        <v>430</v>
      </c>
      <c r="E16" s="101" t="s">
        <v>431</v>
      </c>
      <c r="F16" s="102">
        <v>39962</v>
      </c>
      <c r="G16" s="101" t="s">
        <v>30</v>
      </c>
      <c r="H16" s="103">
        <v>64</v>
      </c>
      <c r="I16" s="103"/>
      <c r="J16" s="103">
        <v>70</v>
      </c>
      <c r="K16" s="103"/>
      <c r="L16" s="103">
        <v>80</v>
      </c>
      <c r="M16" s="103">
        <v>61</v>
      </c>
      <c r="N16" s="103">
        <v>54</v>
      </c>
      <c r="O16" s="103">
        <v>50</v>
      </c>
      <c r="P16" s="103">
        <f t="shared" si="0"/>
        <v>329</v>
      </c>
      <c r="Q16" s="104">
        <f t="shared" si="1"/>
        <v>82.25</v>
      </c>
      <c r="R16" s="13">
        <f t="shared" si="2"/>
        <v>112.25</v>
      </c>
      <c r="S16" s="84">
        <f t="shared" si="3"/>
        <v>479</v>
      </c>
      <c r="T16" s="14">
        <f t="shared" si="4"/>
        <v>94</v>
      </c>
      <c r="U16" s="14"/>
      <c r="V16" s="14">
        <f t="shared" si="18"/>
        <v>100</v>
      </c>
      <c r="W16" s="14"/>
      <c r="X16" s="14">
        <f t="shared" ref="X16:Z16" si="20">L16+30</f>
        <v>110</v>
      </c>
      <c r="Y16" s="14">
        <f t="shared" si="20"/>
        <v>91</v>
      </c>
      <c r="Z16" s="14">
        <f t="shared" si="20"/>
        <v>84</v>
      </c>
    </row>
    <row r="17" spans="1:26" ht="12.75" customHeight="1" x14ac:dyDescent="0.3">
      <c r="A17" s="100">
        <v>16</v>
      </c>
      <c r="B17" s="101" t="s">
        <v>432</v>
      </c>
      <c r="C17" s="101" t="s">
        <v>433</v>
      </c>
      <c r="D17" s="101" t="s">
        <v>434</v>
      </c>
      <c r="E17" s="101" t="s">
        <v>435</v>
      </c>
      <c r="F17" s="102">
        <v>40070</v>
      </c>
      <c r="G17" s="101" t="s">
        <v>30</v>
      </c>
      <c r="H17" s="103">
        <v>53</v>
      </c>
      <c r="I17" s="103"/>
      <c r="J17" s="103"/>
      <c r="K17" s="103">
        <v>71</v>
      </c>
      <c r="L17" s="103">
        <v>74</v>
      </c>
      <c r="M17" s="105">
        <v>62</v>
      </c>
      <c r="N17" s="105">
        <v>68</v>
      </c>
      <c r="O17" s="103">
        <v>48</v>
      </c>
      <c r="P17" s="103">
        <f t="shared" si="0"/>
        <v>328</v>
      </c>
      <c r="Q17" s="104">
        <f t="shared" si="1"/>
        <v>82</v>
      </c>
      <c r="R17" s="13">
        <f t="shared" si="2"/>
        <v>112</v>
      </c>
      <c r="S17" s="84">
        <f t="shared" si="3"/>
        <v>478</v>
      </c>
      <c r="T17" s="14">
        <f t="shared" si="4"/>
        <v>83</v>
      </c>
      <c r="U17" s="14"/>
      <c r="V17" s="14"/>
      <c r="W17" s="14">
        <f t="shared" ref="W17:Z17" si="21">K17+30</f>
        <v>101</v>
      </c>
      <c r="X17" s="14">
        <f t="shared" si="21"/>
        <v>104</v>
      </c>
      <c r="Y17" s="14">
        <f t="shared" si="21"/>
        <v>92</v>
      </c>
      <c r="Z17" s="14">
        <f t="shared" si="21"/>
        <v>98</v>
      </c>
    </row>
    <row r="18" spans="1:26" ht="12.75" customHeight="1" x14ac:dyDescent="0.3">
      <c r="A18" s="100">
        <v>17</v>
      </c>
      <c r="B18" s="101" t="s">
        <v>436</v>
      </c>
      <c r="C18" s="101" t="s">
        <v>437</v>
      </c>
      <c r="D18" s="101" t="s">
        <v>438</v>
      </c>
      <c r="E18" s="101" t="s">
        <v>439</v>
      </c>
      <c r="F18" s="102">
        <v>40054</v>
      </c>
      <c r="G18" s="101" t="s">
        <v>30</v>
      </c>
      <c r="H18" s="103">
        <v>50</v>
      </c>
      <c r="I18" s="103"/>
      <c r="J18" s="103">
        <v>71</v>
      </c>
      <c r="K18" s="103"/>
      <c r="L18" s="103">
        <v>70</v>
      </c>
      <c r="M18" s="103">
        <v>62</v>
      </c>
      <c r="N18" s="103">
        <v>68</v>
      </c>
      <c r="O18" s="103">
        <v>49</v>
      </c>
      <c r="P18" s="103">
        <f t="shared" si="0"/>
        <v>321</v>
      </c>
      <c r="Q18" s="104">
        <f t="shared" si="1"/>
        <v>80.25</v>
      </c>
      <c r="R18" s="13">
        <f t="shared" si="2"/>
        <v>110.25</v>
      </c>
      <c r="S18" s="84">
        <f t="shared" si="3"/>
        <v>471</v>
      </c>
      <c r="T18" s="14">
        <f t="shared" si="4"/>
        <v>80</v>
      </c>
      <c r="U18" s="14"/>
      <c r="V18" s="14">
        <f>J18+30</f>
        <v>101</v>
      </c>
      <c r="W18" s="14"/>
      <c r="X18" s="14">
        <f t="shared" ref="X18:Z18" si="22">L18+30</f>
        <v>100</v>
      </c>
      <c r="Y18" s="14">
        <f t="shared" si="22"/>
        <v>92</v>
      </c>
      <c r="Z18" s="14">
        <f t="shared" si="22"/>
        <v>98</v>
      </c>
    </row>
    <row r="19" spans="1:26" ht="12.75" customHeight="1" x14ac:dyDescent="0.3">
      <c r="A19" s="100">
        <v>18</v>
      </c>
      <c r="B19" s="101" t="s">
        <v>440</v>
      </c>
      <c r="C19" s="101" t="s">
        <v>441</v>
      </c>
      <c r="D19" s="101" t="s">
        <v>442</v>
      </c>
      <c r="E19" s="101" t="s">
        <v>443</v>
      </c>
      <c r="F19" s="102">
        <v>40190</v>
      </c>
      <c r="G19" s="101" t="s">
        <v>30</v>
      </c>
      <c r="H19" s="103">
        <v>48</v>
      </c>
      <c r="I19" s="103"/>
      <c r="J19" s="103"/>
      <c r="K19" s="103">
        <v>75</v>
      </c>
      <c r="L19" s="103">
        <v>67</v>
      </c>
      <c r="M19" s="103">
        <v>62</v>
      </c>
      <c r="N19" s="103">
        <v>68</v>
      </c>
      <c r="O19" s="103">
        <v>48</v>
      </c>
      <c r="P19" s="103">
        <f t="shared" si="0"/>
        <v>320</v>
      </c>
      <c r="Q19" s="104">
        <f t="shared" si="1"/>
        <v>80</v>
      </c>
      <c r="R19" s="13">
        <f t="shared" si="2"/>
        <v>110</v>
      </c>
      <c r="S19" s="84">
        <f t="shared" si="3"/>
        <v>470</v>
      </c>
      <c r="T19" s="14">
        <f t="shared" si="4"/>
        <v>78</v>
      </c>
      <c r="U19" s="14"/>
      <c r="V19" s="14"/>
      <c r="W19" s="14">
        <f t="shared" ref="W19:Z19" si="23">K19+30</f>
        <v>105</v>
      </c>
      <c r="X19" s="14">
        <f t="shared" si="23"/>
        <v>97</v>
      </c>
      <c r="Y19" s="14">
        <f t="shared" si="23"/>
        <v>92</v>
      </c>
      <c r="Z19" s="14">
        <f t="shared" si="23"/>
        <v>98</v>
      </c>
    </row>
    <row r="20" spans="1:26" ht="12.75" customHeight="1" x14ac:dyDescent="0.3">
      <c r="A20" s="100">
        <v>19</v>
      </c>
      <c r="B20" s="101" t="s">
        <v>444</v>
      </c>
      <c r="C20" s="101" t="s">
        <v>445</v>
      </c>
      <c r="D20" s="101" t="s">
        <v>446</v>
      </c>
      <c r="E20" s="101" t="s">
        <v>447</v>
      </c>
      <c r="F20" s="102">
        <v>40081</v>
      </c>
      <c r="G20" s="101" t="s">
        <v>30</v>
      </c>
      <c r="H20" s="103">
        <v>54</v>
      </c>
      <c r="I20" s="103"/>
      <c r="J20" s="103">
        <v>68</v>
      </c>
      <c r="K20" s="103"/>
      <c r="L20" s="103">
        <v>74</v>
      </c>
      <c r="M20" s="103">
        <v>55</v>
      </c>
      <c r="N20" s="103">
        <v>57</v>
      </c>
      <c r="O20" s="103">
        <v>49</v>
      </c>
      <c r="P20" s="103">
        <f t="shared" si="0"/>
        <v>308</v>
      </c>
      <c r="Q20" s="104">
        <f t="shared" si="1"/>
        <v>77</v>
      </c>
      <c r="R20" s="13">
        <f t="shared" si="2"/>
        <v>107</v>
      </c>
      <c r="S20" s="84">
        <f t="shared" si="3"/>
        <v>458</v>
      </c>
      <c r="T20" s="14">
        <f t="shared" si="4"/>
        <v>84</v>
      </c>
      <c r="U20" s="14"/>
      <c r="V20" s="14">
        <f>J20+30</f>
        <v>98</v>
      </c>
      <c r="W20" s="14"/>
      <c r="X20" s="14">
        <f t="shared" ref="X20:Z20" si="24">L20+30</f>
        <v>104</v>
      </c>
      <c r="Y20" s="14">
        <f t="shared" si="24"/>
        <v>85</v>
      </c>
      <c r="Z20" s="14">
        <f t="shared" si="24"/>
        <v>87</v>
      </c>
    </row>
    <row r="21" spans="1:26" ht="12.75" customHeight="1" x14ac:dyDescent="0.3">
      <c r="A21" s="100">
        <v>20</v>
      </c>
      <c r="B21" s="101" t="s">
        <v>448</v>
      </c>
      <c r="C21" s="101" t="s">
        <v>449</v>
      </c>
      <c r="D21" s="101" t="s">
        <v>450</v>
      </c>
      <c r="E21" s="101" t="s">
        <v>451</v>
      </c>
      <c r="F21" s="102">
        <v>39916</v>
      </c>
      <c r="G21" s="101" t="s">
        <v>30</v>
      </c>
      <c r="H21" s="103">
        <v>42</v>
      </c>
      <c r="I21" s="103"/>
      <c r="J21" s="103"/>
      <c r="K21" s="103">
        <v>76</v>
      </c>
      <c r="L21" s="103">
        <v>72</v>
      </c>
      <c r="M21" s="103">
        <v>61</v>
      </c>
      <c r="N21" s="103">
        <v>54</v>
      </c>
      <c r="O21" s="103">
        <v>50</v>
      </c>
      <c r="P21" s="103">
        <f t="shared" si="0"/>
        <v>305</v>
      </c>
      <c r="Q21" s="104">
        <f t="shared" si="1"/>
        <v>76.25</v>
      </c>
      <c r="R21" s="13">
        <f t="shared" si="2"/>
        <v>106.25</v>
      </c>
      <c r="S21" s="84">
        <f t="shared" si="3"/>
        <v>455</v>
      </c>
      <c r="T21" s="14">
        <f t="shared" si="4"/>
        <v>72</v>
      </c>
      <c r="U21" s="14"/>
      <c r="V21" s="14"/>
      <c r="W21" s="14">
        <f t="shared" ref="W21:Z21" si="25">K21+30</f>
        <v>106</v>
      </c>
      <c r="X21" s="14">
        <f t="shared" si="25"/>
        <v>102</v>
      </c>
      <c r="Y21" s="14">
        <f t="shared" si="25"/>
        <v>91</v>
      </c>
      <c r="Z21" s="14">
        <f t="shared" si="25"/>
        <v>84</v>
      </c>
    </row>
    <row r="22" spans="1:26" ht="12.75" customHeight="1" x14ac:dyDescent="0.3">
      <c r="A22" s="100">
        <v>21</v>
      </c>
      <c r="B22" s="101" t="s">
        <v>452</v>
      </c>
      <c r="C22" s="101" t="s">
        <v>453</v>
      </c>
      <c r="D22" s="101" t="s">
        <v>454</v>
      </c>
      <c r="E22" s="101" t="s">
        <v>455</v>
      </c>
      <c r="F22" s="102">
        <v>39846</v>
      </c>
      <c r="G22" s="101" t="s">
        <v>39</v>
      </c>
      <c r="H22" s="103">
        <v>57</v>
      </c>
      <c r="I22" s="103">
        <v>74</v>
      </c>
      <c r="J22" s="103"/>
      <c r="K22" s="103"/>
      <c r="L22" s="103">
        <v>68</v>
      </c>
      <c r="M22" s="103">
        <v>48</v>
      </c>
      <c r="N22" s="103">
        <v>57</v>
      </c>
      <c r="O22" s="103">
        <v>47</v>
      </c>
      <c r="P22" s="103">
        <f t="shared" si="0"/>
        <v>304</v>
      </c>
      <c r="Q22" s="104">
        <f t="shared" si="1"/>
        <v>76</v>
      </c>
      <c r="R22" s="13">
        <f t="shared" si="2"/>
        <v>106</v>
      </c>
      <c r="S22" s="84">
        <f t="shared" si="3"/>
        <v>454</v>
      </c>
      <c r="T22" s="14">
        <f t="shared" si="4"/>
        <v>87</v>
      </c>
      <c r="U22" s="14">
        <f>I22+30</f>
        <v>104</v>
      </c>
      <c r="V22" s="14"/>
      <c r="W22" s="14"/>
      <c r="X22" s="14">
        <f t="shared" ref="X22:Z22" si="26">L22+30</f>
        <v>98</v>
      </c>
      <c r="Y22" s="14">
        <f t="shared" si="26"/>
        <v>78</v>
      </c>
      <c r="Z22" s="14">
        <f t="shared" si="26"/>
        <v>87</v>
      </c>
    </row>
    <row r="23" spans="1:26" ht="12.75" customHeight="1" x14ac:dyDescent="0.3">
      <c r="A23" s="100">
        <v>22</v>
      </c>
      <c r="B23" s="101" t="s">
        <v>456</v>
      </c>
      <c r="C23" s="101" t="s">
        <v>457</v>
      </c>
      <c r="D23" s="101" t="s">
        <v>458</v>
      </c>
      <c r="E23" s="101" t="s">
        <v>459</v>
      </c>
      <c r="F23" s="102">
        <v>40041</v>
      </c>
      <c r="G23" s="101" t="s">
        <v>30</v>
      </c>
      <c r="H23" s="103">
        <v>58</v>
      </c>
      <c r="I23" s="103"/>
      <c r="J23" s="103">
        <v>77</v>
      </c>
      <c r="K23" s="103"/>
      <c r="L23" s="103">
        <v>45</v>
      </c>
      <c r="M23" s="103">
        <v>60</v>
      </c>
      <c r="N23" s="103">
        <v>64</v>
      </c>
      <c r="O23" s="103">
        <v>48</v>
      </c>
      <c r="P23" s="103">
        <f t="shared" si="0"/>
        <v>304</v>
      </c>
      <c r="Q23" s="104">
        <f t="shared" si="1"/>
        <v>76</v>
      </c>
      <c r="R23" s="13">
        <f t="shared" si="2"/>
        <v>106</v>
      </c>
      <c r="S23" s="84">
        <f t="shared" si="3"/>
        <v>454</v>
      </c>
      <c r="T23" s="14">
        <f t="shared" si="4"/>
        <v>88</v>
      </c>
      <c r="U23" s="14"/>
      <c r="V23" s="14">
        <f>J23+30</f>
        <v>107</v>
      </c>
      <c r="W23" s="14"/>
      <c r="X23" s="14">
        <f t="shared" ref="X23:Z23" si="27">L23+30</f>
        <v>75</v>
      </c>
      <c r="Y23" s="14">
        <f t="shared" si="27"/>
        <v>90</v>
      </c>
      <c r="Z23" s="14">
        <f t="shared" si="27"/>
        <v>94</v>
      </c>
    </row>
    <row r="24" spans="1:26" ht="12.75" customHeight="1" x14ac:dyDescent="0.3">
      <c r="A24" s="100">
        <v>23</v>
      </c>
      <c r="B24" s="101" t="s">
        <v>460</v>
      </c>
      <c r="C24" s="101" t="s">
        <v>461</v>
      </c>
      <c r="D24" s="101" t="s">
        <v>462</v>
      </c>
      <c r="E24" s="101" t="s">
        <v>463</v>
      </c>
      <c r="F24" s="102">
        <v>39805</v>
      </c>
      <c r="G24" s="101" t="s">
        <v>30</v>
      </c>
      <c r="H24" s="103">
        <v>47</v>
      </c>
      <c r="I24" s="103"/>
      <c r="J24" s="103"/>
      <c r="K24" s="103">
        <v>72</v>
      </c>
      <c r="L24" s="103">
        <v>70</v>
      </c>
      <c r="M24" s="105">
        <v>56</v>
      </c>
      <c r="N24" s="105">
        <v>57</v>
      </c>
      <c r="O24" s="103">
        <v>47</v>
      </c>
      <c r="P24" s="103">
        <f t="shared" si="0"/>
        <v>302</v>
      </c>
      <c r="Q24" s="104">
        <f t="shared" si="1"/>
        <v>75.5</v>
      </c>
      <c r="R24" s="13">
        <f t="shared" si="2"/>
        <v>105.5</v>
      </c>
      <c r="S24" s="84">
        <f t="shared" si="3"/>
        <v>452</v>
      </c>
      <c r="T24" s="14">
        <f t="shared" si="4"/>
        <v>77</v>
      </c>
      <c r="U24" s="14"/>
      <c r="V24" s="14"/>
      <c r="W24" s="14">
        <f t="shared" ref="W24:Z24" si="28">K24+30</f>
        <v>102</v>
      </c>
      <c r="X24" s="14">
        <f t="shared" si="28"/>
        <v>100</v>
      </c>
      <c r="Y24" s="14">
        <f t="shared" si="28"/>
        <v>86</v>
      </c>
      <c r="Z24" s="14">
        <f t="shared" si="28"/>
        <v>87</v>
      </c>
    </row>
    <row r="25" spans="1:26" ht="14.4" x14ac:dyDescent="0.3">
      <c r="A25" s="106">
        <v>24</v>
      </c>
      <c r="B25" s="35" t="s">
        <v>464</v>
      </c>
      <c r="C25" s="108" t="s">
        <v>465</v>
      </c>
      <c r="D25" s="108" t="s">
        <v>466</v>
      </c>
      <c r="E25" s="108" t="s">
        <v>467</v>
      </c>
      <c r="F25" s="109">
        <v>39886</v>
      </c>
      <c r="G25" s="108" t="s">
        <v>30</v>
      </c>
      <c r="H25" s="110">
        <v>44</v>
      </c>
      <c r="I25" s="110">
        <v>72</v>
      </c>
      <c r="J25" s="110"/>
      <c r="K25" s="110"/>
      <c r="L25" s="110">
        <v>59</v>
      </c>
      <c r="M25" s="112">
        <v>56</v>
      </c>
      <c r="N25" s="112">
        <v>67</v>
      </c>
      <c r="O25" s="110">
        <v>47</v>
      </c>
      <c r="P25" s="110">
        <f t="shared" si="0"/>
        <v>298</v>
      </c>
      <c r="Q25" s="111">
        <f t="shared" si="1"/>
        <v>74.5</v>
      </c>
      <c r="R25" s="13">
        <f t="shared" si="2"/>
        <v>104.5</v>
      </c>
      <c r="S25" s="84">
        <f t="shared" si="3"/>
        <v>448</v>
      </c>
      <c r="T25" s="14">
        <f t="shared" si="4"/>
        <v>74</v>
      </c>
      <c r="U25" s="14">
        <f>I25+30</f>
        <v>102</v>
      </c>
      <c r="V25" s="14"/>
      <c r="W25" s="14"/>
      <c r="X25" s="14">
        <f t="shared" ref="X25:Z25" si="29">L25+30</f>
        <v>89</v>
      </c>
      <c r="Y25" s="14">
        <f t="shared" si="29"/>
        <v>86</v>
      </c>
      <c r="Z25" s="14">
        <f t="shared" si="29"/>
        <v>97</v>
      </c>
    </row>
    <row r="26" spans="1:26" ht="12.75" customHeight="1" x14ac:dyDescent="0.3">
      <c r="A26" s="100">
        <v>25</v>
      </c>
      <c r="B26" s="101" t="s">
        <v>468</v>
      </c>
      <c r="C26" s="101" t="s">
        <v>469</v>
      </c>
      <c r="D26" s="101" t="s">
        <v>470</v>
      </c>
      <c r="E26" s="101" t="s">
        <v>471</v>
      </c>
      <c r="F26" s="102">
        <v>39828</v>
      </c>
      <c r="G26" s="101" t="s">
        <v>30</v>
      </c>
      <c r="H26" s="103">
        <v>51</v>
      </c>
      <c r="I26" s="103"/>
      <c r="J26" s="103"/>
      <c r="K26" s="103">
        <v>66</v>
      </c>
      <c r="L26" s="103">
        <v>56</v>
      </c>
      <c r="M26" s="103">
        <v>67</v>
      </c>
      <c r="N26" s="103">
        <v>57</v>
      </c>
      <c r="O26" s="103">
        <v>49</v>
      </c>
      <c r="P26" s="103">
        <f t="shared" si="0"/>
        <v>297</v>
      </c>
      <c r="Q26" s="104">
        <f t="shared" si="1"/>
        <v>74.25</v>
      </c>
      <c r="R26" s="13">
        <f t="shared" si="2"/>
        <v>104.25</v>
      </c>
      <c r="S26" s="84">
        <f t="shared" si="3"/>
        <v>447</v>
      </c>
      <c r="T26" s="14">
        <f t="shared" si="4"/>
        <v>81</v>
      </c>
      <c r="U26" s="14"/>
      <c r="V26" s="14"/>
      <c r="W26" s="14">
        <f t="shared" ref="W26:Z26" si="30">K26+30</f>
        <v>96</v>
      </c>
      <c r="X26" s="14">
        <f t="shared" si="30"/>
        <v>86</v>
      </c>
      <c r="Y26" s="14">
        <f t="shared" si="30"/>
        <v>97</v>
      </c>
      <c r="Z26" s="14">
        <f t="shared" si="30"/>
        <v>87</v>
      </c>
    </row>
    <row r="27" spans="1:26" ht="12.75" customHeight="1" x14ac:dyDescent="0.3">
      <c r="A27" s="100">
        <v>26</v>
      </c>
      <c r="B27" s="101" t="s">
        <v>472</v>
      </c>
      <c r="C27" s="101" t="s">
        <v>473</v>
      </c>
      <c r="D27" s="101" t="s">
        <v>474</v>
      </c>
      <c r="E27" s="101" t="s">
        <v>475</v>
      </c>
      <c r="F27" s="102">
        <v>39895</v>
      </c>
      <c r="G27" s="101" t="s">
        <v>39</v>
      </c>
      <c r="H27" s="103">
        <v>56</v>
      </c>
      <c r="I27" s="103"/>
      <c r="J27" s="103">
        <v>71</v>
      </c>
      <c r="K27" s="103"/>
      <c r="L27" s="103">
        <v>67</v>
      </c>
      <c r="M27" s="103">
        <v>47</v>
      </c>
      <c r="N27" s="103">
        <v>48</v>
      </c>
      <c r="O27" s="103">
        <v>46</v>
      </c>
      <c r="P27" s="103">
        <f t="shared" si="0"/>
        <v>289</v>
      </c>
      <c r="Q27" s="104">
        <f t="shared" si="1"/>
        <v>72.25</v>
      </c>
      <c r="R27" s="13">
        <f t="shared" si="2"/>
        <v>102.25</v>
      </c>
      <c r="S27" s="84">
        <f t="shared" si="3"/>
        <v>439</v>
      </c>
      <c r="T27" s="14">
        <f t="shared" si="4"/>
        <v>86</v>
      </c>
      <c r="U27" s="14"/>
      <c r="V27" s="14">
        <f>J27+30</f>
        <v>101</v>
      </c>
      <c r="W27" s="14"/>
      <c r="X27" s="14">
        <f t="shared" ref="X27:Z27" si="31">L27+30</f>
        <v>97</v>
      </c>
      <c r="Y27" s="14">
        <f t="shared" si="31"/>
        <v>77</v>
      </c>
      <c r="Z27" s="14">
        <f t="shared" si="31"/>
        <v>78</v>
      </c>
    </row>
    <row r="28" spans="1:26" ht="12.75" customHeight="1" x14ac:dyDescent="0.3">
      <c r="A28" s="100">
        <v>27</v>
      </c>
      <c r="B28" s="101" t="s">
        <v>476</v>
      </c>
      <c r="C28" s="101" t="s">
        <v>477</v>
      </c>
      <c r="D28" s="101" t="s">
        <v>478</v>
      </c>
      <c r="E28" s="101" t="s">
        <v>479</v>
      </c>
      <c r="F28" s="102">
        <v>39935</v>
      </c>
      <c r="G28" s="101" t="s">
        <v>30</v>
      </c>
      <c r="H28" s="103">
        <v>53</v>
      </c>
      <c r="I28" s="103"/>
      <c r="J28" s="103"/>
      <c r="K28" s="103">
        <v>73</v>
      </c>
      <c r="L28" s="103">
        <v>60</v>
      </c>
      <c r="M28" s="103">
        <v>53</v>
      </c>
      <c r="N28" s="103">
        <v>48</v>
      </c>
      <c r="O28" s="103">
        <v>46</v>
      </c>
      <c r="P28" s="103">
        <f t="shared" si="0"/>
        <v>287</v>
      </c>
      <c r="Q28" s="104">
        <f t="shared" si="1"/>
        <v>71.75</v>
      </c>
      <c r="R28" s="13">
        <f t="shared" si="2"/>
        <v>101.75</v>
      </c>
      <c r="S28" s="84">
        <f t="shared" si="3"/>
        <v>437</v>
      </c>
      <c r="T28" s="14">
        <f t="shared" si="4"/>
        <v>83</v>
      </c>
      <c r="U28" s="14"/>
      <c r="V28" s="14"/>
      <c r="W28" s="14">
        <f t="shared" ref="W28:Z28" si="32">K28+30</f>
        <v>103</v>
      </c>
      <c r="X28" s="14">
        <f t="shared" si="32"/>
        <v>90</v>
      </c>
      <c r="Y28" s="14">
        <f t="shared" si="32"/>
        <v>83</v>
      </c>
      <c r="Z28" s="14">
        <f t="shared" si="32"/>
        <v>78</v>
      </c>
    </row>
    <row r="29" spans="1:26" ht="12.75" customHeight="1" x14ac:dyDescent="0.3">
      <c r="A29" s="100">
        <v>28</v>
      </c>
      <c r="B29" s="101" t="s">
        <v>480</v>
      </c>
      <c r="C29" s="101" t="s">
        <v>481</v>
      </c>
      <c r="D29" s="101" t="s">
        <v>482</v>
      </c>
      <c r="E29" s="101" t="s">
        <v>483</v>
      </c>
      <c r="F29" s="102">
        <v>39885</v>
      </c>
      <c r="G29" s="101" t="s">
        <v>30</v>
      </c>
      <c r="H29" s="103">
        <v>44</v>
      </c>
      <c r="I29" s="103"/>
      <c r="J29" s="103"/>
      <c r="K29" s="103">
        <v>63</v>
      </c>
      <c r="L29" s="103">
        <v>67</v>
      </c>
      <c r="M29" s="103">
        <v>65</v>
      </c>
      <c r="N29" s="103">
        <v>48</v>
      </c>
      <c r="O29" s="103">
        <v>48</v>
      </c>
      <c r="P29" s="103">
        <f t="shared" si="0"/>
        <v>287</v>
      </c>
      <c r="Q29" s="104">
        <f t="shared" si="1"/>
        <v>71.75</v>
      </c>
      <c r="R29" s="13">
        <f t="shared" si="2"/>
        <v>101.75</v>
      </c>
      <c r="S29" s="84">
        <f t="shared" si="3"/>
        <v>437</v>
      </c>
      <c r="T29" s="14">
        <f t="shared" si="4"/>
        <v>74</v>
      </c>
      <c r="U29" s="14"/>
      <c r="V29" s="14"/>
      <c r="W29" s="14">
        <f t="shared" ref="W29:Z29" si="33">K29+30</f>
        <v>93</v>
      </c>
      <c r="X29" s="14">
        <f t="shared" si="33"/>
        <v>97</v>
      </c>
      <c r="Y29" s="14">
        <f t="shared" si="33"/>
        <v>95</v>
      </c>
      <c r="Z29" s="14">
        <f t="shared" si="33"/>
        <v>78</v>
      </c>
    </row>
    <row r="30" spans="1:26" ht="12.75" customHeight="1" x14ac:dyDescent="0.3">
      <c r="A30" s="100">
        <v>29</v>
      </c>
      <c r="B30" s="101" t="s">
        <v>484</v>
      </c>
      <c r="C30" s="101" t="s">
        <v>485</v>
      </c>
      <c r="D30" s="101" t="s">
        <v>486</v>
      </c>
      <c r="E30" s="101" t="s">
        <v>487</v>
      </c>
      <c r="F30" s="102">
        <v>39963</v>
      </c>
      <c r="G30" s="101" t="s">
        <v>30</v>
      </c>
      <c r="H30" s="103">
        <v>37</v>
      </c>
      <c r="I30" s="103"/>
      <c r="J30" s="103"/>
      <c r="K30" s="103">
        <v>72</v>
      </c>
      <c r="L30" s="103">
        <v>67</v>
      </c>
      <c r="M30" s="103">
        <v>60</v>
      </c>
      <c r="N30" s="103">
        <v>45</v>
      </c>
      <c r="O30" s="103">
        <v>49</v>
      </c>
      <c r="P30" s="103">
        <f t="shared" si="0"/>
        <v>281</v>
      </c>
      <c r="Q30" s="104">
        <f t="shared" si="1"/>
        <v>70.25</v>
      </c>
      <c r="R30" s="13">
        <f t="shared" si="2"/>
        <v>100.25</v>
      </c>
      <c r="S30" s="84">
        <f t="shared" si="3"/>
        <v>431</v>
      </c>
      <c r="T30" s="14">
        <f t="shared" si="4"/>
        <v>67</v>
      </c>
      <c r="U30" s="14"/>
      <c r="V30" s="14"/>
      <c r="W30" s="14">
        <f t="shared" ref="W30:Z30" si="34">K30+30</f>
        <v>102</v>
      </c>
      <c r="X30" s="14">
        <f t="shared" si="34"/>
        <v>97</v>
      </c>
      <c r="Y30" s="14">
        <f t="shared" si="34"/>
        <v>90</v>
      </c>
      <c r="Z30" s="14">
        <f t="shared" si="34"/>
        <v>75</v>
      </c>
    </row>
    <row r="31" spans="1:26" ht="12.75" customHeight="1" x14ac:dyDescent="0.3">
      <c r="A31" s="100">
        <v>30</v>
      </c>
      <c r="B31" s="101" t="s">
        <v>488</v>
      </c>
      <c r="C31" s="101" t="s">
        <v>489</v>
      </c>
      <c r="D31" s="101" t="s">
        <v>490</v>
      </c>
      <c r="E31" s="101" t="s">
        <v>491</v>
      </c>
      <c r="F31" s="102">
        <v>39878</v>
      </c>
      <c r="G31" s="101" t="s">
        <v>30</v>
      </c>
      <c r="H31" s="103">
        <v>46</v>
      </c>
      <c r="I31" s="103"/>
      <c r="J31" s="103">
        <v>59</v>
      </c>
      <c r="K31" s="103"/>
      <c r="L31" s="103">
        <v>75</v>
      </c>
      <c r="M31" s="105">
        <v>49</v>
      </c>
      <c r="N31" s="105">
        <v>46</v>
      </c>
      <c r="O31" s="103">
        <v>46</v>
      </c>
      <c r="P31" s="103">
        <f t="shared" si="0"/>
        <v>275</v>
      </c>
      <c r="Q31" s="104">
        <f t="shared" si="1"/>
        <v>68.75</v>
      </c>
      <c r="R31" s="13">
        <f t="shared" si="2"/>
        <v>98.75</v>
      </c>
      <c r="S31" s="84">
        <f t="shared" si="3"/>
        <v>425</v>
      </c>
      <c r="T31" s="14">
        <f t="shared" si="4"/>
        <v>76</v>
      </c>
      <c r="U31" s="14"/>
      <c r="V31" s="14">
        <f>J31+30</f>
        <v>89</v>
      </c>
      <c r="W31" s="14"/>
      <c r="X31" s="14">
        <f t="shared" ref="X31:Z31" si="35">L31+30</f>
        <v>105</v>
      </c>
      <c r="Y31" s="14">
        <f t="shared" si="35"/>
        <v>79</v>
      </c>
      <c r="Z31" s="14">
        <f t="shared" si="35"/>
        <v>76</v>
      </c>
    </row>
    <row r="32" spans="1:26" ht="12.75" customHeight="1" x14ac:dyDescent="0.3">
      <c r="A32" s="100">
        <v>31</v>
      </c>
      <c r="B32" s="101" t="s">
        <v>492</v>
      </c>
      <c r="C32" s="101" t="s">
        <v>493</v>
      </c>
      <c r="D32" s="101" t="s">
        <v>494</v>
      </c>
      <c r="E32" s="101" t="s">
        <v>495</v>
      </c>
      <c r="F32" s="102">
        <v>40073</v>
      </c>
      <c r="G32" s="101" t="s">
        <v>39</v>
      </c>
      <c r="H32" s="103">
        <v>50</v>
      </c>
      <c r="I32" s="103"/>
      <c r="J32" s="103"/>
      <c r="K32" s="103">
        <v>68</v>
      </c>
      <c r="L32" s="103">
        <v>64</v>
      </c>
      <c r="M32" s="105">
        <v>42</v>
      </c>
      <c r="N32" s="105">
        <v>49</v>
      </c>
      <c r="O32" s="103">
        <v>45</v>
      </c>
      <c r="P32" s="103">
        <f t="shared" si="0"/>
        <v>273</v>
      </c>
      <c r="Q32" s="104">
        <f t="shared" si="1"/>
        <v>68.25</v>
      </c>
      <c r="R32" s="13">
        <f t="shared" si="2"/>
        <v>98.25</v>
      </c>
      <c r="S32" s="84">
        <f t="shared" si="3"/>
        <v>423</v>
      </c>
      <c r="T32" s="14">
        <f t="shared" si="4"/>
        <v>80</v>
      </c>
      <c r="U32" s="14"/>
      <c r="V32" s="14"/>
      <c r="W32" s="14">
        <f t="shared" ref="W32:Z32" si="36">K32+30</f>
        <v>98</v>
      </c>
      <c r="X32" s="14">
        <f t="shared" si="36"/>
        <v>94</v>
      </c>
      <c r="Y32" s="14">
        <f t="shared" si="36"/>
        <v>72</v>
      </c>
      <c r="Z32" s="14">
        <f t="shared" si="36"/>
        <v>79</v>
      </c>
    </row>
    <row r="33" spans="1:26" ht="12.75" customHeight="1" x14ac:dyDescent="0.3">
      <c r="A33" s="100">
        <v>32</v>
      </c>
      <c r="B33" s="101" t="s">
        <v>496</v>
      </c>
      <c r="C33" s="101" t="s">
        <v>497</v>
      </c>
      <c r="D33" s="101" t="s">
        <v>498</v>
      </c>
      <c r="E33" s="101" t="s">
        <v>499</v>
      </c>
      <c r="F33" s="102">
        <v>40096</v>
      </c>
      <c r="G33" s="101" t="s">
        <v>39</v>
      </c>
      <c r="H33" s="103">
        <v>42</v>
      </c>
      <c r="I33" s="103"/>
      <c r="J33" s="103"/>
      <c r="K33" s="103">
        <v>73</v>
      </c>
      <c r="L33" s="103">
        <v>63</v>
      </c>
      <c r="M33" s="103">
        <v>39</v>
      </c>
      <c r="N33" s="103">
        <v>52</v>
      </c>
      <c r="O33" s="103">
        <v>49</v>
      </c>
      <c r="P33" s="103">
        <f t="shared" si="0"/>
        <v>269</v>
      </c>
      <c r="Q33" s="104">
        <f t="shared" si="1"/>
        <v>67.25</v>
      </c>
      <c r="R33" s="13">
        <f t="shared" si="2"/>
        <v>97.25</v>
      </c>
      <c r="S33" s="84">
        <f t="shared" si="3"/>
        <v>419</v>
      </c>
      <c r="T33" s="14">
        <f t="shared" si="4"/>
        <v>72</v>
      </c>
      <c r="U33" s="14"/>
      <c r="V33" s="14"/>
      <c r="W33" s="14">
        <f t="shared" ref="W33:Z33" si="37">K33+30</f>
        <v>103</v>
      </c>
      <c r="X33" s="14">
        <f t="shared" si="37"/>
        <v>93</v>
      </c>
      <c r="Y33" s="14">
        <f t="shared" si="37"/>
        <v>69</v>
      </c>
      <c r="Z33" s="14">
        <f t="shared" si="37"/>
        <v>82</v>
      </c>
    </row>
    <row r="34" spans="1:26" ht="12.75" customHeight="1" x14ac:dyDescent="0.3">
      <c r="A34" s="100">
        <v>33</v>
      </c>
      <c r="B34" s="101" t="s">
        <v>500</v>
      </c>
      <c r="C34" s="101" t="s">
        <v>501</v>
      </c>
      <c r="D34" s="101" t="s">
        <v>502</v>
      </c>
      <c r="E34" s="101" t="s">
        <v>503</v>
      </c>
      <c r="F34" s="102">
        <v>40039</v>
      </c>
      <c r="G34" s="101" t="s">
        <v>30</v>
      </c>
      <c r="H34" s="103">
        <v>45</v>
      </c>
      <c r="I34" s="103"/>
      <c r="J34" s="103">
        <v>44</v>
      </c>
      <c r="K34" s="103"/>
      <c r="L34" s="103">
        <v>77</v>
      </c>
      <c r="M34" s="105">
        <v>64</v>
      </c>
      <c r="N34" s="105">
        <v>36</v>
      </c>
      <c r="O34" s="103">
        <v>50</v>
      </c>
      <c r="P34" s="103">
        <f t="shared" si="0"/>
        <v>266</v>
      </c>
      <c r="Q34" s="104">
        <f t="shared" si="1"/>
        <v>66.5</v>
      </c>
      <c r="R34" s="13">
        <f t="shared" si="2"/>
        <v>96.5</v>
      </c>
      <c r="S34" s="84">
        <f t="shared" si="3"/>
        <v>416</v>
      </c>
      <c r="T34" s="14">
        <f t="shared" si="4"/>
        <v>75</v>
      </c>
      <c r="U34" s="14"/>
      <c r="V34" s="14">
        <f>J34+30</f>
        <v>74</v>
      </c>
      <c r="W34" s="14"/>
      <c r="X34" s="14">
        <f t="shared" ref="X34:Z34" si="38">L34+30</f>
        <v>107</v>
      </c>
      <c r="Y34" s="14">
        <f t="shared" si="38"/>
        <v>94</v>
      </c>
      <c r="Z34" s="14">
        <f t="shared" si="38"/>
        <v>66</v>
      </c>
    </row>
    <row r="35" spans="1:26" ht="12.75" customHeight="1" x14ac:dyDescent="0.3">
      <c r="A35" s="100">
        <v>34</v>
      </c>
      <c r="B35" s="101" t="s">
        <v>504</v>
      </c>
      <c r="C35" s="101" t="s">
        <v>505</v>
      </c>
      <c r="D35" s="101" t="s">
        <v>506</v>
      </c>
      <c r="E35" s="101" t="s">
        <v>507</v>
      </c>
      <c r="F35" s="102">
        <v>40126</v>
      </c>
      <c r="G35" s="101" t="s">
        <v>39</v>
      </c>
      <c r="H35" s="103">
        <v>53</v>
      </c>
      <c r="I35" s="103">
        <v>56</v>
      </c>
      <c r="J35" s="103"/>
      <c r="K35" s="103"/>
      <c r="L35" s="103">
        <v>62</v>
      </c>
      <c r="M35" s="103">
        <v>49</v>
      </c>
      <c r="N35" s="103">
        <v>38</v>
      </c>
      <c r="O35" s="103">
        <v>49</v>
      </c>
      <c r="P35" s="103">
        <f t="shared" si="0"/>
        <v>258</v>
      </c>
      <c r="Q35" s="104">
        <f t="shared" si="1"/>
        <v>64.5</v>
      </c>
      <c r="R35" s="13">
        <f t="shared" si="2"/>
        <v>94.5</v>
      </c>
      <c r="S35" s="84">
        <f t="shared" si="3"/>
        <v>408</v>
      </c>
      <c r="T35" s="14">
        <f t="shared" si="4"/>
        <v>83</v>
      </c>
      <c r="U35" s="14">
        <f>I35+30</f>
        <v>86</v>
      </c>
      <c r="V35" s="14"/>
      <c r="W35" s="14"/>
      <c r="X35" s="14">
        <f t="shared" ref="X35:Z35" si="39">L35+30</f>
        <v>92</v>
      </c>
      <c r="Y35" s="14">
        <f t="shared" si="39"/>
        <v>79</v>
      </c>
      <c r="Z35" s="14">
        <f t="shared" si="39"/>
        <v>68</v>
      </c>
    </row>
    <row r="36" spans="1:26" ht="12.75" customHeight="1" x14ac:dyDescent="0.3">
      <c r="A36" s="100">
        <v>35</v>
      </c>
      <c r="B36" s="101" t="s">
        <v>508</v>
      </c>
      <c r="C36" s="101" t="s">
        <v>509</v>
      </c>
      <c r="D36" s="101" t="s">
        <v>510</v>
      </c>
      <c r="E36" s="101" t="s">
        <v>511</v>
      </c>
      <c r="F36" s="102">
        <v>40229</v>
      </c>
      <c r="G36" s="101" t="s">
        <v>30</v>
      </c>
      <c r="H36" s="103">
        <v>42</v>
      </c>
      <c r="I36" s="103"/>
      <c r="J36" s="103">
        <v>61</v>
      </c>
      <c r="K36" s="103"/>
      <c r="L36" s="103">
        <v>71</v>
      </c>
      <c r="M36" s="105">
        <v>41</v>
      </c>
      <c r="N36" s="105">
        <v>42</v>
      </c>
      <c r="O36" s="103">
        <v>48</v>
      </c>
      <c r="P36" s="103">
        <f t="shared" si="0"/>
        <v>257</v>
      </c>
      <c r="Q36" s="104">
        <f t="shared" si="1"/>
        <v>64.25</v>
      </c>
      <c r="R36" s="13">
        <f t="shared" si="2"/>
        <v>94.25</v>
      </c>
      <c r="S36" s="84">
        <f t="shared" si="3"/>
        <v>407</v>
      </c>
      <c r="T36" s="14">
        <f t="shared" si="4"/>
        <v>72</v>
      </c>
      <c r="U36" s="14"/>
      <c r="V36" s="14">
        <f>J36+30</f>
        <v>91</v>
      </c>
      <c r="W36" s="14"/>
      <c r="X36" s="14">
        <f t="shared" ref="X36:Z36" si="40">L36+30</f>
        <v>101</v>
      </c>
      <c r="Y36" s="14">
        <f t="shared" si="40"/>
        <v>71</v>
      </c>
      <c r="Z36" s="14">
        <f t="shared" si="40"/>
        <v>72</v>
      </c>
    </row>
    <row r="37" spans="1:26" ht="12.75" customHeight="1" x14ac:dyDescent="0.3">
      <c r="A37" s="100">
        <v>36</v>
      </c>
      <c r="B37" s="101" t="s">
        <v>512</v>
      </c>
      <c r="C37" s="101" t="s">
        <v>513</v>
      </c>
      <c r="D37" s="101" t="s">
        <v>514</v>
      </c>
      <c r="E37" s="101" t="s">
        <v>515</v>
      </c>
      <c r="F37" s="102">
        <v>40071</v>
      </c>
      <c r="G37" s="101" t="s">
        <v>39</v>
      </c>
      <c r="H37" s="103">
        <v>46</v>
      </c>
      <c r="I37" s="103"/>
      <c r="J37" s="103"/>
      <c r="K37" s="103">
        <v>64</v>
      </c>
      <c r="L37" s="103">
        <v>45</v>
      </c>
      <c r="M37" s="103">
        <v>53</v>
      </c>
      <c r="N37" s="103">
        <v>46</v>
      </c>
      <c r="O37" s="103">
        <v>45</v>
      </c>
      <c r="P37" s="103">
        <f t="shared" si="0"/>
        <v>254</v>
      </c>
      <c r="Q37" s="104">
        <f t="shared" si="1"/>
        <v>63.5</v>
      </c>
      <c r="R37" s="13">
        <f t="shared" si="2"/>
        <v>93.5</v>
      </c>
      <c r="S37" s="84">
        <f t="shared" si="3"/>
        <v>404</v>
      </c>
      <c r="T37" s="14">
        <f t="shared" si="4"/>
        <v>76</v>
      </c>
      <c r="U37" s="14"/>
      <c r="V37" s="14"/>
      <c r="W37" s="14">
        <f t="shared" ref="W37:Z37" si="41">K37+30</f>
        <v>94</v>
      </c>
      <c r="X37" s="14">
        <f t="shared" si="41"/>
        <v>75</v>
      </c>
      <c r="Y37" s="14">
        <f t="shared" si="41"/>
        <v>83</v>
      </c>
      <c r="Z37" s="14">
        <f t="shared" si="41"/>
        <v>76</v>
      </c>
    </row>
    <row r="38" spans="1:26" ht="12.75" customHeight="1" x14ac:dyDescent="0.3">
      <c r="A38" s="100">
        <v>37</v>
      </c>
      <c r="B38" s="101" t="s">
        <v>516</v>
      </c>
      <c r="C38" s="113" t="s">
        <v>517</v>
      </c>
      <c r="D38" s="113" t="s">
        <v>518</v>
      </c>
      <c r="E38" s="113" t="s">
        <v>519</v>
      </c>
      <c r="F38" s="114">
        <v>39989</v>
      </c>
      <c r="G38" s="113" t="s">
        <v>30</v>
      </c>
      <c r="H38" s="115">
        <v>40</v>
      </c>
      <c r="I38" s="116"/>
      <c r="J38" s="116"/>
      <c r="K38" s="115">
        <v>56</v>
      </c>
      <c r="L38" s="117">
        <v>60</v>
      </c>
      <c r="M38" s="118">
        <v>57</v>
      </c>
      <c r="N38" s="118">
        <v>41</v>
      </c>
      <c r="O38" s="118">
        <v>46</v>
      </c>
      <c r="P38" s="118">
        <f t="shared" si="0"/>
        <v>254</v>
      </c>
      <c r="Q38" s="119">
        <f t="shared" si="1"/>
        <v>63.5</v>
      </c>
      <c r="R38" s="13">
        <f t="shared" si="2"/>
        <v>93.5</v>
      </c>
      <c r="S38" s="84">
        <f t="shared" si="3"/>
        <v>404</v>
      </c>
      <c r="T38" s="14">
        <f t="shared" si="4"/>
        <v>70</v>
      </c>
      <c r="U38" s="14"/>
      <c r="V38" s="14"/>
      <c r="W38" s="14">
        <f t="shared" ref="W38:Z38" si="42">K38+30</f>
        <v>86</v>
      </c>
      <c r="X38" s="14">
        <f t="shared" si="42"/>
        <v>90</v>
      </c>
      <c r="Y38" s="14">
        <f t="shared" si="42"/>
        <v>87</v>
      </c>
      <c r="Z38" s="14">
        <f t="shared" si="42"/>
        <v>71</v>
      </c>
    </row>
    <row r="39" spans="1:26" ht="12.75" customHeight="1" x14ac:dyDescent="0.3">
      <c r="A39" s="100">
        <v>38</v>
      </c>
      <c r="B39" s="101" t="s">
        <v>520</v>
      </c>
      <c r="C39" s="101" t="s">
        <v>521</v>
      </c>
      <c r="D39" s="101" t="s">
        <v>522</v>
      </c>
      <c r="E39" s="101" t="s">
        <v>523</v>
      </c>
      <c r="F39" s="102">
        <v>39937</v>
      </c>
      <c r="G39" s="101" t="s">
        <v>30</v>
      </c>
      <c r="H39" s="103">
        <v>42</v>
      </c>
      <c r="I39" s="103"/>
      <c r="J39" s="103"/>
      <c r="K39" s="103">
        <v>49</v>
      </c>
      <c r="L39" s="103">
        <v>61</v>
      </c>
      <c r="M39" s="103">
        <v>60</v>
      </c>
      <c r="N39" s="103">
        <v>38</v>
      </c>
      <c r="O39" s="103">
        <v>49</v>
      </c>
      <c r="P39" s="103">
        <f t="shared" si="0"/>
        <v>250</v>
      </c>
      <c r="Q39" s="104">
        <f t="shared" si="1"/>
        <v>62.5</v>
      </c>
      <c r="R39" s="13">
        <f t="shared" si="2"/>
        <v>92.5</v>
      </c>
      <c r="S39" s="84">
        <f t="shared" si="3"/>
        <v>400</v>
      </c>
      <c r="T39" s="14">
        <f t="shared" si="4"/>
        <v>72</v>
      </c>
      <c r="U39" s="14"/>
      <c r="V39" s="14"/>
      <c r="W39" s="14">
        <f t="shared" ref="W39:Z39" si="43">K39+30</f>
        <v>79</v>
      </c>
      <c r="X39" s="14">
        <f t="shared" si="43"/>
        <v>91</v>
      </c>
      <c r="Y39" s="14">
        <f t="shared" si="43"/>
        <v>90</v>
      </c>
      <c r="Z39" s="14">
        <f t="shared" si="43"/>
        <v>68</v>
      </c>
    </row>
    <row r="40" spans="1:26" ht="12.75" customHeight="1" x14ac:dyDescent="0.3">
      <c r="A40" s="100">
        <v>39</v>
      </c>
      <c r="B40" s="101" t="s">
        <v>524</v>
      </c>
      <c r="C40" s="101" t="s">
        <v>525</v>
      </c>
      <c r="D40" s="101" t="s">
        <v>526</v>
      </c>
      <c r="E40" s="101" t="s">
        <v>527</v>
      </c>
      <c r="F40" s="102">
        <v>40136</v>
      </c>
      <c r="G40" s="101" t="s">
        <v>30</v>
      </c>
      <c r="H40" s="103">
        <v>53</v>
      </c>
      <c r="I40" s="103"/>
      <c r="J40" s="103">
        <v>53</v>
      </c>
      <c r="K40" s="103"/>
      <c r="L40" s="103">
        <v>50</v>
      </c>
      <c r="M40" s="103">
        <v>41</v>
      </c>
      <c r="N40" s="103">
        <v>51</v>
      </c>
      <c r="O40" s="103">
        <v>50</v>
      </c>
      <c r="P40" s="103">
        <f t="shared" si="0"/>
        <v>248</v>
      </c>
      <c r="Q40" s="104">
        <f t="shared" si="1"/>
        <v>62</v>
      </c>
      <c r="R40" s="13">
        <f t="shared" si="2"/>
        <v>92</v>
      </c>
      <c r="S40" s="84">
        <f t="shared" si="3"/>
        <v>398</v>
      </c>
      <c r="T40" s="14">
        <f t="shared" si="4"/>
        <v>83</v>
      </c>
      <c r="U40" s="14"/>
      <c r="V40" s="14">
        <f t="shared" ref="V40:V41" si="44">J40+30</f>
        <v>83</v>
      </c>
      <c r="W40" s="14"/>
      <c r="X40" s="14">
        <f t="shared" ref="X40:Z40" si="45">L40+30</f>
        <v>80</v>
      </c>
      <c r="Y40" s="14">
        <f t="shared" si="45"/>
        <v>71</v>
      </c>
      <c r="Z40" s="14">
        <f t="shared" si="45"/>
        <v>81</v>
      </c>
    </row>
    <row r="41" spans="1:26" ht="12.75" customHeight="1" x14ac:dyDescent="0.3">
      <c r="A41" s="100">
        <v>40</v>
      </c>
      <c r="B41" s="101" t="s">
        <v>528</v>
      </c>
      <c r="C41" s="101" t="s">
        <v>529</v>
      </c>
      <c r="D41" s="101" t="s">
        <v>530</v>
      </c>
      <c r="E41" s="101" t="s">
        <v>531</v>
      </c>
      <c r="F41" s="102">
        <v>39919</v>
      </c>
      <c r="G41" s="101" t="s">
        <v>30</v>
      </c>
      <c r="H41" s="103">
        <v>38</v>
      </c>
      <c r="I41" s="103"/>
      <c r="J41" s="103">
        <v>53</v>
      </c>
      <c r="K41" s="103"/>
      <c r="L41" s="103">
        <v>59</v>
      </c>
      <c r="M41" s="105">
        <v>58</v>
      </c>
      <c r="N41" s="105">
        <v>39</v>
      </c>
      <c r="O41" s="103">
        <v>47</v>
      </c>
      <c r="P41" s="103">
        <f t="shared" si="0"/>
        <v>247</v>
      </c>
      <c r="Q41" s="104">
        <f t="shared" si="1"/>
        <v>61.750000000000007</v>
      </c>
      <c r="R41" s="13">
        <f t="shared" si="2"/>
        <v>91.75</v>
      </c>
      <c r="S41" s="84">
        <f t="shared" si="3"/>
        <v>397</v>
      </c>
      <c r="T41" s="14">
        <f t="shared" si="4"/>
        <v>68</v>
      </c>
      <c r="U41" s="14"/>
      <c r="V41" s="14">
        <f t="shared" si="44"/>
        <v>83</v>
      </c>
      <c r="W41" s="14"/>
      <c r="X41" s="14">
        <f t="shared" ref="X41:Z41" si="46">L41+30</f>
        <v>89</v>
      </c>
      <c r="Y41" s="14">
        <f t="shared" si="46"/>
        <v>88</v>
      </c>
      <c r="Z41" s="14">
        <f t="shared" si="46"/>
        <v>69</v>
      </c>
    </row>
    <row r="42" spans="1:26" ht="12.75" customHeight="1" x14ac:dyDescent="0.3">
      <c r="A42" s="100">
        <v>41</v>
      </c>
      <c r="B42" s="101" t="s">
        <v>532</v>
      </c>
      <c r="C42" s="101" t="s">
        <v>533</v>
      </c>
      <c r="D42" s="101" t="s">
        <v>534</v>
      </c>
      <c r="E42" s="101" t="s">
        <v>535</v>
      </c>
      <c r="F42" s="102">
        <v>39713</v>
      </c>
      <c r="G42" s="101" t="s">
        <v>39</v>
      </c>
      <c r="H42" s="103">
        <v>37</v>
      </c>
      <c r="I42" s="103"/>
      <c r="J42" s="103"/>
      <c r="K42" s="103">
        <v>66</v>
      </c>
      <c r="L42" s="103">
        <v>50</v>
      </c>
      <c r="M42" s="103">
        <v>36</v>
      </c>
      <c r="N42" s="103">
        <v>49</v>
      </c>
      <c r="O42" s="103">
        <v>40</v>
      </c>
      <c r="P42" s="103">
        <f t="shared" si="0"/>
        <v>238</v>
      </c>
      <c r="Q42" s="104">
        <f t="shared" si="1"/>
        <v>59.5</v>
      </c>
      <c r="R42" s="13">
        <f t="shared" si="2"/>
        <v>89.5</v>
      </c>
      <c r="S42" s="84">
        <f t="shared" si="3"/>
        <v>388</v>
      </c>
      <c r="T42" s="14">
        <f t="shared" si="4"/>
        <v>67</v>
      </c>
      <c r="U42" s="14"/>
      <c r="V42" s="14"/>
      <c r="W42" s="14">
        <f t="shared" ref="W42:Z42" si="47">K42+30</f>
        <v>96</v>
      </c>
      <c r="X42" s="14">
        <f t="shared" si="47"/>
        <v>80</v>
      </c>
      <c r="Y42" s="14">
        <f t="shared" si="47"/>
        <v>66</v>
      </c>
      <c r="Z42" s="14">
        <f t="shared" si="47"/>
        <v>79</v>
      </c>
    </row>
    <row r="43" spans="1:26" ht="12.75" customHeight="1" x14ac:dyDescent="0.3">
      <c r="A43" s="100">
        <v>42</v>
      </c>
      <c r="B43" s="101" t="s">
        <v>536</v>
      </c>
      <c r="C43" s="101" t="s">
        <v>537</v>
      </c>
      <c r="D43" s="101" t="s">
        <v>538</v>
      </c>
      <c r="E43" s="101" t="s">
        <v>539</v>
      </c>
      <c r="F43" s="102">
        <v>39839</v>
      </c>
      <c r="G43" s="101" t="s">
        <v>30</v>
      </c>
      <c r="H43" s="103">
        <v>36</v>
      </c>
      <c r="I43" s="103"/>
      <c r="J43" s="103"/>
      <c r="K43" s="103">
        <v>53</v>
      </c>
      <c r="L43" s="103">
        <v>69</v>
      </c>
      <c r="M43" s="103">
        <v>39</v>
      </c>
      <c r="N43" s="103">
        <v>40</v>
      </c>
      <c r="O43" s="103">
        <v>47</v>
      </c>
      <c r="P43" s="103">
        <f t="shared" si="0"/>
        <v>237</v>
      </c>
      <c r="Q43" s="104">
        <f t="shared" si="1"/>
        <v>59.25</v>
      </c>
      <c r="R43" s="13">
        <f t="shared" si="2"/>
        <v>89.25</v>
      </c>
      <c r="S43" s="84">
        <f t="shared" si="3"/>
        <v>387</v>
      </c>
      <c r="T43" s="14">
        <f t="shared" si="4"/>
        <v>66</v>
      </c>
      <c r="U43" s="14"/>
      <c r="V43" s="14"/>
      <c r="W43" s="14">
        <f t="shared" ref="W43:Z43" si="48">K43+30</f>
        <v>83</v>
      </c>
      <c r="X43" s="14">
        <f t="shared" si="48"/>
        <v>99</v>
      </c>
      <c r="Y43" s="14">
        <f t="shared" si="48"/>
        <v>69</v>
      </c>
      <c r="Z43" s="14">
        <f t="shared" si="48"/>
        <v>70</v>
      </c>
    </row>
    <row r="44" spans="1:26" ht="12.75" customHeight="1" x14ac:dyDescent="0.3">
      <c r="A44" s="100">
        <v>43</v>
      </c>
      <c r="B44" s="101" t="s">
        <v>540</v>
      </c>
      <c r="C44" s="101" t="s">
        <v>541</v>
      </c>
      <c r="D44" s="101" t="s">
        <v>542</v>
      </c>
      <c r="E44" s="101" t="s">
        <v>543</v>
      </c>
      <c r="F44" s="102">
        <v>39836</v>
      </c>
      <c r="G44" s="101" t="s">
        <v>30</v>
      </c>
      <c r="H44" s="103">
        <v>40</v>
      </c>
      <c r="I44" s="103"/>
      <c r="J44" s="103"/>
      <c r="K44" s="103">
        <v>50</v>
      </c>
      <c r="L44" s="103">
        <v>54</v>
      </c>
      <c r="M44" s="105">
        <v>45</v>
      </c>
      <c r="N44" s="105">
        <v>37</v>
      </c>
      <c r="O44" s="103">
        <v>49</v>
      </c>
      <c r="P44" s="103">
        <f t="shared" si="0"/>
        <v>226</v>
      </c>
      <c r="Q44" s="104">
        <f t="shared" si="1"/>
        <v>56.499999999999993</v>
      </c>
      <c r="R44" s="13">
        <f t="shared" si="2"/>
        <v>86.5</v>
      </c>
      <c r="S44" s="84">
        <f t="shared" si="3"/>
        <v>376</v>
      </c>
      <c r="T44" s="14">
        <f t="shared" si="4"/>
        <v>70</v>
      </c>
      <c r="U44" s="14"/>
      <c r="V44" s="14"/>
      <c r="W44" s="14">
        <f t="shared" ref="W44:Z44" si="49">K44+30</f>
        <v>80</v>
      </c>
      <c r="X44" s="14">
        <f t="shared" si="49"/>
        <v>84</v>
      </c>
      <c r="Y44" s="14">
        <f t="shared" si="49"/>
        <v>75</v>
      </c>
      <c r="Z44" s="14">
        <f t="shared" si="49"/>
        <v>67</v>
      </c>
    </row>
    <row r="45" spans="1:26" ht="12.75" customHeight="1" x14ac:dyDescent="0.3">
      <c r="A45" s="100">
        <v>44</v>
      </c>
      <c r="B45" s="101" t="s">
        <v>544</v>
      </c>
      <c r="C45" s="101" t="s">
        <v>545</v>
      </c>
      <c r="D45" s="101" t="s">
        <v>230</v>
      </c>
      <c r="E45" s="101" t="s">
        <v>546</v>
      </c>
      <c r="F45" s="102">
        <v>39882</v>
      </c>
      <c r="G45" s="101" t="s">
        <v>39</v>
      </c>
      <c r="H45" s="103">
        <v>38</v>
      </c>
      <c r="I45" s="103"/>
      <c r="J45" s="103"/>
      <c r="K45" s="103">
        <v>57</v>
      </c>
      <c r="L45" s="103">
        <v>57</v>
      </c>
      <c r="M45" s="105">
        <v>34</v>
      </c>
      <c r="N45" s="105">
        <v>38</v>
      </c>
      <c r="O45" s="103">
        <v>43</v>
      </c>
      <c r="P45" s="103">
        <f t="shared" si="0"/>
        <v>224</v>
      </c>
      <c r="Q45" s="104">
        <f t="shared" si="1"/>
        <v>56.000000000000007</v>
      </c>
      <c r="R45" s="13">
        <f t="shared" si="2"/>
        <v>86</v>
      </c>
      <c r="S45" s="84">
        <f t="shared" si="3"/>
        <v>374</v>
      </c>
      <c r="T45" s="14">
        <f t="shared" si="4"/>
        <v>68</v>
      </c>
      <c r="U45" s="14"/>
      <c r="V45" s="14"/>
      <c r="W45" s="14">
        <f t="shared" ref="W45:Z45" si="50">K45+30</f>
        <v>87</v>
      </c>
      <c r="X45" s="14">
        <f t="shared" si="50"/>
        <v>87</v>
      </c>
      <c r="Y45" s="14">
        <f t="shared" si="50"/>
        <v>64</v>
      </c>
      <c r="Z45" s="14">
        <f t="shared" si="50"/>
        <v>68</v>
      </c>
    </row>
    <row r="46" spans="1:26" ht="12.75" customHeight="1" x14ac:dyDescent="0.3">
      <c r="A46" s="100">
        <v>45</v>
      </c>
      <c r="B46" s="101" t="s">
        <v>547</v>
      </c>
      <c r="C46" s="107" t="s">
        <v>548</v>
      </c>
      <c r="D46" s="107" t="s">
        <v>549</v>
      </c>
      <c r="E46" s="107" t="s">
        <v>550</v>
      </c>
      <c r="F46" s="120">
        <v>39907</v>
      </c>
      <c r="G46" s="107" t="s">
        <v>30</v>
      </c>
      <c r="H46" s="121">
        <v>44</v>
      </c>
      <c r="I46" s="121"/>
      <c r="J46" s="121"/>
      <c r="K46" s="121">
        <v>43</v>
      </c>
      <c r="L46" s="121">
        <v>57</v>
      </c>
      <c r="M46" s="122">
        <v>39</v>
      </c>
      <c r="N46" s="122">
        <v>34</v>
      </c>
      <c r="O46" s="121">
        <v>47</v>
      </c>
      <c r="P46" s="121">
        <f t="shared" si="0"/>
        <v>217</v>
      </c>
      <c r="Q46" s="123">
        <f t="shared" si="1"/>
        <v>54.25</v>
      </c>
      <c r="R46" s="13">
        <f t="shared" si="2"/>
        <v>84.25</v>
      </c>
      <c r="S46" s="84">
        <f t="shared" si="3"/>
        <v>367</v>
      </c>
      <c r="T46" s="14">
        <f t="shared" si="4"/>
        <v>74</v>
      </c>
      <c r="U46" s="14"/>
      <c r="V46" s="14"/>
      <c r="W46" s="14">
        <f t="shared" ref="W46:Z46" si="51">K46+30</f>
        <v>73</v>
      </c>
      <c r="X46" s="14">
        <f t="shared" si="51"/>
        <v>87</v>
      </c>
      <c r="Y46" s="14">
        <f t="shared" si="51"/>
        <v>69</v>
      </c>
      <c r="Z46" s="14">
        <f t="shared" si="51"/>
        <v>64</v>
      </c>
    </row>
    <row r="47" spans="1:26" ht="12.75" customHeight="1" x14ac:dyDescent="0.3">
      <c r="A47" s="100">
        <v>46</v>
      </c>
      <c r="B47" s="101" t="s">
        <v>551</v>
      </c>
      <c r="C47" s="101" t="s">
        <v>552</v>
      </c>
      <c r="D47" s="101" t="s">
        <v>553</v>
      </c>
      <c r="E47" s="101" t="s">
        <v>554</v>
      </c>
      <c r="F47" s="102">
        <v>40191</v>
      </c>
      <c r="G47" s="101" t="s">
        <v>39</v>
      </c>
      <c r="H47" s="103">
        <v>42</v>
      </c>
      <c r="I47" s="103"/>
      <c r="J47" s="103"/>
      <c r="K47" s="103">
        <v>46</v>
      </c>
      <c r="L47" s="103">
        <v>60</v>
      </c>
      <c r="M47" s="103">
        <v>37</v>
      </c>
      <c r="N47" s="103">
        <v>31</v>
      </c>
      <c r="O47" s="103">
        <v>38</v>
      </c>
      <c r="P47" s="103">
        <f t="shared" si="0"/>
        <v>216</v>
      </c>
      <c r="Q47" s="104">
        <f t="shared" si="1"/>
        <v>54</v>
      </c>
      <c r="R47" s="13">
        <f t="shared" si="2"/>
        <v>84</v>
      </c>
      <c r="S47" s="84">
        <f t="shared" si="3"/>
        <v>366</v>
      </c>
      <c r="T47" s="14">
        <f t="shared" si="4"/>
        <v>72</v>
      </c>
      <c r="U47" s="14"/>
      <c r="V47" s="14"/>
      <c r="W47" s="14">
        <f t="shared" ref="W47:Z47" si="52">K47+30</f>
        <v>76</v>
      </c>
      <c r="X47" s="14">
        <f t="shared" si="52"/>
        <v>90</v>
      </c>
      <c r="Y47" s="14">
        <f t="shared" si="52"/>
        <v>67</v>
      </c>
      <c r="Z47" s="14">
        <f t="shared" si="52"/>
        <v>61</v>
      </c>
    </row>
    <row r="48" spans="1:26" ht="12.75" customHeight="1" x14ac:dyDescent="0.3">
      <c r="A48" s="100">
        <v>47</v>
      </c>
      <c r="B48" s="101" t="s">
        <v>555</v>
      </c>
      <c r="C48" s="124" t="s">
        <v>556</v>
      </c>
      <c r="D48" s="124" t="s">
        <v>557</v>
      </c>
      <c r="E48" s="124" t="s">
        <v>558</v>
      </c>
      <c r="F48" s="125">
        <v>40039</v>
      </c>
      <c r="G48" s="124" t="s">
        <v>30</v>
      </c>
      <c r="H48" s="126">
        <v>24</v>
      </c>
      <c r="I48" s="126">
        <v>34</v>
      </c>
      <c r="J48" s="127"/>
      <c r="K48" s="127"/>
      <c r="L48" s="128">
        <v>65</v>
      </c>
      <c r="M48" s="129">
        <v>44</v>
      </c>
      <c r="N48" s="129">
        <v>34</v>
      </c>
      <c r="O48" s="129">
        <v>38</v>
      </c>
      <c r="P48" s="129">
        <f t="shared" si="0"/>
        <v>201</v>
      </c>
      <c r="Q48" s="130">
        <f t="shared" si="1"/>
        <v>50.249999999999993</v>
      </c>
      <c r="R48" s="13">
        <f t="shared" si="2"/>
        <v>80.25</v>
      </c>
      <c r="S48" s="84">
        <f t="shared" si="3"/>
        <v>351</v>
      </c>
      <c r="T48" s="14">
        <f t="shared" si="4"/>
        <v>54</v>
      </c>
      <c r="U48" s="14">
        <f>I48+30</f>
        <v>64</v>
      </c>
      <c r="V48" s="14"/>
      <c r="W48" s="14"/>
      <c r="X48" s="14">
        <f t="shared" ref="X48:Z48" si="53">L48+30</f>
        <v>95</v>
      </c>
      <c r="Y48" s="14">
        <f t="shared" si="53"/>
        <v>74</v>
      </c>
      <c r="Z48" s="14">
        <f t="shared" si="53"/>
        <v>64</v>
      </c>
    </row>
    <row r="49" spans="1:26" ht="12.75" customHeight="1" x14ac:dyDescent="0.3">
      <c r="A49" s="100">
        <v>48</v>
      </c>
      <c r="B49" s="101" t="s">
        <v>559</v>
      </c>
      <c r="C49" s="101" t="s">
        <v>560</v>
      </c>
      <c r="D49" s="101" t="s">
        <v>561</v>
      </c>
      <c r="E49" s="101" t="s">
        <v>562</v>
      </c>
      <c r="F49" s="102">
        <v>40057</v>
      </c>
      <c r="G49" s="101" t="s">
        <v>39</v>
      </c>
      <c r="H49" s="103">
        <v>58</v>
      </c>
      <c r="I49" s="103"/>
      <c r="J49" s="103"/>
      <c r="K49" s="103">
        <v>70</v>
      </c>
      <c r="L49" s="103">
        <v>49</v>
      </c>
      <c r="M49" s="103">
        <v>57</v>
      </c>
      <c r="N49" s="103">
        <v>56</v>
      </c>
      <c r="O49" s="103">
        <v>48</v>
      </c>
      <c r="P49" s="103">
        <f t="shared" si="0"/>
        <v>290</v>
      </c>
      <c r="Q49" s="104">
        <f t="shared" si="1"/>
        <v>72.5</v>
      </c>
      <c r="R49" s="13">
        <f t="shared" si="2"/>
        <v>102.5</v>
      </c>
      <c r="S49" s="84">
        <f t="shared" si="3"/>
        <v>440</v>
      </c>
      <c r="T49" s="14">
        <f t="shared" si="4"/>
        <v>88</v>
      </c>
      <c r="U49" s="14"/>
      <c r="V49" s="14"/>
      <c r="W49" s="14">
        <f t="shared" ref="W49:Z49" si="54">K49+30</f>
        <v>100</v>
      </c>
      <c r="X49" s="14">
        <f t="shared" si="54"/>
        <v>79</v>
      </c>
      <c r="Y49" s="14">
        <f t="shared" si="54"/>
        <v>87</v>
      </c>
      <c r="Z49" s="14">
        <f t="shared" si="54"/>
        <v>86</v>
      </c>
    </row>
    <row r="50" spans="1:26" ht="12.75" customHeight="1" x14ac:dyDescent="0.3">
      <c r="A50" s="106">
        <v>49</v>
      </c>
      <c r="B50" s="107" t="s">
        <v>563</v>
      </c>
      <c r="C50" s="107" t="s">
        <v>564</v>
      </c>
      <c r="D50" s="107" t="s">
        <v>565</v>
      </c>
      <c r="E50" s="107" t="s">
        <v>566</v>
      </c>
      <c r="F50" s="120">
        <v>39895</v>
      </c>
      <c r="G50" s="107" t="s">
        <v>30</v>
      </c>
      <c r="H50" s="121">
        <v>38</v>
      </c>
      <c r="I50" s="121"/>
      <c r="J50" s="121">
        <v>47</v>
      </c>
      <c r="K50" s="121"/>
      <c r="L50" s="121">
        <v>45</v>
      </c>
      <c r="M50" s="121">
        <v>29</v>
      </c>
      <c r="N50" s="121">
        <v>43</v>
      </c>
      <c r="O50" s="121">
        <v>47</v>
      </c>
      <c r="P50" s="121">
        <f t="shared" si="0"/>
        <v>202</v>
      </c>
      <c r="Q50" s="123">
        <f t="shared" si="1"/>
        <v>50.5</v>
      </c>
      <c r="R50" s="13">
        <f t="shared" si="2"/>
        <v>80.5</v>
      </c>
      <c r="S50" s="84">
        <f t="shared" si="3"/>
        <v>352</v>
      </c>
      <c r="T50" s="14">
        <f t="shared" si="4"/>
        <v>68</v>
      </c>
      <c r="U50" s="14"/>
      <c r="V50" s="14">
        <f>J50+30</f>
        <v>77</v>
      </c>
      <c r="W50" s="14"/>
      <c r="X50" s="14">
        <f t="shared" ref="X50:Z50" si="55">L50+30</f>
        <v>75</v>
      </c>
      <c r="Y50" s="14">
        <f t="shared" si="55"/>
        <v>59</v>
      </c>
      <c r="Z50" s="14">
        <f t="shared" si="55"/>
        <v>73</v>
      </c>
    </row>
    <row r="51" spans="1:26" ht="12.75" customHeight="1" x14ac:dyDescent="0.3">
      <c r="A51" s="100">
        <v>50</v>
      </c>
      <c r="B51" s="101" t="s">
        <v>567</v>
      </c>
      <c r="C51" s="101" t="s">
        <v>568</v>
      </c>
      <c r="D51" s="101" t="s">
        <v>569</v>
      </c>
      <c r="E51" s="101" t="s">
        <v>570</v>
      </c>
      <c r="F51" s="102">
        <v>40049</v>
      </c>
      <c r="G51" s="101" t="s">
        <v>30</v>
      </c>
      <c r="H51" s="103">
        <v>46</v>
      </c>
      <c r="I51" s="103"/>
      <c r="J51" s="103"/>
      <c r="K51" s="103">
        <v>62</v>
      </c>
      <c r="L51" s="103">
        <v>64</v>
      </c>
      <c r="M51" s="103">
        <v>47</v>
      </c>
      <c r="N51" s="103">
        <v>47</v>
      </c>
      <c r="O51" s="103">
        <v>43</v>
      </c>
      <c r="P51" s="103">
        <f t="shared" si="0"/>
        <v>266</v>
      </c>
      <c r="Q51" s="104">
        <f t="shared" si="1"/>
        <v>66.5</v>
      </c>
      <c r="R51" s="13">
        <f t="shared" si="2"/>
        <v>96.5</v>
      </c>
      <c r="S51" s="84">
        <f t="shared" si="3"/>
        <v>416</v>
      </c>
      <c r="T51" s="14">
        <f t="shared" si="4"/>
        <v>76</v>
      </c>
      <c r="U51" s="14"/>
      <c r="V51" s="14"/>
      <c r="W51" s="14">
        <f t="shared" ref="W51:Z51" si="56">K51+30</f>
        <v>92</v>
      </c>
      <c r="X51" s="14">
        <f t="shared" si="56"/>
        <v>94</v>
      </c>
      <c r="Y51" s="14">
        <f t="shared" si="56"/>
        <v>77</v>
      </c>
      <c r="Z51" s="14">
        <f t="shared" si="56"/>
        <v>77</v>
      </c>
    </row>
    <row r="52" spans="1:26" ht="12.75" customHeight="1" x14ac:dyDescent="0.3">
      <c r="A52" s="100">
        <v>51</v>
      </c>
      <c r="B52" s="101" t="s">
        <v>571</v>
      </c>
      <c r="C52" s="101" t="s">
        <v>572</v>
      </c>
      <c r="D52" s="101" t="s">
        <v>573</v>
      </c>
      <c r="E52" s="101" t="s">
        <v>574</v>
      </c>
      <c r="F52" s="102">
        <v>39951</v>
      </c>
      <c r="G52" s="101" t="s">
        <v>39</v>
      </c>
      <c r="H52" s="103">
        <v>52</v>
      </c>
      <c r="I52" s="103"/>
      <c r="J52" s="103"/>
      <c r="K52" s="103">
        <v>65</v>
      </c>
      <c r="L52" s="103">
        <v>48</v>
      </c>
      <c r="M52" s="103">
        <v>43</v>
      </c>
      <c r="N52" s="103">
        <v>48</v>
      </c>
      <c r="O52" s="103">
        <v>49</v>
      </c>
      <c r="P52" s="103">
        <f t="shared" si="0"/>
        <v>256</v>
      </c>
      <c r="Q52" s="104">
        <f t="shared" si="1"/>
        <v>64</v>
      </c>
      <c r="R52" s="13">
        <f t="shared" si="2"/>
        <v>94</v>
      </c>
      <c r="S52" s="84">
        <f t="shared" si="3"/>
        <v>406</v>
      </c>
      <c r="T52" s="14">
        <f t="shared" si="4"/>
        <v>82</v>
      </c>
      <c r="U52" s="14"/>
      <c r="V52" s="14"/>
      <c r="W52" s="14">
        <f t="shared" ref="W52:Z52" si="57">K52+30</f>
        <v>95</v>
      </c>
      <c r="X52" s="14">
        <f t="shared" si="57"/>
        <v>78</v>
      </c>
      <c r="Y52" s="14">
        <f t="shared" si="57"/>
        <v>73</v>
      </c>
      <c r="Z52" s="14">
        <f t="shared" si="57"/>
        <v>78</v>
      </c>
    </row>
    <row r="53" spans="1:26" ht="12.75" customHeight="1" x14ac:dyDescent="0.3">
      <c r="A53" s="100">
        <v>52</v>
      </c>
      <c r="B53" s="101" t="s">
        <v>575</v>
      </c>
      <c r="C53" s="101" t="s">
        <v>576</v>
      </c>
      <c r="D53" s="101" t="s">
        <v>577</v>
      </c>
      <c r="E53" s="101" t="s">
        <v>578</v>
      </c>
      <c r="F53" s="102">
        <v>39895</v>
      </c>
      <c r="G53" s="101" t="s">
        <v>30</v>
      </c>
      <c r="H53" s="103">
        <v>48</v>
      </c>
      <c r="I53" s="103"/>
      <c r="J53" s="103"/>
      <c r="K53" s="103">
        <v>66</v>
      </c>
      <c r="L53" s="103">
        <v>49</v>
      </c>
      <c r="M53" s="103">
        <v>40</v>
      </c>
      <c r="N53" s="103">
        <v>53</v>
      </c>
      <c r="O53" s="103">
        <v>45</v>
      </c>
      <c r="P53" s="103">
        <f t="shared" si="0"/>
        <v>256</v>
      </c>
      <c r="Q53" s="104">
        <f t="shared" si="1"/>
        <v>64</v>
      </c>
      <c r="R53" s="13">
        <f t="shared" si="2"/>
        <v>94</v>
      </c>
      <c r="S53" s="84">
        <f t="shared" si="3"/>
        <v>406</v>
      </c>
      <c r="T53" s="14">
        <f t="shared" si="4"/>
        <v>78</v>
      </c>
      <c r="U53" s="14"/>
      <c r="V53" s="14"/>
      <c r="W53" s="14">
        <f t="shared" ref="W53:Z53" si="58">K53+30</f>
        <v>96</v>
      </c>
      <c r="X53" s="14">
        <f t="shared" si="58"/>
        <v>79</v>
      </c>
      <c r="Y53" s="14">
        <f t="shared" si="58"/>
        <v>70</v>
      </c>
      <c r="Z53" s="14">
        <f t="shared" si="58"/>
        <v>83</v>
      </c>
    </row>
    <row r="54" spans="1:26" ht="12.75" customHeight="1" x14ac:dyDescent="0.3">
      <c r="A54" s="100">
        <v>53</v>
      </c>
      <c r="B54" s="101" t="s">
        <v>579</v>
      </c>
      <c r="C54" s="101" t="s">
        <v>580</v>
      </c>
      <c r="D54" s="101" t="s">
        <v>581</v>
      </c>
      <c r="E54" s="101" t="s">
        <v>582</v>
      </c>
      <c r="F54" s="102">
        <v>40059</v>
      </c>
      <c r="G54" s="101" t="s">
        <v>30</v>
      </c>
      <c r="H54" s="103">
        <v>47</v>
      </c>
      <c r="I54" s="103"/>
      <c r="J54" s="103"/>
      <c r="K54" s="103">
        <v>65</v>
      </c>
      <c r="L54" s="103">
        <v>68</v>
      </c>
      <c r="M54" s="103">
        <v>57</v>
      </c>
      <c r="N54" s="103">
        <v>53</v>
      </c>
      <c r="O54" s="103">
        <v>46</v>
      </c>
      <c r="P54" s="103">
        <f t="shared" si="0"/>
        <v>290</v>
      </c>
      <c r="Q54" s="104">
        <f t="shared" si="1"/>
        <v>72.5</v>
      </c>
      <c r="R54" s="13">
        <f t="shared" si="2"/>
        <v>102.5</v>
      </c>
      <c r="S54" s="84">
        <f t="shared" si="3"/>
        <v>440</v>
      </c>
      <c r="T54" s="14">
        <f t="shared" si="4"/>
        <v>77</v>
      </c>
      <c r="U54" s="14"/>
      <c r="V54" s="14"/>
      <c r="W54" s="14">
        <f t="shared" ref="W54:Z54" si="59">K54+30</f>
        <v>95</v>
      </c>
      <c r="X54" s="14">
        <f t="shared" si="59"/>
        <v>98</v>
      </c>
      <c r="Y54" s="14">
        <f t="shared" si="59"/>
        <v>87</v>
      </c>
      <c r="Z54" s="14">
        <f t="shared" si="59"/>
        <v>83</v>
      </c>
    </row>
    <row r="55" spans="1:26" ht="12.75" customHeight="1" x14ac:dyDescent="0.3">
      <c r="A55" s="100">
        <v>54</v>
      </c>
      <c r="B55" s="101" t="s">
        <v>583</v>
      </c>
      <c r="C55" s="101" t="s">
        <v>584</v>
      </c>
      <c r="D55" s="101" t="s">
        <v>585</v>
      </c>
      <c r="E55" s="101" t="s">
        <v>586</v>
      </c>
      <c r="F55" s="102">
        <v>40087</v>
      </c>
      <c r="G55" s="101" t="s">
        <v>30</v>
      </c>
      <c r="H55" s="103">
        <v>52</v>
      </c>
      <c r="I55" s="103">
        <v>63</v>
      </c>
      <c r="J55" s="103"/>
      <c r="K55" s="103"/>
      <c r="L55" s="103">
        <v>69</v>
      </c>
      <c r="M55" s="103">
        <v>56</v>
      </c>
      <c r="N55" s="103">
        <v>63</v>
      </c>
      <c r="O55" s="103">
        <v>42</v>
      </c>
      <c r="P55" s="103">
        <f t="shared" si="0"/>
        <v>303</v>
      </c>
      <c r="Q55" s="104">
        <f t="shared" si="1"/>
        <v>75.75</v>
      </c>
      <c r="R55" s="13">
        <f t="shared" si="2"/>
        <v>105.75</v>
      </c>
      <c r="S55" s="84">
        <f t="shared" si="3"/>
        <v>453</v>
      </c>
      <c r="T55" s="14">
        <f t="shared" si="4"/>
        <v>82</v>
      </c>
      <c r="U55" s="14">
        <f>I55+30</f>
        <v>93</v>
      </c>
      <c r="V55" s="14"/>
      <c r="W55" s="14"/>
      <c r="X55" s="14">
        <f t="shared" ref="X55:Z55" si="60">L55+30</f>
        <v>99</v>
      </c>
      <c r="Y55" s="14">
        <f t="shared" si="60"/>
        <v>86</v>
      </c>
      <c r="Z55" s="14">
        <f t="shared" si="60"/>
        <v>93</v>
      </c>
    </row>
    <row r="56" spans="1:26" ht="12.75" customHeight="1" x14ac:dyDescent="0.3">
      <c r="A56" s="100">
        <v>55</v>
      </c>
      <c r="B56" s="101" t="s">
        <v>587</v>
      </c>
      <c r="C56" s="101" t="s">
        <v>588</v>
      </c>
      <c r="D56" s="101" t="s">
        <v>589</v>
      </c>
      <c r="E56" s="101" t="s">
        <v>590</v>
      </c>
      <c r="F56" s="102">
        <v>39925</v>
      </c>
      <c r="G56" s="101" t="s">
        <v>30</v>
      </c>
      <c r="H56" s="103">
        <v>54</v>
      </c>
      <c r="I56" s="103"/>
      <c r="J56" s="103"/>
      <c r="K56" s="103">
        <v>79</v>
      </c>
      <c r="L56" s="103">
        <v>76</v>
      </c>
      <c r="M56" s="103">
        <v>71</v>
      </c>
      <c r="N56" s="103">
        <v>75</v>
      </c>
      <c r="O56" s="103">
        <v>50</v>
      </c>
      <c r="P56" s="103">
        <f t="shared" si="0"/>
        <v>355</v>
      </c>
      <c r="Q56" s="104">
        <f t="shared" si="1"/>
        <v>88.75</v>
      </c>
      <c r="R56" s="13">
        <f t="shared" si="2"/>
        <v>118.75</v>
      </c>
      <c r="S56" s="84">
        <f t="shared" si="3"/>
        <v>505</v>
      </c>
      <c r="T56" s="14">
        <f t="shared" si="4"/>
        <v>84</v>
      </c>
      <c r="U56" s="14"/>
      <c r="V56" s="14"/>
      <c r="W56" s="14">
        <f t="shared" ref="W56:Z56" si="61">K56+30</f>
        <v>109</v>
      </c>
      <c r="X56" s="14">
        <f t="shared" si="61"/>
        <v>106</v>
      </c>
      <c r="Y56" s="14">
        <f t="shared" si="61"/>
        <v>101</v>
      </c>
      <c r="Z56" s="14">
        <f t="shared" si="61"/>
        <v>105</v>
      </c>
    </row>
    <row r="57" spans="1:26" ht="12.75" customHeight="1" x14ac:dyDescent="0.3">
      <c r="A57" s="100">
        <v>56</v>
      </c>
      <c r="B57" s="101" t="s">
        <v>591</v>
      </c>
      <c r="C57" s="101" t="s">
        <v>592</v>
      </c>
      <c r="D57" s="101" t="s">
        <v>593</v>
      </c>
      <c r="E57" s="101" t="s">
        <v>594</v>
      </c>
      <c r="F57" s="102">
        <v>39969</v>
      </c>
      <c r="G57" s="101" t="s">
        <v>30</v>
      </c>
      <c r="H57" s="103">
        <v>55</v>
      </c>
      <c r="I57" s="103"/>
      <c r="J57" s="103"/>
      <c r="K57" s="103">
        <v>62</v>
      </c>
      <c r="L57" s="103">
        <v>79</v>
      </c>
      <c r="M57" s="103">
        <v>66</v>
      </c>
      <c r="N57" s="103">
        <v>50</v>
      </c>
      <c r="O57" s="103">
        <v>49</v>
      </c>
      <c r="P57" s="103">
        <f t="shared" si="0"/>
        <v>312</v>
      </c>
      <c r="Q57" s="104">
        <f t="shared" si="1"/>
        <v>78</v>
      </c>
      <c r="R57" s="13">
        <f t="shared" si="2"/>
        <v>108</v>
      </c>
      <c r="S57" s="84">
        <f t="shared" si="3"/>
        <v>462</v>
      </c>
      <c r="T57" s="14">
        <f t="shared" si="4"/>
        <v>85</v>
      </c>
      <c r="U57" s="14"/>
      <c r="V57" s="14"/>
      <c r="W57" s="14">
        <f t="shared" ref="W57:Z57" si="62">K57+30</f>
        <v>92</v>
      </c>
      <c r="X57" s="14">
        <f t="shared" si="62"/>
        <v>109</v>
      </c>
      <c r="Y57" s="14">
        <f t="shared" si="62"/>
        <v>96</v>
      </c>
      <c r="Z57" s="14">
        <f t="shared" si="62"/>
        <v>80</v>
      </c>
    </row>
    <row r="58" spans="1:26" ht="12.75" customHeight="1" x14ac:dyDescent="0.3">
      <c r="A58" s="131"/>
      <c r="B58" s="131"/>
      <c r="C58" s="131"/>
      <c r="D58" s="131"/>
      <c r="E58" s="131"/>
      <c r="F58" s="132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3"/>
      <c r="S58" s="84"/>
      <c r="T58" s="133"/>
      <c r="U58" s="133"/>
      <c r="V58" s="133"/>
      <c r="W58" s="133"/>
      <c r="X58" s="133"/>
      <c r="Y58" s="133"/>
      <c r="Z58" s="133"/>
    </row>
    <row r="59" spans="1:26" ht="12.75" customHeight="1" x14ac:dyDescent="0.3">
      <c r="A59" s="131"/>
      <c r="B59" s="131"/>
      <c r="C59" s="131"/>
      <c r="D59" s="131"/>
      <c r="E59" s="131"/>
      <c r="F59" s="132"/>
      <c r="G59" s="131"/>
      <c r="H59" s="131"/>
      <c r="I59" s="131"/>
      <c r="J59" s="131"/>
      <c r="K59" s="131"/>
      <c r="L59" s="131"/>
      <c r="M59" s="131"/>
      <c r="N59" s="131"/>
      <c r="O59" s="131"/>
      <c r="P59" s="131"/>
      <c r="Q59" s="133"/>
      <c r="S59" s="84"/>
      <c r="T59" s="133"/>
      <c r="U59" s="133"/>
      <c r="V59" s="133"/>
      <c r="W59" s="133"/>
      <c r="X59" s="133"/>
      <c r="Y59" s="133"/>
      <c r="Z59" s="133"/>
    </row>
    <row r="60" spans="1:26" ht="12.75" customHeight="1" x14ac:dyDescent="0.3">
      <c r="A60" s="131"/>
      <c r="B60" s="131"/>
      <c r="C60" s="131"/>
      <c r="D60" s="131"/>
      <c r="E60" s="131"/>
      <c r="F60" s="132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3"/>
      <c r="S60" s="84"/>
      <c r="T60" s="133"/>
      <c r="U60" s="133"/>
      <c r="V60" s="133"/>
      <c r="W60" s="133"/>
      <c r="X60" s="133"/>
      <c r="Y60" s="133"/>
      <c r="Z60" s="133"/>
    </row>
    <row r="61" spans="1:26" ht="18" customHeight="1" x14ac:dyDescent="0.3">
      <c r="A61" s="131"/>
      <c r="B61" s="131"/>
      <c r="C61" s="64" t="s">
        <v>216</v>
      </c>
      <c r="D61" s="65">
        <v>40</v>
      </c>
      <c r="E61" s="131"/>
      <c r="F61" s="132"/>
      <c r="G61" s="65">
        <v>40</v>
      </c>
      <c r="H61" s="65">
        <v>40</v>
      </c>
      <c r="I61" s="65"/>
      <c r="J61" s="134"/>
      <c r="K61" s="131"/>
      <c r="L61" s="131"/>
      <c r="M61" s="131"/>
      <c r="N61" s="131"/>
      <c r="O61" s="131"/>
      <c r="P61" s="131"/>
      <c r="Q61" s="133"/>
      <c r="S61" s="84"/>
      <c r="T61" s="133"/>
      <c r="U61" s="133"/>
      <c r="V61" s="133"/>
      <c r="W61" s="133"/>
      <c r="X61" s="133"/>
      <c r="Y61" s="133"/>
      <c r="Z61" s="133"/>
    </row>
    <row r="62" spans="1:26" ht="12.75" customHeight="1" x14ac:dyDescent="0.3">
      <c r="A62" s="131"/>
      <c r="B62" s="131"/>
      <c r="C62" s="66" t="s">
        <v>217</v>
      </c>
      <c r="D62" s="67">
        <v>9</v>
      </c>
      <c r="E62" s="131"/>
      <c r="F62" s="132"/>
      <c r="G62" s="67">
        <v>9</v>
      </c>
      <c r="H62" s="67">
        <v>9</v>
      </c>
      <c r="I62" s="67"/>
      <c r="J62" s="131"/>
      <c r="K62" s="131"/>
      <c r="L62" s="131"/>
      <c r="M62" s="131"/>
      <c r="N62" s="131"/>
      <c r="O62" s="131"/>
      <c r="P62" s="131"/>
      <c r="Q62" s="133"/>
      <c r="S62" s="84"/>
      <c r="T62" s="133"/>
      <c r="U62" s="133"/>
      <c r="V62" s="133"/>
      <c r="W62" s="133"/>
      <c r="X62" s="133"/>
      <c r="Y62" s="133"/>
      <c r="Z62" s="133"/>
    </row>
    <row r="63" spans="1:26" ht="12.75" customHeight="1" x14ac:dyDescent="0.3">
      <c r="A63" s="131"/>
      <c r="B63" s="131"/>
      <c r="C63" s="68" t="s">
        <v>218</v>
      </c>
      <c r="D63" s="67">
        <v>7</v>
      </c>
      <c r="E63" s="131"/>
      <c r="F63" s="132"/>
      <c r="G63" s="67">
        <v>7</v>
      </c>
      <c r="H63" s="67">
        <v>7</v>
      </c>
      <c r="I63" s="67"/>
      <c r="J63" s="131"/>
      <c r="K63" s="131"/>
      <c r="L63" s="131"/>
      <c r="M63" s="131"/>
      <c r="N63" s="131"/>
      <c r="O63" s="131"/>
      <c r="P63" s="131"/>
      <c r="Q63" s="133"/>
      <c r="S63" s="84"/>
      <c r="T63" s="133"/>
      <c r="U63" s="133"/>
      <c r="V63" s="133"/>
      <c r="W63" s="133"/>
      <c r="X63" s="133"/>
      <c r="Y63" s="133"/>
      <c r="Z63" s="133"/>
    </row>
    <row r="64" spans="1:26" ht="12.75" customHeight="1" x14ac:dyDescent="0.3">
      <c r="A64" s="131"/>
      <c r="B64" s="131"/>
      <c r="C64" s="69" t="s">
        <v>219</v>
      </c>
      <c r="D64" s="67">
        <v>0</v>
      </c>
      <c r="E64" s="131"/>
      <c r="F64" s="132"/>
      <c r="G64" s="67">
        <v>0</v>
      </c>
      <c r="H64" s="67">
        <v>0</v>
      </c>
      <c r="I64" s="67"/>
      <c r="J64" s="131"/>
      <c r="K64" s="131"/>
      <c r="L64" s="131"/>
      <c r="M64" s="131"/>
      <c r="N64" s="131"/>
      <c r="O64" s="131"/>
      <c r="P64" s="131"/>
      <c r="Q64" s="133"/>
      <c r="S64" s="84"/>
      <c r="T64" s="133"/>
      <c r="U64" s="133"/>
      <c r="V64" s="65"/>
      <c r="W64" s="133"/>
      <c r="X64" s="133"/>
      <c r="Y64" s="133"/>
      <c r="Z64" s="133"/>
    </row>
    <row r="65" spans="1:26" ht="12.75" customHeight="1" x14ac:dyDescent="0.3">
      <c r="A65" s="131"/>
      <c r="B65" s="131"/>
      <c r="C65" s="70" t="s">
        <v>220</v>
      </c>
      <c r="D65" s="67">
        <v>0</v>
      </c>
      <c r="E65" s="131"/>
      <c r="F65" s="132"/>
      <c r="G65" s="67">
        <v>0</v>
      </c>
      <c r="H65" s="67">
        <v>0</v>
      </c>
      <c r="I65" s="67"/>
      <c r="J65" s="131"/>
      <c r="K65" s="131"/>
      <c r="L65" s="131"/>
      <c r="M65" s="131"/>
      <c r="N65" s="131"/>
      <c r="O65" s="131"/>
      <c r="P65" s="131"/>
      <c r="Q65" s="133"/>
      <c r="S65" s="84"/>
      <c r="T65" s="133"/>
      <c r="U65" s="133"/>
      <c r="V65" s="67"/>
      <c r="W65" s="133"/>
      <c r="X65" s="133"/>
      <c r="Y65" s="133"/>
      <c r="Z65" s="133"/>
    </row>
    <row r="66" spans="1:26" ht="12.75" customHeight="1" x14ac:dyDescent="0.3">
      <c r="A66" s="131"/>
      <c r="B66" s="131"/>
      <c r="C66" s="71" t="s">
        <v>221</v>
      </c>
      <c r="D66" s="67">
        <v>0</v>
      </c>
      <c r="E66" s="131"/>
      <c r="F66" s="132"/>
      <c r="G66" s="67">
        <v>0</v>
      </c>
      <c r="H66" s="67">
        <v>0</v>
      </c>
      <c r="I66" s="67"/>
      <c r="J66" s="131"/>
      <c r="K66" s="131"/>
      <c r="L66" s="131"/>
      <c r="M66" s="131"/>
      <c r="N66" s="131"/>
      <c r="O66" s="131"/>
      <c r="P66" s="131"/>
      <c r="Q66" s="133"/>
      <c r="S66" s="84"/>
      <c r="T66" s="133"/>
      <c r="U66" s="133"/>
      <c r="V66" s="67"/>
      <c r="W66" s="133"/>
      <c r="X66" s="133"/>
      <c r="Y66" s="133"/>
      <c r="Z66" s="133"/>
    </row>
    <row r="67" spans="1:26" ht="12.75" customHeight="1" x14ac:dyDescent="0.3">
      <c r="A67" s="131"/>
      <c r="B67" s="131"/>
      <c r="C67" s="131"/>
      <c r="D67" s="131">
        <f>SUM(D61:D66)</f>
        <v>56</v>
      </c>
      <c r="E67" s="131"/>
      <c r="F67" s="132"/>
      <c r="G67" s="131">
        <f t="shared" ref="G67:H67" si="63">SUM(G61:G66)</f>
        <v>56</v>
      </c>
      <c r="H67" s="131">
        <f t="shared" si="63"/>
        <v>56</v>
      </c>
      <c r="I67" s="131"/>
      <c r="J67" s="131"/>
      <c r="K67" s="131"/>
      <c r="L67" s="131"/>
      <c r="M67" s="131"/>
      <c r="N67" s="131"/>
      <c r="O67" s="131"/>
      <c r="P67" s="131"/>
      <c r="Q67" s="133"/>
      <c r="S67" s="84"/>
      <c r="T67" s="133"/>
      <c r="U67" s="133"/>
      <c r="V67" s="67"/>
      <c r="W67" s="133"/>
      <c r="X67" s="133"/>
      <c r="Y67" s="133"/>
      <c r="Z67" s="133"/>
    </row>
    <row r="68" spans="1:26" ht="12.75" customHeight="1" x14ac:dyDescent="0.3">
      <c r="A68" s="131"/>
      <c r="B68" s="131"/>
      <c r="C68" s="131"/>
      <c r="D68" s="131"/>
      <c r="E68" s="131"/>
      <c r="F68" s="132"/>
      <c r="G68" s="131"/>
      <c r="H68" s="131"/>
      <c r="I68" s="131"/>
      <c r="J68" s="131"/>
      <c r="K68" s="131"/>
      <c r="L68" s="131"/>
      <c r="M68" s="131"/>
      <c r="N68" s="131"/>
      <c r="O68" s="131"/>
      <c r="P68" s="131"/>
      <c r="Q68" s="133"/>
      <c r="S68" s="84"/>
      <c r="T68" s="133"/>
      <c r="U68" s="133"/>
      <c r="V68" s="67"/>
      <c r="W68" s="133"/>
      <c r="X68" s="133"/>
      <c r="Y68" s="133"/>
      <c r="Z68" s="133"/>
    </row>
    <row r="69" spans="1:26" ht="12.75" customHeight="1" x14ac:dyDescent="0.3">
      <c r="A69" s="131"/>
      <c r="B69" s="131"/>
      <c r="C69" s="131"/>
      <c r="D69" s="131"/>
      <c r="E69" s="131"/>
      <c r="F69" s="132"/>
      <c r="G69" s="131"/>
      <c r="H69" s="131"/>
      <c r="I69" s="131"/>
      <c r="J69" s="131"/>
      <c r="K69" s="131"/>
      <c r="L69" s="131"/>
      <c r="M69" s="131"/>
      <c r="N69" s="131"/>
      <c r="O69" s="131"/>
      <c r="P69" s="131"/>
      <c r="Q69" s="133"/>
      <c r="S69" s="84"/>
      <c r="T69" s="133"/>
      <c r="U69" s="133"/>
      <c r="V69" s="67"/>
      <c r="W69" s="133"/>
      <c r="X69" s="133"/>
      <c r="Y69" s="133"/>
      <c r="Z69" s="133"/>
    </row>
    <row r="70" spans="1:26" ht="12.75" customHeight="1" x14ac:dyDescent="0.3">
      <c r="A70" s="131"/>
      <c r="B70" s="131"/>
      <c r="C70" s="131"/>
      <c r="D70" s="131"/>
      <c r="E70" s="131"/>
      <c r="F70" s="132"/>
      <c r="G70" s="131"/>
      <c r="H70" s="131"/>
      <c r="I70" s="131"/>
      <c r="J70" s="131"/>
      <c r="K70" s="131"/>
      <c r="L70" s="131"/>
      <c r="M70" s="131"/>
      <c r="N70" s="131"/>
      <c r="O70" s="131"/>
      <c r="P70" s="131"/>
      <c r="Q70" s="133"/>
      <c r="S70" s="84"/>
      <c r="T70" s="133"/>
      <c r="U70" s="133"/>
      <c r="V70" s="131"/>
      <c r="W70" s="133"/>
      <c r="X70" s="133"/>
      <c r="Y70" s="133"/>
      <c r="Z70" s="133"/>
    </row>
    <row r="71" spans="1:26" ht="12.75" customHeight="1" x14ac:dyDescent="0.3">
      <c r="A71" s="131"/>
      <c r="B71" s="131"/>
      <c r="C71" s="131"/>
      <c r="D71" s="131"/>
      <c r="E71" s="131"/>
      <c r="F71" s="132"/>
      <c r="G71" s="131"/>
      <c r="H71" s="131"/>
      <c r="I71" s="131"/>
      <c r="J71" s="131"/>
      <c r="K71" s="131"/>
      <c r="L71" s="131"/>
      <c r="M71" s="131"/>
      <c r="N71" s="131"/>
      <c r="O71" s="131"/>
      <c r="P71" s="131"/>
      <c r="Q71" s="133"/>
      <c r="S71" s="84"/>
      <c r="T71" s="133"/>
      <c r="U71" s="133"/>
      <c r="V71" s="133"/>
      <c r="W71" s="133"/>
      <c r="X71" s="133"/>
      <c r="Y71" s="133"/>
      <c r="Z71" s="133"/>
    </row>
    <row r="72" spans="1:26" ht="12.75" customHeight="1" x14ac:dyDescent="0.3">
      <c r="A72" s="131"/>
      <c r="B72" s="131"/>
      <c r="C72" s="131"/>
      <c r="D72" s="131"/>
      <c r="E72" s="131"/>
      <c r="F72" s="132"/>
      <c r="G72" s="131"/>
      <c r="H72" s="131"/>
      <c r="I72" s="131"/>
      <c r="J72" s="131"/>
      <c r="K72" s="131"/>
      <c r="L72" s="131"/>
      <c r="M72" s="131"/>
      <c r="N72" s="131"/>
      <c r="O72" s="131"/>
      <c r="P72" s="131"/>
      <c r="Q72" s="133"/>
      <c r="S72" s="84"/>
      <c r="T72" s="133"/>
      <c r="U72" s="133"/>
      <c r="V72" s="133"/>
      <c r="W72" s="133"/>
      <c r="X72" s="133"/>
      <c r="Y72" s="133"/>
      <c r="Z72" s="133"/>
    </row>
    <row r="73" spans="1:26" ht="12.75" customHeight="1" x14ac:dyDescent="0.3">
      <c r="A73" s="131"/>
      <c r="B73" s="131"/>
      <c r="C73" s="131"/>
      <c r="D73" s="131"/>
      <c r="E73" s="131"/>
      <c r="F73" s="132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3"/>
      <c r="S73" s="84"/>
      <c r="T73" s="133"/>
      <c r="U73" s="133"/>
      <c r="V73" s="133"/>
      <c r="W73" s="133"/>
      <c r="X73" s="133"/>
      <c r="Y73" s="133"/>
      <c r="Z73" s="133"/>
    </row>
    <row r="74" spans="1:26" ht="12.75" customHeight="1" x14ac:dyDescent="0.3">
      <c r="A74" s="131"/>
      <c r="B74" s="131"/>
      <c r="C74" s="131"/>
      <c r="D74" s="131"/>
      <c r="E74" s="131"/>
      <c r="F74" s="132"/>
      <c r="G74" s="131"/>
      <c r="H74" s="131"/>
      <c r="I74" s="131"/>
      <c r="J74" s="131"/>
      <c r="K74" s="131"/>
      <c r="L74" s="131"/>
      <c r="M74" s="131"/>
      <c r="N74" s="131"/>
      <c r="O74" s="131"/>
      <c r="P74" s="131"/>
      <c r="Q74" s="133"/>
      <c r="S74" s="84"/>
      <c r="T74" s="133"/>
      <c r="U74" s="133"/>
      <c r="V74" s="133"/>
      <c r="W74" s="133"/>
      <c r="X74" s="133"/>
      <c r="Y74" s="133"/>
      <c r="Z74" s="133"/>
    </row>
    <row r="75" spans="1:26" ht="12.75" customHeight="1" x14ac:dyDescent="0.3">
      <c r="A75" s="131"/>
      <c r="B75" s="131"/>
      <c r="C75" s="131"/>
      <c r="D75" s="131"/>
      <c r="E75" s="131"/>
      <c r="F75" s="132"/>
      <c r="G75" s="131"/>
      <c r="H75" s="131"/>
      <c r="I75" s="131"/>
      <c r="J75" s="131"/>
      <c r="K75" s="131"/>
      <c r="L75" s="131"/>
      <c r="M75" s="131"/>
      <c r="N75" s="131"/>
      <c r="O75" s="131"/>
      <c r="P75" s="131"/>
      <c r="Q75" s="133"/>
      <c r="S75" s="84"/>
      <c r="T75" s="133"/>
      <c r="U75" s="133"/>
      <c r="V75" s="133"/>
      <c r="W75" s="133"/>
      <c r="X75" s="133"/>
      <c r="Y75" s="133"/>
      <c r="Z75" s="133"/>
    </row>
    <row r="76" spans="1:26" ht="12.75" customHeight="1" x14ac:dyDescent="0.3">
      <c r="A76" s="131"/>
      <c r="B76" s="131"/>
      <c r="C76" s="131"/>
      <c r="D76" s="131"/>
      <c r="E76" s="131"/>
      <c r="F76" s="132"/>
      <c r="G76" s="131"/>
      <c r="H76" s="131"/>
      <c r="I76" s="131"/>
      <c r="J76" s="131"/>
      <c r="K76" s="131"/>
      <c r="L76" s="131"/>
      <c r="M76" s="131"/>
      <c r="N76" s="131"/>
      <c r="O76" s="131"/>
      <c r="P76" s="131"/>
      <c r="Q76" s="133"/>
      <c r="S76" s="84"/>
      <c r="T76" s="133"/>
      <c r="U76" s="133"/>
      <c r="V76" s="133"/>
      <c r="W76" s="133"/>
      <c r="X76" s="133"/>
      <c r="Y76" s="133"/>
      <c r="Z76" s="133"/>
    </row>
    <row r="77" spans="1:26" ht="12.75" customHeight="1" x14ac:dyDescent="0.3">
      <c r="A77" s="131"/>
      <c r="B77" s="131"/>
      <c r="C77" s="131"/>
      <c r="D77" s="131"/>
      <c r="E77" s="131"/>
      <c r="F77" s="132"/>
      <c r="G77" s="131"/>
      <c r="H77" s="131"/>
      <c r="I77" s="131"/>
      <c r="J77" s="131"/>
      <c r="K77" s="131"/>
      <c r="L77" s="131"/>
      <c r="M77" s="131"/>
      <c r="N77" s="131"/>
      <c r="O77" s="131"/>
      <c r="P77" s="131"/>
      <c r="Q77" s="133"/>
      <c r="S77" s="84"/>
      <c r="T77" s="133"/>
      <c r="U77" s="133"/>
      <c r="V77" s="133"/>
      <c r="W77" s="133"/>
      <c r="X77" s="133"/>
      <c r="Y77" s="133"/>
      <c r="Z77" s="133"/>
    </row>
    <row r="78" spans="1:26" ht="12.75" customHeight="1" x14ac:dyDescent="0.3">
      <c r="A78" s="131"/>
      <c r="B78" s="131"/>
      <c r="C78" s="131"/>
      <c r="D78" s="131"/>
      <c r="E78" s="131"/>
      <c r="F78" s="132"/>
      <c r="G78" s="131"/>
      <c r="H78" s="131"/>
      <c r="I78" s="131"/>
      <c r="J78" s="131"/>
      <c r="K78" s="131"/>
      <c r="L78" s="131"/>
      <c r="M78" s="131"/>
      <c r="N78" s="131"/>
      <c r="O78" s="131"/>
      <c r="P78" s="131"/>
      <c r="Q78" s="133"/>
      <c r="S78" s="84"/>
      <c r="T78" s="133"/>
      <c r="U78" s="133"/>
      <c r="V78" s="133"/>
      <c r="W78" s="133"/>
      <c r="X78" s="133"/>
      <c r="Y78" s="133"/>
      <c r="Z78" s="133"/>
    </row>
    <row r="79" spans="1:26" ht="12.75" customHeight="1" x14ac:dyDescent="0.3">
      <c r="A79" s="131"/>
      <c r="B79" s="131"/>
      <c r="C79" s="131"/>
      <c r="D79" s="131"/>
      <c r="E79" s="131"/>
      <c r="F79" s="132"/>
      <c r="G79" s="131"/>
      <c r="H79" s="131"/>
      <c r="I79" s="131"/>
      <c r="J79" s="131"/>
      <c r="K79" s="131"/>
      <c r="L79" s="131"/>
      <c r="M79" s="131"/>
      <c r="N79" s="131"/>
      <c r="O79" s="131"/>
      <c r="P79" s="131"/>
      <c r="Q79" s="133"/>
      <c r="S79" s="84"/>
      <c r="T79" s="133"/>
      <c r="U79" s="133"/>
      <c r="V79" s="133"/>
      <c r="W79" s="133"/>
      <c r="X79" s="133"/>
      <c r="Y79" s="133"/>
      <c r="Z79" s="133"/>
    </row>
    <row r="80" spans="1:26" ht="12.75" customHeight="1" x14ac:dyDescent="0.3">
      <c r="A80" s="131"/>
      <c r="B80" s="131"/>
      <c r="C80" s="131"/>
      <c r="D80" s="131"/>
      <c r="E80" s="131"/>
      <c r="F80" s="132"/>
      <c r="G80" s="131"/>
      <c r="H80" s="131"/>
      <c r="I80" s="131"/>
      <c r="J80" s="131"/>
      <c r="K80" s="131"/>
      <c r="L80" s="131"/>
      <c r="M80" s="131"/>
      <c r="N80" s="131"/>
      <c r="O80" s="131"/>
      <c r="P80" s="131"/>
      <c r="Q80" s="133"/>
      <c r="S80" s="84"/>
      <c r="T80" s="133"/>
      <c r="U80" s="133"/>
      <c r="V80" s="133"/>
      <c r="W80" s="133"/>
      <c r="X80" s="133"/>
      <c r="Y80" s="133"/>
      <c r="Z80" s="133"/>
    </row>
    <row r="81" spans="1:26" ht="12.75" customHeight="1" x14ac:dyDescent="0.3">
      <c r="A81" s="131"/>
      <c r="B81" s="131"/>
      <c r="C81" s="131"/>
      <c r="D81" s="131"/>
      <c r="E81" s="131"/>
      <c r="F81" s="132"/>
      <c r="G81" s="131"/>
      <c r="H81" s="131"/>
      <c r="I81" s="131"/>
      <c r="J81" s="131"/>
      <c r="K81" s="131"/>
      <c r="L81" s="131"/>
      <c r="M81" s="131"/>
      <c r="N81" s="131"/>
      <c r="O81" s="131"/>
      <c r="P81" s="131"/>
      <c r="Q81" s="133"/>
      <c r="S81" s="84"/>
      <c r="T81" s="133"/>
      <c r="U81" s="133"/>
      <c r="V81" s="133"/>
      <c r="W81" s="133"/>
      <c r="X81" s="133"/>
      <c r="Y81" s="133"/>
      <c r="Z81" s="133"/>
    </row>
    <row r="82" spans="1:26" ht="12.75" customHeight="1" x14ac:dyDescent="0.3">
      <c r="A82" s="131"/>
      <c r="B82" s="131"/>
      <c r="C82" s="131"/>
      <c r="D82" s="131"/>
      <c r="E82" s="131"/>
      <c r="F82" s="132"/>
      <c r="G82" s="131"/>
      <c r="H82" s="131"/>
      <c r="I82" s="131"/>
      <c r="J82" s="131"/>
      <c r="K82" s="131"/>
      <c r="L82" s="131"/>
      <c r="M82" s="131"/>
      <c r="N82" s="131"/>
      <c r="O82" s="131"/>
      <c r="P82" s="131"/>
      <c r="Q82" s="133"/>
      <c r="S82" s="84"/>
      <c r="T82" s="133"/>
      <c r="U82" s="133"/>
      <c r="V82" s="133"/>
      <c r="W82" s="133"/>
      <c r="X82" s="133"/>
      <c r="Y82" s="133"/>
      <c r="Z82" s="133"/>
    </row>
    <row r="83" spans="1:26" ht="12.75" customHeight="1" x14ac:dyDescent="0.3">
      <c r="A83" s="131"/>
      <c r="B83" s="131"/>
      <c r="C83" s="131"/>
      <c r="D83" s="131"/>
      <c r="E83" s="131"/>
      <c r="F83" s="132"/>
      <c r="G83" s="131"/>
      <c r="H83" s="131"/>
      <c r="I83" s="131"/>
      <c r="J83" s="131"/>
      <c r="K83" s="131"/>
      <c r="L83" s="131"/>
      <c r="M83" s="131"/>
      <c r="N83" s="131"/>
      <c r="O83" s="131"/>
      <c r="P83" s="131"/>
      <c r="Q83" s="133"/>
      <c r="S83" s="84"/>
      <c r="T83" s="133"/>
      <c r="U83" s="133"/>
      <c r="V83" s="133"/>
      <c r="W83" s="133"/>
      <c r="X83" s="133"/>
      <c r="Y83" s="133"/>
      <c r="Z83" s="133"/>
    </row>
    <row r="84" spans="1:26" ht="12.75" customHeight="1" x14ac:dyDescent="0.3">
      <c r="A84" s="131"/>
      <c r="B84" s="131"/>
      <c r="C84" s="131"/>
      <c r="D84" s="131"/>
      <c r="E84" s="131"/>
      <c r="F84" s="132"/>
      <c r="G84" s="131"/>
      <c r="H84" s="131"/>
      <c r="I84" s="131"/>
      <c r="J84" s="131"/>
      <c r="K84" s="131"/>
      <c r="L84" s="131"/>
      <c r="M84" s="131"/>
      <c r="N84" s="131"/>
      <c r="O84" s="131"/>
      <c r="P84" s="131"/>
      <c r="Q84" s="133"/>
      <c r="S84" s="84"/>
      <c r="T84" s="133"/>
      <c r="U84" s="133"/>
      <c r="V84" s="133"/>
      <c r="W84" s="133"/>
      <c r="X84" s="133"/>
      <c r="Y84" s="133"/>
      <c r="Z84" s="133"/>
    </row>
    <row r="85" spans="1:26" ht="12.75" customHeight="1" x14ac:dyDescent="0.3">
      <c r="A85" s="131"/>
      <c r="B85" s="131"/>
      <c r="C85" s="131"/>
      <c r="D85" s="131"/>
      <c r="E85" s="131"/>
      <c r="F85" s="132"/>
      <c r="G85" s="131"/>
      <c r="H85" s="131"/>
      <c r="I85" s="131"/>
      <c r="J85" s="131"/>
      <c r="K85" s="131"/>
      <c r="L85" s="131"/>
      <c r="M85" s="131"/>
      <c r="N85" s="131"/>
      <c r="O85" s="131"/>
      <c r="P85" s="131"/>
      <c r="Q85" s="133"/>
      <c r="S85" s="84"/>
      <c r="T85" s="133"/>
      <c r="U85" s="133"/>
      <c r="V85" s="133"/>
      <c r="W85" s="133"/>
      <c r="X85" s="133"/>
      <c r="Y85" s="133"/>
      <c r="Z85" s="133"/>
    </row>
    <row r="86" spans="1:26" ht="12.75" customHeight="1" x14ac:dyDescent="0.3">
      <c r="A86" s="131"/>
      <c r="B86" s="131"/>
      <c r="C86" s="131"/>
      <c r="D86" s="131"/>
      <c r="E86" s="131"/>
      <c r="F86" s="132"/>
      <c r="G86" s="131"/>
      <c r="H86" s="131"/>
      <c r="I86" s="131"/>
      <c r="J86" s="131"/>
      <c r="K86" s="131"/>
      <c r="L86" s="131"/>
      <c r="M86" s="131"/>
      <c r="N86" s="131"/>
      <c r="O86" s="131"/>
      <c r="P86" s="131"/>
      <c r="Q86" s="133"/>
      <c r="S86" s="84"/>
      <c r="T86" s="133"/>
      <c r="U86" s="133"/>
      <c r="V86" s="133"/>
      <c r="W86" s="133"/>
      <c r="X86" s="133"/>
      <c r="Y86" s="133"/>
      <c r="Z86" s="133"/>
    </row>
    <row r="87" spans="1:26" ht="12.75" customHeight="1" x14ac:dyDescent="0.3">
      <c r="A87" s="131"/>
      <c r="B87" s="131"/>
      <c r="C87" s="131"/>
      <c r="D87" s="131"/>
      <c r="E87" s="131"/>
      <c r="F87" s="132"/>
      <c r="G87" s="131"/>
      <c r="H87" s="131"/>
      <c r="I87" s="131"/>
      <c r="J87" s="131"/>
      <c r="K87" s="131"/>
      <c r="L87" s="131"/>
      <c r="M87" s="131"/>
      <c r="N87" s="131"/>
      <c r="O87" s="131"/>
      <c r="P87" s="131"/>
      <c r="Q87" s="133"/>
      <c r="S87" s="84"/>
      <c r="T87" s="133"/>
      <c r="U87" s="133"/>
      <c r="V87" s="133"/>
      <c r="W87" s="133"/>
      <c r="X87" s="133"/>
      <c r="Y87" s="133"/>
      <c r="Z87" s="133"/>
    </row>
    <row r="88" spans="1:26" ht="12.75" customHeight="1" x14ac:dyDescent="0.3">
      <c r="A88" s="131"/>
      <c r="B88" s="131"/>
      <c r="C88" s="131"/>
      <c r="D88" s="131"/>
      <c r="E88" s="131"/>
      <c r="F88" s="132"/>
      <c r="G88" s="131"/>
      <c r="H88" s="131"/>
      <c r="I88" s="131"/>
      <c r="J88" s="131"/>
      <c r="K88" s="131"/>
      <c r="L88" s="131"/>
      <c r="M88" s="131"/>
      <c r="N88" s="131"/>
      <c r="O88" s="131"/>
      <c r="P88" s="131"/>
      <c r="Q88" s="133"/>
      <c r="S88" s="84"/>
      <c r="T88" s="133"/>
      <c r="U88" s="133"/>
      <c r="V88" s="133"/>
      <c r="W88" s="133"/>
      <c r="X88" s="133"/>
      <c r="Y88" s="133"/>
      <c r="Z88" s="133"/>
    </row>
    <row r="89" spans="1:26" ht="12.75" customHeight="1" x14ac:dyDescent="0.3">
      <c r="A89" s="131"/>
      <c r="B89" s="131"/>
      <c r="C89" s="131"/>
      <c r="D89" s="131"/>
      <c r="E89" s="131"/>
      <c r="F89" s="132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3"/>
      <c r="S89" s="84"/>
      <c r="T89" s="133"/>
      <c r="U89" s="133"/>
      <c r="V89" s="133"/>
      <c r="W89" s="133"/>
      <c r="X89" s="133"/>
      <c r="Y89" s="133"/>
      <c r="Z89" s="133"/>
    </row>
    <row r="90" spans="1:26" ht="12.75" customHeight="1" x14ac:dyDescent="0.3">
      <c r="A90" s="131"/>
      <c r="B90" s="131"/>
      <c r="C90" s="131"/>
      <c r="D90" s="131"/>
      <c r="E90" s="131"/>
      <c r="F90" s="132"/>
      <c r="G90" s="131"/>
      <c r="H90" s="131"/>
      <c r="I90" s="131"/>
      <c r="J90" s="131"/>
      <c r="K90" s="131"/>
      <c r="L90" s="131"/>
      <c r="M90" s="131"/>
      <c r="N90" s="131"/>
      <c r="O90" s="131"/>
      <c r="P90" s="131"/>
      <c r="Q90" s="133"/>
      <c r="S90" s="84"/>
      <c r="T90" s="133"/>
      <c r="U90" s="133"/>
      <c r="V90" s="133"/>
      <c r="W90" s="133"/>
      <c r="X90" s="133"/>
      <c r="Y90" s="133"/>
      <c r="Z90" s="133"/>
    </row>
    <row r="91" spans="1:26" ht="12.75" customHeight="1" x14ac:dyDescent="0.3">
      <c r="A91" s="131"/>
      <c r="B91" s="131"/>
      <c r="C91" s="131"/>
      <c r="D91" s="131"/>
      <c r="E91" s="131"/>
      <c r="F91" s="132"/>
      <c r="G91" s="131"/>
      <c r="H91" s="131"/>
      <c r="I91" s="131"/>
      <c r="J91" s="131"/>
      <c r="K91" s="131"/>
      <c r="L91" s="131"/>
      <c r="M91" s="131"/>
      <c r="N91" s="131"/>
      <c r="O91" s="131"/>
      <c r="P91" s="131"/>
      <c r="Q91" s="133"/>
      <c r="S91" s="84"/>
      <c r="T91" s="133"/>
      <c r="U91" s="133"/>
      <c r="V91" s="133"/>
      <c r="W91" s="133"/>
      <c r="X91" s="133"/>
      <c r="Y91" s="133"/>
      <c r="Z91" s="133"/>
    </row>
    <row r="92" spans="1:26" ht="12.75" customHeight="1" x14ac:dyDescent="0.3">
      <c r="A92" s="131"/>
      <c r="B92" s="131"/>
      <c r="C92" s="131"/>
      <c r="D92" s="131"/>
      <c r="E92" s="131"/>
      <c r="F92" s="132"/>
      <c r="G92" s="131"/>
      <c r="H92" s="131"/>
      <c r="I92" s="131"/>
      <c r="J92" s="131"/>
      <c r="K92" s="131"/>
      <c r="L92" s="131"/>
      <c r="M92" s="131"/>
      <c r="N92" s="131"/>
      <c r="O92" s="131"/>
      <c r="P92" s="131"/>
      <c r="Q92" s="133"/>
      <c r="S92" s="84"/>
      <c r="T92" s="133"/>
      <c r="U92" s="133"/>
      <c r="V92" s="133"/>
      <c r="W92" s="133"/>
      <c r="X92" s="133"/>
      <c r="Y92" s="133"/>
      <c r="Z92" s="133"/>
    </row>
    <row r="93" spans="1:26" ht="12.75" customHeight="1" x14ac:dyDescent="0.3">
      <c r="A93" s="131"/>
      <c r="B93" s="131"/>
      <c r="C93" s="131"/>
      <c r="D93" s="131"/>
      <c r="E93" s="131"/>
      <c r="F93" s="132"/>
      <c r="G93" s="131"/>
      <c r="H93" s="131"/>
      <c r="I93" s="131"/>
      <c r="J93" s="131"/>
      <c r="K93" s="131"/>
      <c r="L93" s="131"/>
      <c r="M93" s="131"/>
      <c r="N93" s="131"/>
      <c r="O93" s="131"/>
      <c r="P93" s="131"/>
      <c r="Q93" s="133"/>
      <c r="S93" s="84"/>
      <c r="T93" s="133"/>
      <c r="U93" s="133"/>
      <c r="V93" s="133"/>
      <c r="W93" s="133"/>
      <c r="X93" s="133"/>
      <c r="Y93" s="133"/>
      <c r="Z93" s="133"/>
    </row>
    <row r="94" spans="1:26" ht="12.75" customHeight="1" x14ac:dyDescent="0.3">
      <c r="A94" s="131"/>
      <c r="B94" s="131"/>
      <c r="C94" s="131"/>
      <c r="D94" s="131"/>
      <c r="E94" s="131"/>
      <c r="F94" s="132"/>
      <c r="G94" s="131"/>
      <c r="H94" s="131"/>
      <c r="I94" s="131"/>
      <c r="J94" s="131"/>
      <c r="K94" s="131"/>
      <c r="L94" s="131"/>
      <c r="M94" s="131"/>
      <c r="N94" s="131"/>
      <c r="O94" s="131"/>
      <c r="P94" s="131"/>
      <c r="Q94" s="133"/>
      <c r="S94" s="84"/>
      <c r="T94" s="133"/>
      <c r="U94" s="133"/>
      <c r="V94" s="133"/>
      <c r="W94" s="133"/>
      <c r="X94" s="133"/>
      <c r="Y94" s="133"/>
      <c r="Z94" s="133"/>
    </row>
    <row r="95" spans="1:26" ht="12.75" customHeight="1" x14ac:dyDescent="0.3">
      <c r="A95" s="131"/>
      <c r="B95" s="131"/>
      <c r="C95" s="131"/>
      <c r="D95" s="131"/>
      <c r="E95" s="131"/>
      <c r="F95" s="132"/>
      <c r="G95" s="131"/>
      <c r="H95" s="131"/>
      <c r="I95" s="131"/>
      <c r="J95" s="131"/>
      <c r="K95" s="131"/>
      <c r="L95" s="131"/>
      <c r="M95" s="131"/>
      <c r="N95" s="131"/>
      <c r="O95" s="131"/>
      <c r="P95" s="131"/>
      <c r="Q95" s="133"/>
      <c r="S95" s="84"/>
      <c r="T95" s="133"/>
      <c r="U95" s="133"/>
      <c r="V95" s="133"/>
      <c r="W95" s="133"/>
      <c r="X95" s="133"/>
      <c r="Y95" s="133"/>
      <c r="Z95" s="133"/>
    </row>
    <row r="96" spans="1:26" ht="12.75" customHeight="1" x14ac:dyDescent="0.3">
      <c r="A96" s="131"/>
      <c r="B96" s="131"/>
      <c r="C96" s="131"/>
      <c r="D96" s="131"/>
      <c r="E96" s="131"/>
      <c r="F96" s="132"/>
      <c r="G96" s="131"/>
      <c r="H96" s="131"/>
      <c r="I96" s="131"/>
      <c r="J96" s="131"/>
      <c r="K96" s="131"/>
      <c r="L96" s="131"/>
      <c r="M96" s="131"/>
      <c r="N96" s="131"/>
      <c r="O96" s="131"/>
      <c r="P96" s="131"/>
      <c r="Q96" s="133"/>
      <c r="S96" s="84"/>
      <c r="T96" s="133"/>
      <c r="U96" s="133"/>
      <c r="V96" s="133"/>
      <c r="W96" s="133"/>
      <c r="X96" s="133"/>
      <c r="Y96" s="133"/>
      <c r="Z96" s="133"/>
    </row>
    <row r="97" spans="1:26" ht="12.75" customHeight="1" x14ac:dyDescent="0.3">
      <c r="A97" s="131"/>
      <c r="B97" s="131"/>
      <c r="C97" s="131"/>
      <c r="D97" s="131"/>
      <c r="E97" s="131"/>
      <c r="F97" s="132"/>
      <c r="G97" s="131"/>
      <c r="H97" s="131"/>
      <c r="I97" s="131"/>
      <c r="J97" s="131"/>
      <c r="K97" s="131"/>
      <c r="L97" s="131"/>
      <c r="M97" s="131"/>
      <c r="N97" s="131"/>
      <c r="O97" s="131"/>
      <c r="P97" s="131"/>
      <c r="Q97" s="133"/>
      <c r="S97" s="84"/>
      <c r="T97" s="133"/>
      <c r="U97" s="133"/>
      <c r="V97" s="133"/>
      <c r="W97" s="133"/>
      <c r="X97" s="133"/>
      <c r="Y97" s="133"/>
      <c r="Z97" s="133"/>
    </row>
    <row r="98" spans="1:26" ht="12.75" customHeight="1" x14ac:dyDescent="0.3">
      <c r="A98" s="131"/>
      <c r="B98" s="131"/>
      <c r="C98" s="131"/>
      <c r="D98" s="131"/>
      <c r="E98" s="131"/>
      <c r="F98" s="132"/>
      <c r="G98" s="131"/>
      <c r="H98" s="131"/>
      <c r="I98" s="131"/>
      <c r="J98" s="131"/>
      <c r="K98" s="131"/>
      <c r="L98" s="131"/>
      <c r="M98" s="131"/>
      <c r="N98" s="131"/>
      <c r="O98" s="131"/>
      <c r="P98" s="131"/>
      <c r="Q98" s="133"/>
      <c r="S98" s="84"/>
      <c r="T98" s="133"/>
      <c r="U98" s="133"/>
      <c r="V98" s="133"/>
      <c r="W98" s="133"/>
      <c r="X98" s="133"/>
      <c r="Y98" s="133"/>
      <c r="Z98" s="133"/>
    </row>
    <row r="99" spans="1:26" ht="12.75" customHeight="1" x14ac:dyDescent="0.3">
      <c r="A99" s="131"/>
      <c r="B99" s="131"/>
      <c r="C99" s="131"/>
      <c r="D99" s="131"/>
      <c r="E99" s="131"/>
      <c r="F99" s="132"/>
      <c r="G99" s="131"/>
      <c r="H99" s="131"/>
      <c r="I99" s="131"/>
      <c r="J99" s="131"/>
      <c r="K99" s="131"/>
      <c r="L99" s="131"/>
      <c r="M99" s="131"/>
      <c r="N99" s="131"/>
      <c r="O99" s="131"/>
      <c r="P99" s="131"/>
      <c r="Q99" s="133"/>
      <c r="S99" s="84"/>
      <c r="T99" s="133"/>
      <c r="U99" s="133"/>
      <c r="V99" s="133"/>
      <c r="W99" s="133"/>
      <c r="X99" s="133"/>
      <c r="Y99" s="133"/>
      <c r="Z99" s="133"/>
    </row>
    <row r="100" spans="1:26" ht="12.75" customHeight="1" x14ac:dyDescent="0.3">
      <c r="A100" s="131"/>
      <c r="B100" s="131"/>
      <c r="C100" s="131"/>
      <c r="D100" s="131"/>
      <c r="E100" s="131"/>
      <c r="F100" s="132"/>
      <c r="G100" s="131"/>
      <c r="H100" s="131"/>
      <c r="I100" s="131"/>
      <c r="J100" s="131"/>
      <c r="K100" s="131"/>
      <c r="L100" s="131"/>
      <c r="M100" s="131"/>
      <c r="N100" s="131"/>
      <c r="O100" s="131"/>
      <c r="P100" s="131"/>
      <c r="Q100" s="133"/>
      <c r="S100" s="84"/>
      <c r="T100" s="133"/>
      <c r="U100" s="133"/>
      <c r="V100" s="133"/>
      <c r="W100" s="133"/>
      <c r="X100" s="133"/>
      <c r="Y100" s="133"/>
      <c r="Z100" s="133"/>
    </row>
    <row r="101" spans="1:26" ht="12.75" customHeight="1" x14ac:dyDescent="0.3">
      <c r="A101" s="131"/>
      <c r="B101" s="131"/>
      <c r="C101" s="131"/>
      <c r="D101" s="131"/>
      <c r="E101" s="131"/>
      <c r="F101" s="132"/>
      <c r="G101" s="131"/>
      <c r="H101" s="131"/>
      <c r="I101" s="131"/>
      <c r="J101" s="131"/>
      <c r="K101" s="131"/>
      <c r="L101" s="131"/>
      <c r="M101" s="131"/>
      <c r="N101" s="131"/>
      <c r="O101" s="131"/>
      <c r="P101" s="131"/>
      <c r="Q101" s="133"/>
      <c r="S101" s="84"/>
      <c r="T101" s="133"/>
      <c r="U101" s="133"/>
      <c r="V101" s="133"/>
      <c r="W101" s="133"/>
      <c r="X101" s="133"/>
      <c r="Y101" s="133"/>
      <c r="Z101" s="133"/>
    </row>
    <row r="102" spans="1:26" ht="12.75" customHeight="1" x14ac:dyDescent="0.3">
      <c r="A102" s="131"/>
      <c r="B102" s="131"/>
      <c r="C102" s="131"/>
      <c r="D102" s="131"/>
      <c r="E102" s="131"/>
      <c r="F102" s="132"/>
      <c r="G102" s="131"/>
      <c r="H102" s="131"/>
      <c r="I102" s="131"/>
      <c r="J102" s="131"/>
      <c r="K102" s="131"/>
      <c r="L102" s="131"/>
      <c r="M102" s="131"/>
      <c r="N102" s="131"/>
      <c r="O102" s="131"/>
      <c r="P102" s="131"/>
      <c r="Q102" s="133"/>
      <c r="S102" s="84"/>
      <c r="T102" s="133"/>
      <c r="U102" s="133"/>
      <c r="V102" s="133"/>
      <c r="W102" s="133"/>
      <c r="X102" s="133"/>
      <c r="Y102" s="133"/>
      <c r="Z102" s="133"/>
    </row>
    <row r="103" spans="1:26" ht="12.75" customHeight="1" x14ac:dyDescent="0.3">
      <c r="A103" s="131"/>
      <c r="B103" s="131"/>
      <c r="C103" s="131"/>
      <c r="D103" s="131"/>
      <c r="E103" s="131"/>
      <c r="F103" s="132"/>
      <c r="G103" s="131"/>
      <c r="H103" s="131"/>
      <c r="I103" s="131"/>
      <c r="J103" s="131"/>
      <c r="K103" s="131"/>
      <c r="L103" s="131"/>
      <c r="M103" s="131"/>
      <c r="N103" s="131"/>
      <c r="O103" s="131"/>
      <c r="P103" s="131"/>
      <c r="Q103" s="133"/>
      <c r="S103" s="84"/>
      <c r="T103" s="133"/>
      <c r="U103" s="133"/>
      <c r="V103" s="133"/>
      <c r="W103" s="133"/>
      <c r="X103" s="133"/>
      <c r="Y103" s="133"/>
      <c r="Z103" s="133"/>
    </row>
    <row r="104" spans="1:26" ht="12.75" customHeight="1" x14ac:dyDescent="0.3">
      <c r="A104" s="131"/>
      <c r="B104" s="131"/>
      <c r="C104" s="131"/>
      <c r="D104" s="131"/>
      <c r="E104" s="131"/>
      <c r="F104" s="132"/>
      <c r="G104" s="131"/>
      <c r="H104" s="131"/>
      <c r="I104" s="131"/>
      <c r="J104" s="131"/>
      <c r="K104" s="131"/>
      <c r="L104" s="131"/>
      <c r="M104" s="131"/>
      <c r="N104" s="131"/>
      <c r="O104" s="131"/>
      <c r="P104" s="131"/>
      <c r="Q104" s="133"/>
      <c r="S104" s="84"/>
      <c r="T104" s="133"/>
      <c r="U104" s="133"/>
      <c r="V104" s="133"/>
      <c r="W104" s="133"/>
      <c r="X104" s="133"/>
      <c r="Y104" s="133"/>
      <c r="Z104" s="133"/>
    </row>
    <row r="105" spans="1:26" ht="12.75" customHeight="1" x14ac:dyDescent="0.3">
      <c r="A105" s="131"/>
      <c r="B105" s="131"/>
      <c r="C105" s="131"/>
      <c r="D105" s="131"/>
      <c r="E105" s="131"/>
      <c r="F105" s="132"/>
      <c r="G105" s="131"/>
      <c r="H105" s="131"/>
      <c r="I105" s="131"/>
      <c r="J105" s="131"/>
      <c r="K105" s="131"/>
      <c r="L105" s="131"/>
      <c r="M105" s="131"/>
      <c r="N105" s="131"/>
      <c r="O105" s="131"/>
      <c r="P105" s="131"/>
      <c r="Q105" s="133"/>
      <c r="S105" s="84"/>
      <c r="T105" s="133"/>
      <c r="U105" s="133"/>
      <c r="V105" s="133"/>
      <c r="W105" s="133"/>
      <c r="X105" s="133"/>
      <c r="Y105" s="133"/>
      <c r="Z105" s="133"/>
    </row>
    <row r="106" spans="1:26" ht="12.75" customHeight="1" x14ac:dyDescent="0.3">
      <c r="A106" s="131"/>
      <c r="B106" s="131"/>
      <c r="C106" s="131"/>
      <c r="D106" s="131"/>
      <c r="E106" s="131"/>
      <c r="F106" s="132"/>
      <c r="G106" s="131"/>
      <c r="H106" s="131"/>
      <c r="I106" s="131"/>
      <c r="J106" s="131"/>
      <c r="K106" s="131"/>
      <c r="L106" s="131"/>
      <c r="M106" s="131"/>
      <c r="N106" s="131"/>
      <c r="O106" s="131"/>
      <c r="P106" s="131"/>
      <c r="Q106" s="133"/>
      <c r="S106" s="84"/>
      <c r="T106" s="133"/>
      <c r="U106" s="133"/>
      <c r="V106" s="133"/>
      <c r="W106" s="133"/>
      <c r="X106" s="133"/>
      <c r="Y106" s="133"/>
      <c r="Z106" s="133"/>
    </row>
    <row r="107" spans="1:26" ht="12.75" customHeight="1" x14ac:dyDescent="0.3">
      <c r="A107" s="131"/>
      <c r="B107" s="131"/>
      <c r="C107" s="131"/>
      <c r="D107" s="131"/>
      <c r="E107" s="131"/>
      <c r="F107" s="132"/>
      <c r="G107" s="131"/>
      <c r="H107" s="131"/>
      <c r="I107" s="131"/>
      <c r="J107" s="131"/>
      <c r="K107" s="131"/>
      <c r="L107" s="131"/>
      <c r="M107" s="131"/>
      <c r="N107" s="131"/>
      <c r="O107" s="131"/>
      <c r="P107" s="131"/>
      <c r="Q107" s="133"/>
      <c r="S107" s="84"/>
      <c r="T107" s="133"/>
      <c r="U107" s="133"/>
      <c r="V107" s="133"/>
      <c r="W107" s="133"/>
      <c r="X107" s="133"/>
      <c r="Y107" s="133"/>
      <c r="Z107" s="133"/>
    </row>
    <row r="108" spans="1:26" ht="12.75" customHeight="1" x14ac:dyDescent="0.3">
      <c r="A108" s="131"/>
      <c r="B108" s="131"/>
      <c r="C108" s="131"/>
      <c r="D108" s="131"/>
      <c r="E108" s="131"/>
      <c r="F108" s="132"/>
      <c r="G108" s="131"/>
      <c r="H108" s="131"/>
      <c r="I108" s="131"/>
      <c r="J108" s="131"/>
      <c r="K108" s="131"/>
      <c r="L108" s="131"/>
      <c r="M108" s="131"/>
      <c r="N108" s="131"/>
      <c r="O108" s="131"/>
      <c r="P108" s="131"/>
      <c r="Q108" s="133"/>
      <c r="S108" s="84"/>
      <c r="T108" s="133"/>
      <c r="U108" s="133"/>
      <c r="V108" s="133"/>
      <c r="W108" s="133"/>
      <c r="X108" s="133"/>
      <c r="Y108" s="133"/>
      <c r="Z108" s="133"/>
    </row>
    <row r="109" spans="1:26" ht="12.75" customHeight="1" x14ac:dyDescent="0.3">
      <c r="A109" s="131"/>
      <c r="B109" s="131"/>
      <c r="C109" s="131"/>
      <c r="D109" s="131"/>
      <c r="E109" s="131"/>
      <c r="F109" s="132"/>
      <c r="G109" s="131"/>
      <c r="H109" s="131"/>
      <c r="I109" s="131"/>
      <c r="J109" s="131"/>
      <c r="K109" s="131"/>
      <c r="L109" s="131"/>
      <c r="M109" s="131"/>
      <c r="N109" s="131"/>
      <c r="O109" s="131"/>
      <c r="P109" s="131"/>
      <c r="Q109" s="133"/>
      <c r="S109" s="84"/>
      <c r="T109" s="133"/>
      <c r="U109" s="133"/>
      <c r="V109" s="133"/>
      <c r="W109" s="133"/>
      <c r="X109" s="133"/>
      <c r="Y109" s="133"/>
      <c r="Z109" s="133"/>
    </row>
    <row r="110" spans="1:26" ht="12.75" customHeight="1" x14ac:dyDescent="0.3">
      <c r="A110" s="131"/>
      <c r="B110" s="131"/>
      <c r="C110" s="131"/>
      <c r="D110" s="131"/>
      <c r="E110" s="131"/>
      <c r="F110" s="132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3"/>
      <c r="S110" s="84"/>
      <c r="T110" s="133"/>
      <c r="U110" s="133"/>
      <c r="V110" s="133"/>
      <c r="W110" s="133"/>
      <c r="X110" s="133"/>
      <c r="Y110" s="133"/>
      <c r="Z110" s="133"/>
    </row>
    <row r="111" spans="1:26" ht="12.75" customHeight="1" x14ac:dyDescent="0.3">
      <c r="A111" s="131"/>
      <c r="B111" s="131"/>
      <c r="C111" s="131"/>
      <c r="D111" s="131"/>
      <c r="E111" s="131"/>
      <c r="F111" s="132"/>
      <c r="G111" s="131"/>
      <c r="H111" s="131"/>
      <c r="I111" s="131"/>
      <c r="J111" s="131"/>
      <c r="K111" s="131"/>
      <c r="L111" s="131"/>
      <c r="M111" s="131"/>
      <c r="N111" s="131"/>
      <c r="O111" s="131"/>
      <c r="P111" s="131"/>
      <c r="Q111" s="133"/>
      <c r="S111" s="84"/>
      <c r="T111" s="133"/>
      <c r="U111" s="133"/>
      <c r="V111" s="133"/>
      <c r="W111" s="133"/>
      <c r="X111" s="133"/>
      <c r="Y111" s="133"/>
      <c r="Z111" s="133"/>
    </row>
    <row r="112" spans="1:26" ht="12.75" customHeight="1" x14ac:dyDescent="0.3">
      <c r="A112" s="131"/>
      <c r="B112" s="131"/>
      <c r="C112" s="131"/>
      <c r="D112" s="131"/>
      <c r="E112" s="131"/>
      <c r="F112" s="132"/>
      <c r="G112" s="131"/>
      <c r="H112" s="131"/>
      <c r="I112" s="131"/>
      <c r="J112" s="131"/>
      <c r="K112" s="131"/>
      <c r="L112" s="131"/>
      <c r="M112" s="131"/>
      <c r="N112" s="131"/>
      <c r="O112" s="131"/>
      <c r="P112" s="131"/>
      <c r="Q112" s="133"/>
      <c r="S112" s="84"/>
      <c r="T112" s="133"/>
      <c r="U112" s="133"/>
      <c r="V112" s="133"/>
      <c r="W112" s="133"/>
      <c r="X112" s="133"/>
      <c r="Y112" s="133"/>
      <c r="Z112" s="133"/>
    </row>
    <row r="113" spans="1:26" ht="12.75" customHeight="1" x14ac:dyDescent="0.3">
      <c r="A113" s="131"/>
      <c r="B113" s="131"/>
      <c r="C113" s="131"/>
      <c r="D113" s="131"/>
      <c r="E113" s="131"/>
      <c r="F113" s="132"/>
      <c r="G113" s="131"/>
      <c r="H113" s="131"/>
      <c r="I113" s="131"/>
      <c r="J113" s="131"/>
      <c r="K113" s="131"/>
      <c r="L113" s="131"/>
      <c r="M113" s="131"/>
      <c r="N113" s="131"/>
      <c r="O113" s="131"/>
      <c r="P113" s="131"/>
      <c r="Q113" s="133"/>
      <c r="S113" s="84"/>
      <c r="T113" s="133"/>
      <c r="U113" s="133"/>
      <c r="V113" s="133"/>
      <c r="W113" s="133"/>
      <c r="X113" s="133"/>
      <c r="Y113" s="133"/>
      <c r="Z113" s="133"/>
    </row>
    <row r="114" spans="1:26" ht="12.75" customHeight="1" x14ac:dyDescent="0.3">
      <c r="A114" s="131"/>
      <c r="B114" s="131"/>
      <c r="C114" s="131"/>
      <c r="D114" s="131"/>
      <c r="E114" s="131"/>
      <c r="F114" s="132"/>
      <c r="G114" s="131"/>
      <c r="H114" s="131"/>
      <c r="I114" s="131"/>
      <c r="J114" s="131"/>
      <c r="K114" s="131"/>
      <c r="L114" s="131"/>
      <c r="M114" s="131"/>
      <c r="N114" s="131"/>
      <c r="O114" s="131"/>
      <c r="P114" s="131"/>
      <c r="Q114" s="133"/>
      <c r="S114" s="84"/>
      <c r="T114" s="133"/>
      <c r="U114" s="133"/>
      <c r="V114" s="133"/>
      <c r="W114" s="133"/>
      <c r="X114" s="133"/>
      <c r="Y114" s="133"/>
      <c r="Z114" s="133"/>
    </row>
    <row r="115" spans="1:26" ht="12.75" customHeight="1" x14ac:dyDescent="0.3">
      <c r="A115" s="131"/>
      <c r="B115" s="131"/>
      <c r="C115" s="131"/>
      <c r="D115" s="131"/>
      <c r="E115" s="131"/>
      <c r="F115" s="132"/>
      <c r="G115" s="131"/>
      <c r="H115" s="131"/>
      <c r="I115" s="131"/>
      <c r="J115" s="131"/>
      <c r="K115" s="131"/>
      <c r="L115" s="131"/>
      <c r="M115" s="131"/>
      <c r="N115" s="131"/>
      <c r="O115" s="131"/>
      <c r="P115" s="131"/>
      <c r="Q115" s="133"/>
      <c r="S115" s="84"/>
      <c r="T115" s="133"/>
      <c r="U115" s="133"/>
      <c r="V115" s="133"/>
      <c r="W115" s="133"/>
      <c r="X115" s="133"/>
      <c r="Y115" s="133"/>
      <c r="Z115" s="133"/>
    </row>
    <row r="116" spans="1:26" ht="12.75" customHeight="1" x14ac:dyDescent="0.3">
      <c r="A116" s="131"/>
      <c r="B116" s="131"/>
      <c r="C116" s="131"/>
      <c r="D116" s="131"/>
      <c r="E116" s="131"/>
      <c r="F116" s="132"/>
      <c r="G116" s="131"/>
      <c r="H116" s="131"/>
      <c r="I116" s="131"/>
      <c r="J116" s="131"/>
      <c r="K116" s="131"/>
      <c r="L116" s="131"/>
      <c r="M116" s="131"/>
      <c r="N116" s="131"/>
      <c r="O116" s="131"/>
      <c r="P116" s="131"/>
      <c r="Q116" s="133"/>
      <c r="S116" s="84"/>
      <c r="T116" s="133"/>
      <c r="U116" s="133"/>
      <c r="V116" s="133"/>
      <c r="W116" s="133"/>
      <c r="X116" s="133"/>
      <c r="Y116" s="133"/>
      <c r="Z116" s="133"/>
    </row>
    <row r="117" spans="1:26" ht="12.75" customHeight="1" x14ac:dyDescent="0.3">
      <c r="A117" s="131"/>
      <c r="B117" s="131"/>
      <c r="C117" s="131"/>
      <c r="D117" s="131"/>
      <c r="E117" s="131"/>
      <c r="F117" s="132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3"/>
      <c r="S117" s="84"/>
      <c r="T117" s="133"/>
      <c r="U117" s="133"/>
      <c r="V117" s="133"/>
      <c r="W117" s="133"/>
      <c r="X117" s="133"/>
      <c r="Y117" s="133"/>
      <c r="Z117" s="133"/>
    </row>
    <row r="118" spans="1:26" ht="12.75" customHeight="1" x14ac:dyDescent="0.3">
      <c r="A118" s="131"/>
      <c r="B118" s="131"/>
      <c r="C118" s="131"/>
      <c r="D118" s="131"/>
      <c r="E118" s="131"/>
      <c r="F118" s="132"/>
      <c r="G118" s="131"/>
      <c r="H118" s="131"/>
      <c r="I118" s="131"/>
      <c r="J118" s="131"/>
      <c r="K118" s="131"/>
      <c r="L118" s="131"/>
      <c r="M118" s="131"/>
      <c r="N118" s="131"/>
      <c r="O118" s="131"/>
      <c r="P118" s="131"/>
      <c r="Q118" s="133"/>
      <c r="S118" s="84"/>
      <c r="T118" s="133"/>
      <c r="U118" s="133"/>
      <c r="V118" s="133"/>
      <c r="W118" s="133"/>
      <c r="X118" s="133"/>
      <c r="Y118" s="133"/>
      <c r="Z118" s="133"/>
    </row>
    <row r="119" spans="1:26" ht="12.75" customHeight="1" x14ac:dyDescent="0.3">
      <c r="A119" s="131"/>
      <c r="B119" s="131"/>
      <c r="C119" s="131"/>
      <c r="D119" s="131"/>
      <c r="E119" s="131"/>
      <c r="F119" s="132"/>
      <c r="G119" s="131"/>
      <c r="H119" s="131"/>
      <c r="I119" s="131"/>
      <c r="J119" s="131"/>
      <c r="K119" s="131"/>
      <c r="L119" s="131"/>
      <c r="M119" s="131"/>
      <c r="N119" s="131"/>
      <c r="O119" s="131"/>
      <c r="P119" s="131"/>
      <c r="Q119" s="133"/>
      <c r="S119" s="84"/>
      <c r="T119" s="133"/>
      <c r="U119" s="133"/>
      <c r="V119" s="133"/>
      <c r="W119" s="133"/>
      <c r="X119" s="133"/>
      <c r="Y119" s="133"/>
      <c r="Z119" s="133"/>
    </row>
    <row r="120" spans="1:26" ht="12.75" customHeight="1" x14ac:dyDescent="0.3">
      <c r="A120" s="131"/>
      <c r="B120" s="131"/>
      <c r="C120" s="131"/>
      <c r="D120" s="131"/>
      <c r="E120" s="131"/>
      <c r="F120" s="132"/>
      <c r="G120" s="131"/>
      <c r="H120" s="131"/>
      <c r="I120" s="131"/>
      <c r="J120" s="131"/>
      <c r="K120" s="131"/>
      <c r="L120" s="131"/>
      <c r="M120" s="131"/>
      <c r="N120" s="131"/>
      <c r="O120" s="131"/>
      <c r="P120" s="131"/>
      <c r="Q120" s="133"/>
      <c r="S120" s="84"/>
      <c r="T120" s="133"/>
      <c r="U120" s="133"/>
      <c r="V120" s="133"/>
      <c r="W120" s="133"/>
      <c r="X120" s="133"/>
      <c r="Y120" s="133"/>
      <c r="Z120" s="133"/>
    </row>
    <row r="121" spans="1:26" ht="12.75" customHeight="1" x14ac:dyDescent="0.3">
      <c r="A121" s="131"/>
      <c r="B121" s="131"/>
      <c r="C121" s="131"/>
      <c r="D121" s="131"/>
      <c r="E121" s="131"/>
      <c r="F121" s="132"/>
      <c r="G121" s="131"/>
      <c r="H121" s="131"/>
      <c r="I121" s="131"/>
      <c r="J121" s="131"/>
      <c r="K121" s="131"/>
      <c r="L121" s="131"/>
      <c r="M121" s="131"/>
      <c r="N121" s="131"/>
      <c r="O121" s="131"/>
      <c r="P121" s="131"/>
      <c r="Q121" s="133"/>
      <c r="S121" s="84"/>
      <c r="T121" s="133"/>
      <c r="U121" s="133"/>
      <c r="V121" s="133"/>
      <c r="W121" s="133"/>
      <c r="X121" s="133"/>
      <c r="Y121" s="133"/>
      <c r="Z121" s="133"/>
    </row>
    <row r="122" spans="1:26" ht="12.75" customHeight="1" x14ac:dyDescent="0.3">
      <c r="A122" s="131"/>
      <c r="B122" s="131"/>
      <c r="C122" s="131"/>
      <c r="D122" s="131"/>
      <c r="E122" s="131"/>
      <c r="F122" s="132"/>
      <c r="G122" s="131"/>
      <c r="H122" s="131"/>
      <c r="I122" s="131"/>
      <c r="J122" s="131"/>
      <c r="K122" s="131"/>
      <c r="L122" s="131"/>
      <c r="M122" s="131"/>
      <c r="N122" s="131"/>
      <c r="O122" s="131"/>
      <c r="P122" s="131"/>
      <c r="Q122" s="133"/>
      <c r="S122" s="84"/>
      <c r="T122" s="133"/>
      <c r="U122" s="133"/>
      <c r="V122" s="133"/>
      <c r="W122" s="133"/>
      <c r="X122" s="133"/>
      <c r="Y122" s="133"/>
      <c r="Z122" s="133"/>
    </row>
    <row r="123" spans="1:26" ht="12.75" customHeight="1" x14ac:dyDescent="0.3">
      <c r="A123" s="131"/>
      <c r="B123" s="131"/>
      <c r="C123" s="131"/>
      <c r="D123" s="131"/>
      <c r="E123" s="131"/>
      <c r="F123" s="132"/>
      <c r="G123" s="131"/>
      <c r="H123" s="131"/>
      <c r="I123" s="131"/>
      <c r="J123" s="131"/>
      <c r="K123" s="131"/>
      <c r="L123" s="131"/>
      <c r="M123" s="131"/>
      <c r="N123" s="131"/>
      <c r="O123" s="131"/>
      <c r="P123" s="131"/>
      <c r="Q123" s="133"/>
      <c r="S123" s="84"/>
      <c r="T123" s="133"/>
      <c r="U123" s="133"/>
      <c r="V123" s="133"/>
      <c r="W123" s="133"/>
      <c r="X123" s="133"/>
      <c r="Y123" s="133"/>
      <c r="Z123" s="133"/>
    </row>
    <row r="124" spans="1:26" ht="12.75" customHeight="1" x14ac:dyDescent="0.3">
      <c r="A124" s="131"/>
      <c r="B124" s="131"/>
      <c r="C124" s="131"/>
      <c r="D124" s="131"/>
      <c r="E124" s="131"/>
      <c r="F124" s="132"/>
      <c r="G124" s="131"/>
      <c r="H124" s="131"/>
      <c r="I124" s="131"/>
      <c r="J124" s="131"/>
      <c r="K124" s="131"/>
      <c r="L124" s="131"/>
      <c r="M124" s="131"/>
      <c r="N124" s="131"/>
      <c r="O124" s="131"/>
      <c r="P124" s="131"/>
      <c r="Q124" s="133"/>
      <c r="S124" s="84"/>
      <c r="T124" s="133"/>
      <c r="U124" s="133"/>
      <c r="V124" s="133"/>
      <c r="W124" s="133"/>
      <c r="X124" s="133"/>
      <c r="Y124" s="133"/>
      <c r="Z124" s="133"/>
    </row>
    <row r="125" spans="1:26" ht="12.75" customHeight="1" x14ac:dyDescent="0.3">
      <c r="A125" s="131"/>
      <c r="B125" s="131"/>
      <c r="C125" s="131"/>
      <c r="D125" s="131"/>
      <c r="E125" s="131"/>
      <c r="F125" s="132"/>
      <c r="G125" s="131"/>
      <c r="H125" s="131"/>
      <c r="I125" s="131"/>
      <c r="J125" s="131"/>
      <c r="K125" s="131"/>
      <c r="L125" s="131"/>
      <c r="M125" s="131"/>
      <c r="N125" s="131"/>
      <c r="O125" s="131"/>
      <c r="P125" s="131"/>
      <c r="Q125" s="133"/>
      <c r="S125" s="84"/>
      <c r="T125" s="133"/>
      <c r="U125" s="133"/>
      <c r="V125" s="133"/>
      <c r="W125" s="133"/>
      <c r="X125" s="133"/>
      <c r="Y125" s="133"/>
      <c r="Z125" s="133"/>
    </row>
    <row r="126" spans="1:26" ht="12.75" customHeight="1" x14ac:dyDescent="0.3">
      <c r="A126" s="131"/>
      <c r="B126" s="131"/>
      <c r="C126" s="131"/>
      <c r="D126" s="131"/>
      <c r="E126" s="131"/>
      <c r="F126" s="132"/>
      <c r="G126" s="131"/>
      <c r="H126" s="131"/>
      <c r="I126" s="131"/>
      <c r="J126" s="131"/>
      <c r="K126" s="131"/>
      <c r="L126" s="131"/>
      <c r="M126" s="131"/>
      <c r="N126" s="131"/>
      <c r="O126" s="131"/>
      <c r="P126" s="131"/>
      <c r="Q126" s="133"/>
      <c r="S126" s="84"/>
      <c r="T126" s="133"/>
      <c r="U126" s="133"/>
      <c r="V126" s="133"/>
      <c r="W126" s="133"/>
      <c r="X126" s="133"/>
      <c r="Y126" s="133"/>
      <c r="Z126" s="133"/>
    </row>
    <row r="127" spans="1:26" ht="12.75" customHeight="1" x14ac:dyDescent="0.3">
      <c r="A127" s="131"/>
      <c r="B127" s="131"/>
      <c r="C127" s="131"/>
      <c r="D127" s="131"/>
      <c r="E127" s="131"/>
      <c r="F127" s="132"/>
      <c r="G127" s="131"/>
      <c r="H127" s="131"/>
      <c r="I127" s="131"/>
      <c r="J127" s="131"/>
      <c r="K127" s="131"/>
      <c r="L127" s="131"/>
      <c r="M127" s="131"/>
      <c r="N127" s="131"/>
      <c r="O127" s="131"/>
      <c r="P127" s="131"/>
      <c r="Q127" s="133"/>
      <c r="S127" s="84"/>
      <c r="T127" s="133"/>
      <c r="U127" s="133"/>
      <c r="V127" s="133"/>
      <c r="W127" s="133"/>
      <c r="X127" s="133"/>
      <c r="Y127" s="133"/>
      <c r="Z127" s="133"/>
    </row>
    <row r="128" spans="1:26" ht="12.75" customHeight="1" x14ac:dyDescent="0.3">
      <c r="A128" s="131"/>
      <c r="B128" s="131"/>
      <c r="C128" s="131"/>
      <c r="D128" s="131"/>
      <c r="E128" s="131"/>
      <c r="F128" s="132"/>
      <c r="G128" s="131"/>
      <c r="H128" s="131"/>
      <c r="I128" s="131"/>
      <c r="J128" s="131"/>
      <c r="K128" s="131"/>
      <c r="L128" s="131"/>
      <c r="M128" s="131"/>
      <c r="N128" s="131"/>
      <c r="O128" s="131"/>
      <c r="P128" s="131"/>
      <c r="Q128" s="133"/>
      <c r="S128" s="84"/>
      <c r="T128" s="133"/>
      <c r="U128" s="133"/>
      <c r="V128" s="133"/>
      <c r="W128" s="133"/>
      <c r="X128" s="133"/>
      <c r="Y128" s="133"/>
      <c r="Z128" s="133"/>
    </row>
    <row r="129" spans="1:26" ht="12.75" customHeight="1" x14ac:dyDescent="0.3">
      <c r="A129" s="131"/>
      <c r="B129" s="131"/>
      <c r="C129" s="131"/>
      <c r="D129" s="131"/>
      <c r="E129" s="131"/>
      <c r="F129" s="132"/>
      <c r="G129" s="131"/>
      <c r="H129" s="131"/>
      <c r="I129" s="131"/>
      <c r="J129" s="131"/>
      <c r="K129" s="131"/>
      <c r="L129" s="131"/>
      <c r="M129" s="131"/>
      <c r="N129" s="131"/>
      <c r="O129" s="131"/>
      <c r="P129" s="131"/>
      <c r="Q129" s="133"/>
      <c r="S129" s="84"/>
      <c r="T129" s="133"/>
      <c r="U129" s="133"/>
      <c r="V129" s="133"/>
      <c r="W129" s="133"/>
      <c r="X129" s="133"/>
      <c r="Y129" s="133"/>
      <c r="Z129" s="133"/>
    </row>
    <row r="130" spans="1:26" ht="12.75" customHeight="1" x14ac:dyDescent="0.3">
      <c r="A130" s="131"/>
      <c r="B130" s="131"/>
      <c r="C130" s="131"/>
      <c r="D130" s="131"/>
      <c r="E130" s="131"/>
      <c r="F130" s="132"/>
      <c r="G130" s="131"/>
      <c r="H130" s="131"/>
      <c r="I130" s="131"/>
      <c r="J130" s="131"/>
      <c r="K130" s="131"/>
      <c r="L130" s="131"/>
      <c r="M130" s="131"/>
      <c r="N130" s="131"/>
      <c r="O130" s="131"/>
      <c r="P130" s="131"/>
      <c r="Q130" s="133"/>
      <c r="S130" s="84"/>
      <c r="T130" s="133"/>
      <c r="U130" s="133"/>
      <c r="V130" s="133"/>
      <c r="W130" s="133"/>
      <c r="X130" s="133"/>
      <c r="Y130" s="133"/>
      <c r="Z130" s="133"/>
    </row>
    <row r="131" spans="1:26" ht="12.75" customHeight="1" x14ac:dyDescent="0.3">
      <c r="A131" s="131"/>
      <c r="B131" s="131"/>
      <c r="C131" s="131"/>
      <c r="D131" s="131"/>
      <c r="E131" s="131"/>
      <c r="F131" s="132"/>
      <c r="G131" s="131"/>
      <c r="H131" s="131"/>
      <c r="I131" s="131"/>
      <c r="J131" s="131"/>
      <c r="K131" s="131"/>
      <c r="L131" s="131"/>
      <c r="M131" s="131"/>
      <c r="N131" s="131"/>
      <c r="O131" s="131"/>
      <c r="P131" s="131"/>
      <c r="Q131" s="133"/>
      <c r="S131" s="84"/>
      <c r="T131" s="133"/>
      <c r="U131" s="133"/>
      <c r="V131" s="133"/>
      <c r="W131" s="133"/>
      <c r="X131" s="133"/>
      <c r="Y131" s="133"/>
      <c r="Z131" s="133"/>
    </row>
    <row r="132" spans="1:26" ht="12.75" customHeight="1" x14ac:dyDescent="0.3">
      <c r="A132" s="131"/>
      <c r="B132" s="131"/>
      <c r="C132" s="131"/>
      <c r="D132" s="131"/>
      <c r="E132" s="131"/>
      <c r="F132" s="132"/>
      <c r="G132" s="131"/>
      <c r="H132" s="131"/>
      <c r="I132" s="131"/>
      <c r="J132" s="131"/>
      <c r="K132" s="131"/>
      <c r="L132" s="131"/>
      <c r="M132" s="131"/>
      <c r="N132" s="131"/>
      <c r="O132" s="131"/>
      <c r="P132" s="131"/>
      <c r="Q132" s="133"/>
      <c r="S132" s="84"/>
      <c r="T132" s="133"/>
      <c r="U132" s="133"/>
      <c r="V132" s="133"/>
      <c r="W132" s="133"/>
      <c r="X132" s="133"/>
      <c r="Y132" s="133"/>
      <c r="Z132" s="133"/>
    </row>
    <row r="133" spans="1:26" ht="12.75" customHeight="1" x14ac:dyDescent="0.3">
      <c r="A133" s="131"/>
      <c r="B133" s="131"/>
      <c r="C133" s="131"/>
      <c r="D133" s="131"/>
      <c r="E133" s="131"/>
      <c r="F133" s="132"/>
      <c r="G133" s="131"/>
      <c r="H133" s="131"/>
      <c r="I133" s="131"/>
      <c r="J133" s="131"/>
      <c r="K133" s="131"/>
      <c r="L133" s="131"/>
      <c r="M133" s="131"/>
      <c r="N133" s="131"/>
      <c r="O133" s="131"/>
      <c r="P133" s="131"/>
      <c r="Q133" s="133"/>
      <c r="S133" s="84"/>
      <c r="T133" s="133"/>
      <c r="U133" s="133"/>
      <c r="V133" s="133"/>
      <c r="W133" s="133"/>
      <c r="X133" s="133"/>
      <c r="Y133" s="133"/>
      <c r="Z133" s="133"/>
    </row>
    <row r="134" spans="1:26" ht="12.75" customHeight="1" x14ac:dyDescent="0.3">
      <c r="A134" s="131"/>
      <c r="B134" s="131"/>
      <c r="C134" s="131"/>
      <c r="D134" s="131"/>
      <c r="E134" s="131"/>
      <c r="F134" s="132"/>
      <c r="G134" s="131"/>
      <c r="H134" s="131"/>
      <c r="I134" s="131"/>
      <c r="J134" s="131"/>
      <c r="K134" s="131"/>
      <c r="L134" s="131"/>
      <c r="M134" s="131"/>
      <c r="N134" s="131"/>
      <c r="O134" s="131"/>
      <c r="P134" s="131"/>
      <c r="Q134" s="133"/>
      <c r="S134" s="84"/>
      <c r="T134" s="133"/>
      <c r="U134" s="133"/>
      <c r="V134" s="133"/>
      <c r="W134" s="133"/>
      <c r="X134" s="133"/>
      <c r="Y134" s="133"/>
      <c r="Z134" s="133"/>
    </row>
    <row r="135" spans="1:26" ht="12.75" customHeight="1" x14ac:dyDescent="0.3">
      <c r="A135" s="131"/>
      <c r="B135" s="131"/>
      <c r="C135" s="131"/>
      <c r="D135" s="131"/>
      <c r="E135" s="131"/>
      <c r="F135" s="132"/>
      <c r="G135" s="131"/>
      <c r="H135" s="131"/>
      <c r="I135" s="131"/>
      <c r="J135" s="131"/>
      <c r="K135" s="131"/>
      <c r="L135" s="131"/>
      <c r="M135" s="131"/>
      <c r="N135" s="131"/>
      <c r="O135" s="131"/>
      <c r="P135" s="131"/>
      <c r="Q135" s="133"/>
      <c r="S135" s="84"/>
      <c r="T135" s="133"/>
      <c r="U135" s="133"/>
      <c r="V135" s="133"/>
      <c r="W135" s="133"/>
      <c r="X135" s="133"/>
      <c r="Y135" s="133"/>
      <c r="Z135" s="133"/>
    </row>
    <row r="136" spans="1:26" ht="12.75" customHeight="1" x14ac:dyDescent="0.3">
      <c r="A136" s="131"/>
      <c r="B136" s="131"/>
      <c r="C136" s="131"/>
      <c r="D136" s="131"/>
      <c r="E136" s="131"/>
      <c r="F136" s="132"/>
      <c r="G136" s="131"/>
      <c r="H136" s="131"/>
      <c r="I136" s="131"/>
      <c r="J136" s="131"/>
      <c r="K136" s="131"/>
      <c r="L136" s="131"/>
      <c r="M136" s="131"/>
      <c r="N136" s="131"/>
      <c r="O136" s="131"/>
      <c r="P136" s="131"/>
      <c r="Q136" s="133"/>
      <c r="S136" s="84"/>
      <c r="T136" s="133"/>
      <c r="U136" s="133"/>
      <c r="V136" s="133"/>
      <c r="W136" s="133"/>
      <c r="X136" s="133"/>
      <c r="Y136" s="133"/>
      <c r="Z136" s="133"/>
    </row>
    <row r="137" spans="1:26" ht="12.75" customHeight="1" x14ac:dyDescent="0.3">
      <c r="A137" s="131"/>
      <c r="B137" s="131"/>
      <c r="C137" s="131"/>
      <c r="D137" s="131"/>
      <c r="E137" s="131"/>
      <c r="F137" s="132"/>
      <c r="G137" s="131"/>
      <c r="H137" s="131"/>
      <c r="I137" s="131"/>
      <c r="J137" s="131"/>
      <c r="K137" s="131"/>
      <c r="L137" s="131"/>
      <c r="M137" s="131"/>
      <c r="N137" s="131"/>
      <c r="O137" s="131"/>
      <c r="P137" s="131"/>
      <c r="Q137" s="133"/>
      <c r="S137" s="84"/>
      <c r="T137" s="133"/>
      <c r="U137" s="133"/>
      <c r="V137" s="133"/>
      <c r="W137" s="133"/>
      <c r="X137" s="133"/>
      <c r="Y137" s="133"/>
      <c r="Z137" s="133"/>
    </row>
    <row r="138" spans="1:26" ht="12.75" customHeight="1" x14ac:dyDescent="0.3">
      <c r="A138" s="131"/>
      <c r="B138" s="131"/>
      <c r="C138" s="131"/>
      <c r="D138" s="131"/>
      <c r="E138" s="131"/>
      <c r="F138" s="132"/>
      <c r="G138" s="131"/>
      <c r="H138" s="131"/>
      <c r="I138" s="131"/>
      <c r="J138" s="131"/>
      <c r="K138" s="131"/>
      <c r="L138" s="131"/>
      <c r="M138" s="131"/>
      <c r="N138" s="131"/>
      <c r="O138" s="131"/>
      <c r="P138" s="131"/>
      <c r="Q138" s="133"/>
      <c r="S138" s="84"/>
      <c r="T138" s="133"/>
      <c r="U138" s="133"/>
      <c r="V138" s="133"/>
      <c r="W138" s="133"/>
      <c r="X138" s="133"/>
      <c r="Y138" s="133"/>
      <c r="Z138" s="133"/>
    </row>
    <row r="139" spans="1:26" ht="12.75" customHeight="1" x14ac:dyDescent="0.3">
      <c r="A139" s="131"/>
      <c r="B139" s="131"/>
      <c r="C139" s="131"/>
      <c r="D139" s="131"/>
      <c r="E139" s="131"/>
      <c r="F139" s="132"/>
      <c r="G139" s="131"/>
      <c r="H139" s="131"/>
      <c r="I139" s="131"/>
      <c r="J139" s="131"/>
      <c r="K139" s="131"/>
      <c r="L139" s="131"/>
      <c r="M139" s="131"/>
      <c r="N139" s="131"/>
      <c r="O139" s="131"/>
      <c r="P139" s="131"/>
      <c r="Q139" s="133"/>
      <c r="S139" s="84"/>
      <c r="T139" s="133"/>
      <c r="U139" s="133"/>
      <c r="V139" s="133"/>
      <c r="W139" s="133"/>
      <c r="X139" s="133"/>
      <c r="Y139" s="133"/>
      <c r="Z139" s="133"/>
    </row>
    <row r="140" spans="1:26" ht="12.75" customHeight="1" x14ac:dyDescent="0.3">
      <c r="A140" s="131"/>
      <c r="B140" s="131"/>
      <c r="C140" s="131"/>
      <c r="D140" s="131"/>
      <c r="E140" s="131"/>
      <c r="F140" s="132"/>
      <c r="G140" s="131"/>
      <c r="H140" s="131"/>
      <c r="I140" s="131"/>
      <c r="J140" s="131"/>
      <c r="K140" s="131"/>
      <c r="L140" s="131"/>
      <c r="M140" s="131"/>
      <c r="N140" s="131"/>
      <c r="O140" s="131"/>
      <c r="P140" s="131"/>
      <c r="Q140" s="133"/>
      <c r="S140" s="84"/>
      <c r="T140" s="133"/>
      <c r="U140" s="133"/>
      <c r="V140" s="133"/>
      <c r="W140" s="133"/>
      <c r="X140" s="133"/>
      <c r="Y140" s="133"/>
      <c r="Z140" s="133"/>
    </row>
    <row r="141" spans="1:26" ht="12.75" customHeight="1" x14ac:dyDescent="0.3">
      <c r="A141" s="131"/>
      <c r="B141" s="131"/>
      <c r="C141" s="131"/>
      <c r="D141" s="131"/>
      <c r="E141" s="131"/>
      <c r="F141" s="132"/>
      <c r="G141" s="131"/>
      <c r="H141" s="131"/>
      <c r="I141" s="131"/>
      <c r="J141" s="131"/>
      <c r="K141" s="131"/>
      <c r="L141" s="131"/>
      <c r="M141" s="131"/>
      <c r="N141" s="131"/>
      <c r="O141" s="131"/>
      <c r="P141" s="131"/>
      <c r="Q141" s="133"/>
      <c r="S141" s="84"/>
      <c r="T141" s="133"/>
      <c r="U141" s="133"/>
      <c r="V141" s="133"/>
      <c r="W141" s="133"/>
      <c r="X141" s="133"/>
      <c r="Y141" s="133"/>
      <c r="Z141" s="133"/>
    </row>
    <row r="142" spans="1:26" ht="12.75" customHeight="1" x14ac:dyDescent="0.3">
      <c r="A142" s="131"/>
      <c r="B142" s="131"/>
      <c r="C142" s="131"/>
      <c r="D142" s="131"/>
      <c r="E142" s="131"/>
      <c r="F142" s="132"/>
      <c r="G142" s="131"/>
      <c r="H142" s="131"/>
      <c r="I142" s="131"/>
      <c r="J142" s="131"/>
      <c r="K142" s="131"/>
      <c r="L142" s="131"/>
      <c r="M142" s="131"/>
      <c r="N142" s="131"/>
      <c r="O142" s="131"/>
      <c r="P142" s="131"/>
      <c r="Q142" s="133"/>
      <c r="S142" s="84"/>
      <c r="T142" s="133"/>
      <c r="U142" s="133"/>
      <c r="V142" s="133"/>
      <c r="W142" s="133"/>
      <c r="X142" s="133"/>
      <c r="Y142" s="133"/>
      <c r="Z142" s="133"/>
    </row>
    <row r="143" spans="1:26" ht="12.75" customHeight="1" x14ac:dyDescent="0.3">
      <c r="A143" s="131"/>
      <c r="B143" s="131"/>
      <c r="C143" s="131"/>
      <c r="D143" s="131"/>
      <c r="E143" s="131"/>
      <c r="F143" s="132"/>
      <c r="G143" s="131"/>
      <c r="H143" s="131"/>
      <c r="I143" s="131"/>
      <c r="J143" s="131"/>
      <c r="K143" s="131"/>
      <c r="L143" s="131"/>
      <c r="M143" s="131"/>
      <c r="N143" s="131"/>
      <c r="O143" s="131"/>
      <c r="P143" s="131"/>
      <c r="Q143" s="133"/>
      <c r="S143" s="84"/>
      <c r="T143" s="133"/>
      <c r="U143" s="133"/>
      <c r="V143" s="133"/>
      <c r="W143" s="133"/>
      <c r="X143" s="133"/>
      <c r="Y143" s="133"/>
      <c r="Z143" s="133"/>
    </row>
    <row r="144" spans="1:26" ht="12.75" customHeight="1" x14ac:dyDescent="0.3">
      <c r="A144" s="131"/>
      <c r="B144" s="131"/>
      <c r="C144" s="131"/>
      <c r="D144" s="131"/>
      <c r="E144" s="131"/>
      <c r="F144" s="132"/>
      <c r="G144" s="131"/>
      <c r="H144" s="131"/>
      <c r="I144" s="131"/>
      <c r="J144" s="131"/>
      <c r="K144" s="131"/>
      <c r="L144" s="131"/>
      <c r="M144" s="131"/>
      <c r="N144" s="131"/>
      <c r="O144" s="131"/>
      <c r="P144" s="131"/>
      <c r="Q144" s="133"/>
      <c r="S144" s="84"/>
      <c r="T144" s="133"/>
      <c r="U144" s="133"/>
      <c r="V144" s="133"/>
      <c r="W144" s="133"/>
      <c r="X144" s="133"/>
      <c r="Y144" s="133"/>
      <c r="Z144" s="133"/>
    </row>
    <row r="145" spans="1:26" ht="12.75" customHeight="1" x14ac:dyDescent="0.3">
      <c r="A145" s="131"/>
      <c r="B145" s="131"/>
      <c r="C145" s="131"/>
      <c r="D145" s="131"/>
      <c r="E145" s="131"/>
      <c r="F145" s="132"/>
      <c r="G145" s="131"/>
      <c r="H145" s="131"/>
      <c r="I145" s="131"/>
      <c r="J145" s="131"/>
      <c r="K145" s="131"/>
      <c r="L145" s="131"/>
      <c r="M145" s="131"/>
      <c r="N145" s="131"/>
      <c r="O145" s="131"/>
      <c r="P145" s="131"/>
      <c r="Q145" s="133"/>
      <c r="S145" s="84"/>
      <c r="T145" s="133"/>
      <c r="U145" s="133"/>
      <c r="V145" s="133"/>
      <c r="W145" s="133"/>
      <c r="X145" s="133"/>
      <c r="Y145" s="133"/>
      <c r="Z145" s="133"/>
    </row>
    <row r="146" spans="1:26" ht="12.75" customHeight="1" x14ac:dyDescent="0.3">
      <c r="A146" s="131"/>
      <c r="B146" s="131"/>
      <c r="C146" s="131"/>
      <c r="D146" s="131"/>
      <c r="E146" s="131"/>
      <c r="F146" s="132"/>
      <c r="G146" s="131"/>
      <c r="H146" s="131"/>
      <c r="I146" s="131"/>
      <c r="J146" s="131"/>
      <c r="K146" s="131"/>
      <c r="L146" s="131"/>
      <c r="M146" s="131"/>
      <c r="N146" s="131"/>
      <c r="O146" s="131"/>
      <c r="P146" s="131"/>
      <c r="Q146" s="133"/>
      <c r="S146" s="84"/>
      <c r="T146" s="133"/>
      <c r="U146" s="133"/>
      <c r="V146" s="133"/>
      <c r="W146" s="133"/>
      <c r="X146" s="133"/>
      <c r="Y146" s="133"/>
      <c r="Z146" s="133"/>
    </row>
    <row r="147" spans="1:26" ht="12.75" customHeight="1" x14ac:dyDescent="0.3">
      <c r="A147" s="131"/>
      <c r="B147" s="131"/>
      <c r="C147" s="131"/>
      <c r="D147" s="131"/>
      <c r="E147" s="131"/>
      <c r="F147" s="132"/>
      <c r="G147" s="131"/>
      <c r="H147" s="131"/>
      <c r="I147" s="131"/>
      <c r="J147" s="131"/>
      <c r="K147" s="131"/>
      <c r="L147" s="131"/>
      <c r="M147" s="131"/>
      <c r="N147" s="131"/>
      <c r="O147" s="131"/>
      <c r="P147" s="131"/>
      <c r="Q147" s="133"/>
      <c r="S147" s="84"/>
      <c r="T147" s="133"/>
      <c r="U147" s="133"/>
      <c r="V147" s="133"/>
      <c r="W147" s="133"/>
      <c r="X147" s="133"/>
      <c r="Y147" s="133"/>
      <c r="Z147" s="133"/>
    </row>
    <row r="148" spans="1:26" ht="12.75" customHeight="1" x14ac:dyDescent="0.3">
      <c r="A148" s="131"/>
      <c r="B148" s="131"/>
      <c r="C148" s="131"/>
      <c r="D148" s="131"/>
      <c r="E148" s="131"/>
      <c r="F148" s="132"/>
      <c r="G148" s="131"/>
      <c r="H148" s="131"/>
      <c r="I148" s="131"/>
      <c r="J148" s="131"/>
      <c r="K148" s="131"/>
      <c r="L148" s="131"/>
      <c r="M148" s="131"/>
      <c r="N148" s="131"/>
      <c r="O148" s="131"/>
      <c r="P148" s="131"/>
      <c r="Q148" s="133"/>
      <c r="S148" s="84"/>
      <c r="T148" s="133"/>
      <c r="U148" s="133"/>
      <c r="V148" s="133"/>
      <c r="W148" s="133"/>
      <c r="X148" s="133"/>
      <c r="Y148" s="133"/>
      <c r="Z148" s="133"/>
    </row>
    <row r="149" spans="1:26" ht="12.75" customHeight="1" x14ac:dyDescent="0.3">
      <c r="A149" s="131"/>
      <c r="B149" s="131"/>
      <c r="C149" s="131"/>
      <c r="D149" s="131"/>
      <c r="E149" s="131"/>
      <c r="F149" s="132"/>
      <c r="G149" s="131"/>
      <c r="H149" s="131"/>
      <c r="I149" s="131"/>
      <c r="J149" s="131"/>
      <c r="K149" s="131"/>
      <c r="L149" s="131"/>
      <c r="M149" s="131"/>
      <c r="N149" s="131"/>
      <c r="O149" s="131"/>
      <c r="P149" s="131"/>
      <c r="Q149" s="133"/>
      <c r="S149" s="84"/>
      <c r="T149" s="133"/>
      <c r="U149" s="133"/>
      <c r="V149" s="133"/>
      <c r="W149" s="133"/>
      <c r="X149" s="133"/>
      <c r="Y149" s="133"/>
      <c r="Z149" s="133"/>
    </row>
    <row r="150" spans="1:26" ht="12.75" customHeight="1" x14ac:dyDescent="0.3">
      <c r="A150" s="131"/>
      <c r="B150" s="131"/>
      <c r="C150" s="131"/>
      <c r="D150" s="131"/>
      <c r="E150" s="131"/>
      <c r="F150" s="132"/>
      <c r="G150" s="131"/>
      <c r="H150" s="131"/>
      <c r="I150" s="131"/>
      <c r="J150" s="131"/>
      <c r="K150" s="131"/>
      <c r="L150" s="131"/>
      <c r="M150" s="131"/>
      <c r="N150" s="131"/>
      <c r="O150" s="131"/>
      <c r="P150" s="131"/>
      <c r="Q150" s="133"/>
      <c r="S150" s="84"/>
      <c r="T150" s="133"/>
      <c r="U150" s="133"/>
      <c r="V150" s="133"/>
      <c r="W150" s="133"/>
      <c r="X150" s="133"/>
      <c r="Y150" s="133"/>
      <c r="Z150" s="133"/>
    </row>
    <row r="151" spans="1:26" ht="12.75" customHeight="1" x14ac:dyDescent="0.3">
      <c r="A151" s="131"/>
      <c r="B151" s="131"/>
      <c r="C151" s="131"/>
      <c r="D151" s="131"/>
      <c r="E151" s="131"/>
      <c r="F151" s="132"/>
      <c r="G151" s="131"/>
      <c r="H151" s="131"/>
      <c r="I151" s="131"/>
      <c r="J151" s="131"/>
      <c r="K151" s="131"/>
      <c r="L151" s="131"/>
      <c r="M151" s="131"/>
      <c r="N151" s="131"/>
      <c r="O151" s="131"/>
      <c r="P151" s="131"/>
      <c r="Q151" s="133"/>
      <c r="S151" s="84"/>
      <c r="T151" s="133"/>
      <c r="U151" s="133"/>
      <c r="V151" s="133"/>
      <c r="W151" s="133"/>
      <c r="X151" s="133"/>
      <c r="Y151" s="133"/>
      <c r="Z151" s="133"/>
    </row>
    <row r="152" spans="1:26" ht="12.75" customHeight="1" x14ac:dyDescent="0.3">
      <c r="A152" s="131"/>
      <c r="B152" s="131"/>
      <c r="C152" s="131"/>
      <c r="D152" s="131"/>
      <c r="E152" s="131"/>
      <c r="F152" s="132"/>
      <c r="G152" s="131"/>
      <c r="H152" s="131"/>
      <c r="I152" s="131"/>
      <c r="J152" s="131"/>
      <c r="K152" s="131"/>
      <c r="L152" s="131"/>
      <c r="M152" s="131"/>
      <c r="N152" s="131"/>
      <c r="O152" s="131"/>
      <c r="P152" s="131"/>
      <c r="Q152" s="133"/>
      <c r="S152" s="84"/>
      <c r="T152" s="133"/>
      <c r="U152" s="133"/>
      <c r="V152" s="133"/>
      <c r="W152" s="133"/>
      <c r="X152" s="133"/>
      <c r="Y152" s="133"/>
      <c r="Z152" s="133"/>
    </row>
    <row r="153" spans="1:26" ht="12.75" customHeight="1" x14ac:dyDescent="0.3">
      <c r="A153" s="131"/>
      <c r="B153" s="131"/>
      <c r="C153" s="131"/>
      <c r="D153" s="131"/>
      <c r="E153" s="131"/>
      <c r="F153" s="132"/>
      <c r="G153" s="131"/>
      <c r="H153" s="131"/>
      <c r="I153" s="131"/>
      <c r="J153" s="131"/>
      <c r="K153" s="131"/>
      <c r="L153" s="131"/>
      <c r="M153" s="131"/>
      <c r="N153" s="131"/>
      <c r="O153" s="131"/>
      <c r="P153" s="131"/>
      <c r="Q153" s="133"/>
      <c r="S153" s="84"/>
      <c r="T153" s="133"/>
      <c r="U153" s="133"/>
      <c r="V153" s="133"/>
      <c r="W153" s="133"/>
      <c r="X153" s="133"/>
      <c r="Y153" s="133"/>
      <c r="Z153" s="133"/>
    </row>
    <row r="154" spans="1:26" ht="12.75" customHeight="1" x14ac:dyDescent="0.3">
      <c r="A154" s="131"/>
      <c r="B154" s="131"/>
      <c r="C154" s="131"/>
      <c r="D154" s="131"/>
      <c r="E154" s="131"/>
      <c r="F154" s="132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3"/>
      <c r="S154" s="84"/>
      <c r="T154" s="133"/>
      <c r="U154" s="133"/>
      <c r="V154" s="133"/>
      <c r="W154" s="133"/>
      <c r="X154" s="133"/>
      <c r="Y154" s="133"/>
      <c r="Z154" s="133"/>
    </row>
    <row r="155" spans="1:26" ht="12.75" customHeight="1" x14ac:dyDescent="0.3">
      <c r="A155" s="131"/>
      <c r="B155" s="131"/>
      <c r="C155" s="131"/>
      <c r="D155" s="131"/>
      <c r="E155" s="131"/>
      <c r="F155" s="132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3"/>
      <c r="S155" s="84"/>
      <c r="T155" s="133"/>
      <c r="U155" s="133"/>
      <c r="V155" s="133"/>
      <c r="W155" s="133"/>
      <c r="X155" s="133"/>
      <c r="Y155" s="133"/>
      <c r="Z155" s="133"/>
    </row>
    <row r="156" spans="1:26" ht="12.75" customHeight="1" x14ac:dyDescent="0.3">
      <c r="A156" s="131"/>
      <c r="B156" s="131"/>
      <c r="C156" s="131"/>
      <c r="D156" s="131"/>
      <c r="E156" s="131"/>
      <c r="F156" s="132"/>
      <c r="G156" s="131"/>
      <c r="H156" s="131"/>
      <c r="I156" s="131"/>
      <c r="J156" s="131"/>
      <c r="K156" s="131"/>
      <c r="L156" s="131"/>
      <c r="M156" s="131"/>
      <c r="N156" s="131"/>
      <c r="O156" s="131"/>
      <c r="P156" s="131"/>
      <c r="Q156" s="133"/>
      <c r="S156" s="84"/>
      <c r="T156" s="133"/>
      <c r="U156" s="133"/>
      <c r="V156" s="133"/>
      <c r="W156" s="133"/>
      <c r="X156" s="133"/>
      <c r="Y156" s="133"/>
      <c r="Z156" s="133"/>
    </row>
    <row r="157" spans="1:26" ht="12.75" customHeight="1" x14ac:dyDescent="0.3">
      <c r="A157" s="131"/>
      <c r="B157" s="131"/>
      <c r="C157" s="131"/>
      <c r="D157" s="131"/>
      <c r="E157" s="131"/>
      <c r="F157" s="132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3"/>
      <c r="S157" s="84"/>
      <c r="T157" s="133"/>
      <c r="U157" s="133"/>
      <c r="V157" s="133"/>
      <c r="W157" s="133"/>
      <c r="X157" s="133"/>
      <c r="Y157" s="133"/>
      <c r="Z157" s="133"/>
    </row>
    <row r="158" spans="1:26" ht="12.75" customHeight="1" x14ac:dyDescent="0.3">
      <c r="A158" s="131"/>
      <c r="B158" s="131"/>
      <c r="C158" s="131"/>
      <c r="D158" s="131"/>
      <c r="E158" s="131"/>
      <c r="F158" s="132"/>
      <c r="G158" s="131"/>
      <c r="H158" s="131"/>
      <c r="I158" s="131"/>
      <c r="J158" s="131"/>
      <c r="K158" s="131"/>
      <c r="L158" s="131"/>
      <c r="M158" s="131"/>
      <c r="N158" s="131"/>
      <c r="O158" s="131"/>
      <c r="P158" s="131"/>
      <c r="Q158" s="133"/>
      <c r="S158" s="84"/>
      <c r="T158" s="133"/>
      <c r="U158" s="133"/>
      <c r="V158" s="133"/>
      <c r="W158" s="133"/>
      <c r="X158" s="133"/>
      <c r="Y158" s="133"/>
      <c r="Z158" s="133"/>
    </row>
    <row r="159" spans="1:26" ht="12.75" customHeight="1" x14ac:dyDescent="0.3">
      <c r="A159" s="131"/>
      <c r="B159" s="131"/>
      <c r="C159" s="131"/>
      <c r="D159" s="131"/>
      <c r="E159" s="131"/>
      <c r="F159" s="132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3"/>
      <c r="S159" s="84"/>
      <c r="T159" s="133"/>
      <c r="U159" s="133"/>
      <c r="V159" s="133"/>
      <c r="W159" s="133"/>
      <c r="X159" s="133"/>
      <c r="Y159" s="133"/>
      <c r="Z159" s="133"/>
    </row>
    <row r="160" spans="1:26" ht="12.75" customHeight="1" x14ac:dyDescent="0.3">
      <c r="A160" s="131"/>
      <c r="B160" s="131"/>
      <c r="C160" s="131"/>
      <c r="D160" s="131"/>
      <c r="E160" s="131"/>
      <c r="F160" s="132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3"/>
      <c r="S160" s="84"/>
      <c r="T160" s="133"/>
      <c r="U160" s="133"/>
      <c r="V160" s="133"/>
      <c r="W160" s="133"/>
      <c r="X160" s="133"/>
      <c r="Y160" s="133"/>
      <c r="Z160" s="133"/>
    </row>
    <row r="161" spans="1:26" ht="12.75" customHeight="1" x14ac:dyDescent="0.3">
      <c r="A161" s="131"/>
      <c r="B161" s="131"/>
      <c r="C161" s="131"/>
      <c r="D161" s="131"/>
      <c r="E161" s="131"/>
      <c r="F161" s="132"/>
      <c r="G161" s="131"/>
      <c r="H161" s="131"/>
      <c r="I161" s="131"/>
      <c r="J161" s="131"/>
      <c r="K161" s="131"/>
      <c r="L161" s="131"/>
      <c r="M161" s="131"/>
      <c r="N161" s="131"/>
      <c r="O161" s="131"/>
      <c r="P161" s="131"/>
      <c r="Q161" s="133"/>
      <c r="S161" s="84"/>
      <c r="T161" s="133"/>
      <c r="U161" s="133"/>
      <c r="V161" s="133"/>
      <c r="W161" s="133"/>
      <c r="X161" s="133"/>
      <c r="Y161" s="133"/>
      <c r="Z161" s="133"/>
    </row>
    <row r="162" spans="1:26" ht="12.75" customHeight="1" x14ac:dyDescent="0.3">
      <c r="A162" s="131"/>
      <c r="B162" s="131"/>
      <c r="C162" s="131"/>
      <c r="D162" s="131"/>
      <c r="E162" s="131"/>
      <c r="F162" s="132"/>
      <c r="G162" s="131"/>
      <c r="H162" s="131"/>
      <c r="I162" s="131"/>
      <c r="J162" s="131"/>
      <c r="K162" s="131"/>
      <c r="L162" s="131"/>
      <c r="M162" s="131"/>
      <c r="N162" s="131"/>
      <c r="O162" s="131"/>
      <c r="P162" s="131"/>
      <c r="Q162" s="133"/>
      <c r="S162" s="84"/>
      <c r="T162" s="133"/>
      <c r="U162" s="133"/>
      <c r="V162" s="133"/>
      <c r="W162" s="133"/>
      <c r="X162" s="133"/>
      <c r="Y162" s="133"/>
      <c r="Z162" s="133"/>
    </row>
    <row r="163" spans="1:26" ht="12.75" customHeight="1" x14ac:dyDescent="0.3">
      <c r="A163" s="131"/>
      <c r="B163" s="131"/>
      <c r="C163" s="131"/>
      <c r="D163" s="131"/>
      <c r="E163" s="131"/>
      <c r="F163" s="132"/>
      <c r="G163" s="131"/>
      <c r="H163" s="131"/>
      <c r="I163" s="131"/>
      <c r="J163" s="131"/>
      <c r="K163" s="131"/>
      <c r="L163" s="131"/>
      <c r="M163" s="131"/>
      <c r="N163" s="131"/>
      <c r="O163" s="131"/>
      <c r="P163" s="131"/>
      <c r="Q163" s="133"/>
      <c r="S163" s="84"/>
      <c r="T163" s="133"/>
      <c r="U163" s="133"/>
      <c r="V163" s="133"/>
      <c r="W163" s="133"/>
      <c r="X163" s="133"/>
      <c r="Y163" s="133"/>
      <c r="Z163" s="133"/>
    </row>
    <row r="164" spans="1:26" ht="12.75" customHeight="1" x14ac:dyDescent="0.3">
      <c r="A164" s="131"/>
      <c r="B164" s="131"/>
      <c r="C164" s="131"/>
      <c r="D164" s="131"/>
      <c r="E164" s="131"/>
      <c r="F164" s="132"/>
      <c r="G164" s="131"/>
      <c r="H164" s="131"/>
      <c r="I164" s="131"/>
      <c r="J164" s="131"/>
      <c r="K164" s="131"/>
      <c r="L164" s="131"/>
      <c r="M164" s="131"/>
      <c r="N164" s="131"/>
      <c r="O164" s="131"/>
      <c r="P164" s="131"/>
      <c r="Q164" s="133"/>
      <c r="S164" s="84"/>
      <c r="T164" s="133"/>
      <c r="U164" s="133"/>
      <c r="V164" s="133"/>
      <c r="W164" s="133"/>
      <c r="X164" s="133"/>
      <c r="Y164" s="133"/>
      <c r="Z164" s="133"/>
    </row>
    <row r="165" spans="1:26" ht="12.75" customHeight="1" x14ac:dyDescent="0.3">
      <c r="A165" s="131"/>
      <c r="B165" s="131"/>
      <c r="C165" s="131"/>
      <c r="D165" s="131"/>
      <c r="E165" s="131"/>
      <c r="F165" s="132"/>
      <c r="G165" s="131"/>
      <c r="H165" s="131"/>
      <c r="I165" s="131"/>
      <c r="J165" s="131"/>
      <c r="K165" s="131"/>
      <c r="L165" s="131"/>
      <c r="M165" s="131"/>
      <c r="N165" s="131"/>
      <c r="O165" s="131"/>
      <c r="P165" s="131"/>
      <c r="Q165" s="133"/>
      <c r="S165" s="84"/>
      <c r="T165" s="133"/>
      <c r="U165" s="133"/>
      <c r="V165" s="133"/>
      <c r="W165" s="133"/>
      <c r="X165" s="133"/>
      <c r="Y165" s="133"/>
      <c r="Z165" s="133"/>
    </row>
    <row r="166" spans="1:26" ht="12.75" customHeight="1" x14ac:dyDescent="0.3">
      <c r="A166" s="131"/>
      <c r="B166" s="131"/>
      <c r="C166" s="131"/>
      <c r="D166" s="131"/>
      <c r="E166" s="131"/>
      <c r="F166" s="132"/>
      <c r="G166" s="131"/>
      <c r="H166" s="131"/>
      <c r="I166" s="131"/>
      <c r="J166" s="131"/>
      <c r="K166" s="131"/>
      <c r="L166" s="131"/>
      <c r="M166" s="131"/>
      <c r="N166" s="131"/>
      <c r="O166" s="131"/>
      <c r="P166" s="131"/>
      <c r="Q166" s="133"/>
      <c r="S166" s="84"/>
      <c r="T166" s="133"/>
      <c r="U166" s="133"/>
      <c r="V166" s="133"/>
      <c r="W166" s="133"/>
      <c r="X166" s="133"/>
      <c r="Y166" s="133"/>
      <c r="Z166" s="133"/>
    </row>
    <row r="167" spans="1:26" ht="12.75" customHeight="1" x14ac:dyDescent="0.3">
      <c r="A167" s="131"/>
      <c r="B167" s="131"/>
      <c r="C167" s="131"/>
      <c r="D167" s="131"/>
      <c r="E167" s="131"/>
      <c r="F167" s="132"/>
      <c r="G167" s="131"/>
      <c r="H167" s="131"/>
      <c r="I167" s="131"/>
      <c r="J167" s="131"/>
      <c r="K167" s="131"/>
      <c r="L167" s="131"/>
      <c r="M167" s="131"/>
      <c r="N167" s="131"/>
      <c r="O167" s="131"/>
      <c r="P167" s="131"/>
      <c r="Q167" s="133"/>
      <c r="S167" s="84"/>
      <c r="T167" s="133"/>
      <c r="U167" s="133"/>
      <c r="V167" s="133"/>
      <c r="W167" s="133"/>
      <c r="X167" s="133"/>
      <c r="Y167" s="133"/>
      <c r="Z167" s="133"/>
    </row>
    <row r="168" spans="1:26" ht="12.75" customHeight="1" x14ac:dyDescent="0.3">
      <c r="A168" s="131"/>
      <c r="B168" s="131"/>
      <c r="C168" s="131"/>
      <c r="D168" s="131"/>
      <c r="E168" s="131"/>
      <c r="F168" s="132"/>
      <c r="G168" s="131"/>
      <c r="H168" s="131"/>
      <c r="I168" s="131"/>
      <c r="J168" s="131"/>
      <c r="K168" s="131"/>
      <c r="L168" s="131"/>
      <c r="M168" s="131"/>
      <c r="N168" s="131"/>
      <c r="O168" s="131"/>
      <c r="P168" s="131"/>
      <c r="Q168" s="133"/>
      <c r="S168" s="84"/>
      <c r="T168" s="133"/>
      <c r="U168" s="133"/>
      <c r="V168" s="133"/>
      <c r="W168" s="133"/>
      <c r="X168" s="133"/>
      <c r="Y168" s="133"/>
      <c r="Z168" s="133"/>
    </row>
    <row r="169" spans="1:26" ht="12.75" customHeight="1" x14ac:dyDescent="0.3">
      <c r="A169" s="131"/>
      <c r="B169" s="131"/>
      <c r="C169" s="131"/>
      <c r="D169" s="131"/>
      <c r="E169" s="131"/>
      <c r="F169" s="132"/>
      <c r="G169" s="131"/>
      <c r="H169" s="131"/>
      <c r="I169" s="131"/>
      <c r="J169" s="131"/>
      <c r="K169" s="131"/>
      <c r="L169" s="131"/>
      <c r="M169" s="131"/>
      <c r="N169" s="131"/>
      <c r="O169" s="131"/>
      <c r="P169" s="131"/>
      <c r="Q169" s="133"/>
      <c r="S169" s="84"/>
      <c r="T169" s="133"/>
      <c r="U169" s="133"/>
      <c r="V169" s="133"/>
      <c r="W169" s="133"/>
      <c r="X169" s="133"/>
      <c r="Y169" s="133"/>
      <c r="Z169" s="133"/>
    </row>
    <row r="170" spans="1:26" ht="12.75" customHeight="1" x14ac:dyDescent="0.3">
      <c r="A170" s="131"/>
      <c r="B170" s="131"/>
      <c r="C170" s="131"/>
      <c r="D170" s="131"/>
      <c r="E170" s="131"/>
      <c r="F170" s="132"/>
      <c r="G170" s="131"/>
      <c r="H170" s="131"/>
      <c r="I170" s="131"/>
      <c r="J170" s="131"/>
      <c r="K170" s="131"/>
      <c r="L170" s="131"/>
      <c r="M170" s="131"/>
      <c r="N170" s="131"/>
      <c r="O170" s="131"/>
      <c r="P170" s="131"/>
      <c r="Q170" s="133"/>
      <c r="S170" s="84"/>
      <c r="T170" s="133"/>
      <c r="U170" s="133"/>
      <c r="V170" s="133"/>
      <c r="W170" s="133"/>
      <c r="X170" s="133"/>
      <c r="Y170" s="133"/>
      <c r="Z170" s="133"/>
    </row>
    <row r="171" spans="1:26" ht="12.75" customHeight="1" x14ac:dyDescent="0.3">
      <c r="A171" s="131"/>
      <c r="B171" s="131"/>
      <c r="C171" s="131"/>
      <c r="D171" s="131"/>
      <c r="E171" s="131"/>
      <c r="F171" s="132"/>
      <c r="G171" s="131"/>
      <c r="H171" s="131"/>
      <c r="I171" s="131"/>
      <c r="J171" s="131"/>
      <c r="K171" s="131"/>
      <c r="L171" s="131"/>
      <c r="M171" s="131"/>
      <c r="N171" s="131"/>
      <c r="O171" s="131"/>
      <c r="P171" s="131"/>
      <c r="Q171" s="133"/>
      <c r="S171" s="84"/>
      <c r="T171" s="133"/>
      <c r="U171" s="133"/>
      <c r="V171" s="133"/>
      <c r="W171" s="133"/>
      <c r="X171" s="133"/>
      <c r="Y171" s="133"/>
      <c r="Z171" s="133"/>
    </row>
    <row r="172" spans="1:26" ht="12.75" customHeight="1" x14ac:dyDescent="0.3">
      <c r="A172" s="131"/>
      <c r="B172" s="131"/>
      <c r="C172" s="131"/>
      <c r="D172" s="131"/>
      <c r="E172" s="131"/>
      <c r="F172" s="132"/>
      <c r="G172" s="131"/>
      <c r="H172" s="131"/>
      <c r="I172" s="131"/>
      <c r="J172" s="131"/>
      <c r="K172" s="131"/>
      <c r="L172" s="131"/>
      <c r="M172" s="131"/>
      <c r="N172" s="131"/>
      <c r="O172" s="131"/>
      <c r="P172" s="131"/>
      <c r="Q172" s="133"/>
      <c r="S172" s="84"/>
      <c r="T172" s="133"/>
      <c r="U172" s="133"/>
      <c r="V172" s="133"/>
      <c r="W172" s="133"/>
      <c r="X172" s="133"/>
      <c r="Y172" s="133"/>
      <c r="Z172" s="133"/>
    </row>
    <row r="173" spans="1:26" ht="12.75" customHeight="1" x14ac:dyDescent="0.3">
      <c r="A173" s="131"/>
      <c r="B173" s="131"/>
      <c r="C173" s="131"/>
      <c r="D173" s="131"/>
      <c r="E173" s="131"/>
      <c r="F173" s="132"/>
      <c r="G173" s="131"/>
      <c r="H173" s="131"/>
      <c r="I173" s="131"/>
      <c r="J173" s="131"/>
      <c r="K173" s="131"/>
      <c r="L173" s="131"/>
      <c r="M173" s="131"/>
      <c r="N173" s="131"/>
      <c r="O173" s="131"/>
      <c r="P173" s="131"/>
      <c r="Q173" s="133"/>
      <c r="S173" s="84"/>
      <c r="T173" s="133"/>
      <c r="U173" s="133"/>
      <c r="V173" s="133"/>
      <c r="W173" s="133"/>
      <c r="X173" s="133"/>
      <c r="Y173" s="133"/>
      <c r="Z173" s="133"/>
    </row>
    <row r="174" spans="1:26" ht="12.75" customHeight="1" x14ac:dyDescent="0.3">
      <c r="A174" s="131"/>
      <c r="B174" s="131"/>
      <c r="C174" s="131"/>
      <c r="D174" s="131"/>
      <c r="E174" s="131"/>
      <c r="F174" s="132"/>
      <c r="G174" s="131"/>
      <c r="H174" s="131"/>
      <c r="I174" s="131"/>
      <c r="J174" s="131"/>
      <c r="K174" s="131"/>
      <c r="L174" s="131"/>
      <c r="M174" s="131"/>
      <c r="N174" s="131"/>
      <c r="O174" s="131"/>
      <c r="P174" s="131"/>
      <c r="Q174" s="133"/>
      <c r="S174" s="84"/>
      <c r="T174" s="133"/>
      <c r="U174" s="133"/>
      <c r="V174" s="133"/>
      <c r="W174" s="133"/>
      <c r="X174" s="133"/>
      <c r="Y174" s="133"/>
      <c r="Z174" s="133"/>
    </row>
    <row r="175" spans="1:26" ht="12.75" customHeight="1" x14ac:dyDescent="0.3">
      <c r="A175" s="131"/>
      <c r="B175" s="131"/>
      <c r="C175" s="131"/>
      <c r="D175" s="131"/>
      <c r="E175" s="131"/>
      <c r="F175" s="132"/>
      <c r="G175" s="131"/>
      <c r="H175" s="131"/>
      <c r="I175" s="131"/>
      <c r="J175" s="131"/>
      <c r="K175" s="131"/>
      <c r="L175" s="131"/>
      <c r="M175" s="131"/>
      <c r="N175" s="131"/>
      <c r="O175" s="131"/>
      <c r="P175" s="131"/>
      <c r="Q175" s="133"/>
      <c r="S175" s="84"/>
      <c r="T175" s="133"/>
      <c r="U175" s="133"/>
      <c r="V175" s="133"/>
      <c r="W175" s="133"/>
      <c r="X175" s="133"/>
      <c r="Y175" s="133"/>
      <c r="Z175" s="133"/>
    </row>
    <row r="176" spans="1:26" ht="12.75" customHeight="1" x14ac:dyDescent="0.3">
      <c r="A176" s="131"/>
      <c r="B176" s="131"/>
      <c r="C176" s="131"/>
      <c r="D176" s="131"/>
      <c r="E176" s="131"/>
      <c r="F176" s="132"/>
      <c r="G176" s="131"/>
      <c r="H176" s="131"/>
      <c r="I176" s="131"/>
      <c r="J176" s="131"/>
      <c r="K176" s="131"/>
      <c r="L176" s="131"/>
      <c r="M176" s="131"/>
      <c r="N176" s="131"/>
      <c r="O176" s="131"/>
      <c r="P176" s="131"/>
      <c r="Q176" s="133"/>
      <c r="S176" s="84"/>
      <c r="T176" s="133"/>
      <c r="U176" s="133"/>
      <c r="V176" s="133"/>
      <c r="W176" s="133"/>
      <c r="X176" s="133"/>
      <c r="Y176" s="133"/>
      <c r="Z176" s="133"/>
    </row>
    <row r="177" spans="1:26" ht="12.75" customHeight="1" x14ac:dyDescent="0.3">
      <c r="A177" s="131"/>
      <c r="B177" s="131"/>
      <c r="C177" s="131"/>
      <c r="D177" s="131"/>
      <c r="E177" s="131"/>
      <c r="F177" s="132"/>
      <c r="G177" s="131"/>
      <c r="H177" s="131"/>
      <c r="I177" s="131"/>
      <c r="J177" s="131"/>
      <c r="K177" s="131"/>
      <c r="L177" s="131"/>
      <c r="M177" s="131"/>
      <c r="N177" s="131"/>
      <c r="O177" s="131"/>
      <c r="P177" s="131"/>
      <c r="Q177" s="133"/>
      <c r="S177" s="84">
        <f t="shared" ref="S177:S431" si="64">SUM(T177:Z177)</f>
        <v>0</v>
      </c>
      <c r="T177" s="133"/>
      <c r="U177" s="133"/>
      <c r="V177" s="133"/>
      <c r="W177" s="133"/>
      <c r="X177" s="133"/>
      <c r="Y177" s="133"/>
      <c r="Z177" s="133"/>
    </row>
    <row r="178" spans="1:26" ht="12.75" customHeight="1" x14ac:dyDescent="0.3">
      <c r="A178" s="131"/>
      <c r="B178" s="131"/>
      <c r="C178" s="131"/>
      <c r="D178" s="131"/>
      <c r="E178" s="131"/>
      <c r="F178" s="132"/>
      <c r="G178" s="131"/>
      <c r="H178" s="131"/>
      <c r="I178" s="131"/>
      <c r="J178" s="131"/>
      <c r="K178" s="131"/>
      <c r="L178" s="131"/>
      <c r="M178" s="131"/>
      <c r="N178" s="131"/>
      <c r="O178" s="131"/>
      <c r="P178" s="131"/>
      <c r="Q178" s="133"/>
      <c r="S178" s="84">
        <f t="shared" si="64"/>
        <v>0</v>
      </c>
      <c r="T178" s="133"/>
      <c r="U178" s="133"/>
      <c r="V178" s="133"/>
      <c r="W178" s="133"/>
      <c r="X178" s="133"/>
      <c r="Y178" s="133"/>
      <c r="Z178" s="133"/>
    </row>
    <row r="179" spans="1:26" ht="12.75" customHeight="1" x14ac:dyDescent="0.3">
      <c r="A179" s="131"/>
      <c r="B179" s="131"/>
      <c r="C179" s="131"/>
      <c r="D179" s="131"/>
      <c r="E179" s="131"/>
      <c r="F179" s="132"/>
      <c r="G179" s="131"/>
      <c r="H179" s="131"/>
      <c r="I179" s="131"/>
      <c r="J179" s="131"/>
      <c r="K179" s="131"/>
      <c r="L179" s="131"/>
      <c r="M179" s="131"/>
      <c r="N179" s="131"/>
      <c r="O179" s="131"/>
      <c r="P179" s="131"/>
      <c r="Q179" s="133"/>
      <c r="S179" s="84">
        <f t="shared" si="64"/>
        <v>0</v>
      </c>
      <c r="T179" s="133"/>
      <c r="U179" s="133"/>
      <c r="V179" s="133"/>
      <c r="W179" s="133"/>
      <c r="X179" s="133"/>
      <c r="Y179" s="133"/>
      <c r="Z179" s="133"/>
    </row>
    <row r="180" spans="1:26" ht="12.75" customHeight="1" x14ac:dyDescent="0.3">
      <c r="A180" s="131"/>
      <c r="B180" s="131"/>
      <c r="C180" s="131"/>
      <c r="D180" s="131"/>
      <c r="E180" s="131"/>
      <c r="F180" s="132"/>
      <c r="G180" s="131"/>
      <c r="H180" s="131"/>
      <c r="I180" s="131"/>
      <c r="J180" s="131"/>
      <c r="K180" s="131"/>
      <c r="L180" s="131"/>
      <c r="M180" s="131"/>
      <c r="N180" s="131"/>
      <c r="O180" s="131"/>
      <c r="P180" s="131"/>
      <c r="Q180" s="133"/>
      <c r="S180" s="84">
        <f t="shared" si="64"/>
        <v>0</v>
      </c>
      <c r="T180" s="133"/>
      <c r="U180" s="133"/>
      <c r="V180" s="133"/>
      <c r="W180" s="133"/>
      <c r="X180" s="133"/>
      <c r="Y180" s="133"/>
      <c r="Z180" s="133"/>
    </row>
    <row r="181" spans="1:26" ht="12.75" customHeight="1" x14ac:dyDescent="0.3">
      <c r="A181" s="131"/>
      <c r="B181" s="131"/>
      <c r="C181" s="131"/>
      <c r="D181" s="131"/>
      <c r="E181" s="131"/>
      <c r="F181" s="132"/>
      <c r="G181" s="131"/>
      <c r="H181" s="131"/>
      <c r="I181" s="131"/>
      <c r="J181" s="131"/>
      <c r="K181" s="131"/>
      <c r="L181" s="131"/>
      <c r="M181" s="131"/>
      <c r="N181" s="131"/>
      <c r="O181" s="131"/>
      <c r="P181" s="131"/>
      <c r="Q181" s="133"/>
      <c r="S181" s="84">
        <f t="shared" si="64"/>
        <v>0</v>
      </c>
      <c r="T181" s="133"/>
      <c r="U181" s="133"/>
      <c r="V181" s="133"/>
      <c r="W181" s="133"/>
      <c r="X181" s="133"/>
      <c r="Y181" s="133"/>
      <c r="Z181" s="133"/>
    </row>
    <row r="182" spans="1:26" ht="12.75" customHeight="1" x14ac:dyDescent="0.3">
      <c r="A182" s="131"/>
      <c r="B182" s="131"/>
      <c r="C182" s="131"/>
      <c r="D182" s="131"/>
      <c r="E182" s="131"/>
      <c r="F182" s="132"/>
      <c r="G182" s="131"/>
      <c r="H182" s="131"/>
      <c r="I182" s="131"/>
      <c r="J182" s="131"/>
      <c r="K182" s="131"/>
      <c r="L182" s="131"/>
      <c r="M182" s="131"/>
      <c r="N182" s="131"/>
      <c r="O182" s="131"/>
      <c r="P182" s="131"/>
      <c r="Q182" s="133"/>
      <c r="S182" s="84">
        <f t="shared" si="64"/>
        <v>0</v>
      </c>
      <c r="T182" s="133"/>
      <c r="U182" s="133"/>
      <c r="V182" s="133"/>
      <c r="W182" s="133"/>
      <c r="X182" s="133"/>
      <c r="Y182" s="133"/>
      <c r="Z182" s="133"/>
    </row>
    <row r="183" spans="1:26" ht="12.75" customHeight="1" x14ac:dyDescent="0.3">
      <c r="A183" s="131"/>
      <c r="B183" s="131"/>
      <c r="C183" s="131"/>
      <c r="D183" s="131"/>
      <c r="E183" s="131"/>
      <c r="F183" s="132"/>
      <c r="G183" s="131"/>
      <c r="H183" s="131"/>
      <c r="I183" s="131"/>
      <c r="J183" s="131"/>
      <c r="K183" s="131"/>
      <c r="L183" s="131"/>
      <c r="M183" s="131"/>
      <c r="N183" s="131"/>
      <c r="O183" s="131"/>
      <c r="P183" s="131"/>
      <c r="Q183" s="133"/>
      <c r="S183" s="84">
        <f t="shared" si="64"/>
        <v>0</v>
      </c>
      <c r="T183" s="133"/>
      <c r="U183" s="133"/>
      <c r="V183" s="133"/>
      <c r="W183" s="133"/>
      <c r="X183" s="133"/>
      <c r="Y183" s="133"/>
      <c r="Z183" s="133"/>
    </row>
    <row r="184" spans="1:26" ht="12.75" customHeight="1" x14ac:dyDescent="0.3">
      <c r="A184" s="131"/>
      <c r="B184" s="131"/>
      <c r="C184" s="131"/>
      <c r="D184" s="131"/>
      <c r="E184" s="131"/>
      <c r="F184" s="132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3"/>
      <c r="S184" s="84">
        <f t="shared" si="64"/>
        <v>0</v>
      </c>
      <c r="T184" s="133"/>
      <c r="U184" s="133"/>
      <c r="V184" s="133"/>
      <c r="W184" s="133"/>
      <c r="X184" s="133"/>
      <c r="Y184" s="133"/>
      <c r="Z184" s="133"/>
    </row>
    <row r="185" spans="1:26" ht="12.75" customHeight="1" x14ac:dyDescent="0.3">
      <c r="A185" s="131"/>
      <c r="B185" s="131"/>
      <c r="C185" s="131"/>
      <c r="D185" s="131"/>
      <c r="E185" s="131"/>
      <c r="F185" s="132"/>
      <c r="G185" s="131"/>
      <c r="H185" s="131"/>
      <c r="I185" s="131"/>
      <c r="J185" s="131"/>
      <c r="K185" s="131"/>
      <c r="L185" s="131"/>
      <c r="M185" s="131"/>
      <c r="N185" s="131"/>
      <c r="O185" s="131"/>
      <c r="P185" s="131"/>
      <c r="Q185" s="133"/>
      <c r="S185" s="84">
        <f t="shared" si="64"/>
        <v>0</v>
      </c>
      <c r="T185" s="133"/>
      <c r="U185" s="133"/>
      <c r="V185" s="133"/>
      <c r="W185" s="133"/>
      <c r="X185" s="133"/>
      <c r="Y185" s="133"/>
      <c r="Z185" s="133"/>
    </row>
    <row r="186" spans="1:26" ht="12.75" customHeight="1" x14ac:dyDescent="0.3">
      <c r="A186" s="131"/>
      <c r="B186" s="131"/>
      <c r="C186" s="131"/>
      <c r="D186" s="131"/>
      <c r="E186" s="131"/>
      <c r="F186" s="132"/>
      <c r="G186" s="131"/>
      <c r="H186" s="131"/>
      <c r="I186" s="131"/>
      <c r="J186" s="131"/>
      <c r="K186" s="131"/>
      <c r="L186" s="131"/>
      <c r="M186" s="131"/>
      <c r="N186" s="131"/>
      <c r="O186" s="131"/>
      <c r="P186" s="131"/>
      <c r="Q186" s="133"/>
      <c r="S186" s="84">
        <f t="shared" si="64"/>
        <v>0</v>
      </c>
      <c r="T186" s="133"/>
      <c r="U186" s="133"/>
      <c r="V186" s="133"/>
      <c r="W186" s="133"/>
      <c r="X186" s="133"/>
      <c r="Y186" s="133"/>
      <c r="Z186" s="133"/>
    </row>
    <row r="187" spans="1:26" ht="12.75" customHeight="1" x14ac:dyDescent="0.3">
      <c r="A187" s="131"/>
      <c r="B187" s="131"/>
      <c r="C187" s="131"/>
      <c r="D187" s="131"/>
      <c r="E187" s="131"/>
      <c r="F187" s="132"/>
      <c r="G187" s="131"/>
      <c r="H187" s="131"/>
      <c r="I187" s="131"/>
      <c r="J187" s="131"/>
      <c r="K187" s="131"/>
      <c r="L187" s="131"/>
      <c r="M187" s="131"/>
      <c r="N187" s="131"/>
      <c r="O187" s="131"/>
      <c r="P187" s="131"/>
      <c r="Q187" s="133"/>
      <c r="S187" s="84">
        <f t="shared" si="64"/>
        <v>0</v>
      </c>
      <c r="T187" s="133"/>
      <c r="U187" s="133"/>
      <c r="V187" s="133"/>
      <c r="W187" s="133"/>
      <c r="X187" s="133"/>
      <c r="Y187" s="133"/>
      <c r="Z187" s="133"/>
    </row>
    <row r="188" spans="1:26" ht="12.75" customHeight="1" x14ac:dyDescent="0.3">
      <c r="A188" s="131"/>
      <c r="B188" s="131"/>
      <c r="C188" s="131"/>
      <c r="D188" s="131"/>
      <c r="E188" s="131"/>
      <c r="F188" s="132"/>
      <c r="G188" s="131"/>
      <c r="H188" s="131"/>
      <c r="I188" s="131"/>
      <c r="J188" s="131"/>
      <c r="K188" s="131"/>
      <c r="L188" s="131"/>
      <c r="M188" s="131"/>
      <c r="N188" s="131"/>
      <c r="O188" s="131"/>
      <c r="P188" s="131"/>
      <c r="Q188" s="133"/>
      <c r="S188" s="84">
        <f t="shared" si="64"/>
        <v>0</v>
      </c>
      <c r="T188" s="133"/>
      <c r="U188" s="133"/>
      <c r="V188" s="133"/>
      <c r="W188" s="133"/>
      <c r="X188" s="133"/>
      <c r="Y188" s="133"/>
      <c r="Z188" s="133"/>
    </row>
    <row r="189" spans="1:26" ht="12.75" customHeight="1" x14ac:dyDescent="0.3">
      <c r="A189" s="131"/>
      <c r="B189" s="131"/>
      <c r="C189" s="131"/>
      <c r="D189" s="131"/>
      <c r="E189" s="131"/>
      <c r="F189" s="132"/>
      <c r="G189" s="131"/>
      <c r="H189" s="131"/>
      <c r="I189" s="131"/>
      <c r="J189" s="131"/>
      <c r="K189" s="131"/>
      <c r="L189" s="131"/>
      <c r="M189" s="131"/>
      <c r="N189" s="131"/>
      <c r="O189" s="131"/>
      <c r="P189" s="131"/>
      <c r="Q189" s="133"/>
      <c r="S189" s="84">
        <f t="shared" si="64"/>
        <v>0</v>
      </c>
      <c r="T189" s="133"/>
      <c r="U189" s="133"/>
      <c r="V189" s="133"/>
      <c r="W189" s="133"/>
      <c r="X189" s="133"/>
      <c r="Y189" s="133"/>
      <c r="Z189" s="133"/>
    </row>
    <row r="190" spans="1:26" ht="12.75" customHeight="1" x14ac:dyDescent="0.3">
      <c r="A190" s="131"/>
      <c r="B190" s="131"/>
      <c r="C190" s="131"/>
      <c r="D190" s="131"/>
      <c r="E190" s="131"/>
      <c r="F190" s="132"/>
      <c r="G190" s="131"/>
      <c r="H190" s="131"/>
      <c r="I190" s="131"/>
      <c r="J190" s="131"/>
      <c r="K190" s="131"/>
      <c r="L190" s="131"/>
      <c r="M190" s="131"/>
      <c r="N190" s="131"/>
      <c r="O190" s="131"/>
      <c r="P190" s="131"/>
      <c r="Q190" s="133"/>
      <c r="S190" s="84">
        <f t="shared" si="64"/>
        <v>0</v>
      </c>
      <c r="T190" s="133"/>
      <c r="U190" s="133"/>
      <c r="V190" s="133"/>
      <c r="W190" s="133"/>
      <c r="X190" s="133"/>
      <c r="Y190" s="133"/>
      <c r="Z190" s="133"/>
    </row>
    <row r="191" spans="1:26" ht="12.75" customHeight="1" x14ac:dyDescent="0.3">
      <c r="A191" s="131"/>
      <c r="B191" s="131"/>
      <c r="C191" s="131"/>
      <c r="D191" s="131"/>
      <c r="E191" s="131"/>
      <c r="F191" s="132"/>
      <c r="G191" s="131"/>
      <c r="H191" s="131"/>
      <c r="I191" s="131"/>
      <c r="J191" s="131"/>
      <c r="K191" s="131"/>
      <c r="L191" s="131"/>
      <c r="M191" s="131"/>
      <c r="N191" s="131"/>
      <c r="O191" s="131"/>
      <c r="P191" s="131"/>
      <c r="Q191" s="133"/>
      <c r="S191" s="84">
        <f t="shared" si="64"/>
        <v>0</v>
      </c>
      <c r="T191" s="133"/>
      <c r="U191" s="133"/>
      <c r="V191" s="133"/>
      <c r="W191" s="133"/>
      <c r="X191" s="133"/>
      <c r="Y191" s="133"/>
      <c r="Z191" s="133"/>
    </row>
    <row r="192" spans="1:26" ht="12.75" customHeight="1" x14ac:dyDescent="0.3">
      <c r="A192" s="131"/>
      <c r="B192" s="131"/>
      <c r="C192" s="131"/>
      <c r="D192" s="131"/>
      <c r="E192" s="131"/>
      <c r="F192" s="132"/>
      <c r="G192" s="131"/>
      <c r="H192" s="131"/>
      <c r="I192" s="131"/>
      <c r="J192" s="131"/>
      <c r="K192" s="131"/>
      <c r="L192" s="131"/>
      <c r="M192" s="131"/>
      <c r="N192" s="131"/>
      <c r="O192" s="131"/>
      <c r="P192" s="131"/>
      <c r="Q192" s="133"/>
      <c r="S192" s="84">
        <f t="shared" si="64"/>
        <v>0</v>
      </c>
      <c r="T192" s="133"/>
      <c r="U192" s="133"/>
      <c r="V192" s="133"/>
      <c r="W192" s="133"/>
      <c r="X192" s="133"/>
      <c r="Y192" s="133"/>
      <c r="Z192" s="133"/>
    </row>
    <row r="193" spans="1:26" ht="12.75" customHeight="1" x14ac:dyDescent="0.3">
      <c r="A193" s="131"/>
      <c r="B193" s="131"/>
      <c r="C193" s="131"/>
      <c r="D193" s="131"/>
      <c r="E193" s="131"/>
      <c r="F193" s="132"/>
      <c r="G193" s="131"/>
      <c r="H193" s="131"/>
      <c r="I193" s="131"/>
      <c r="J193" s="131"/>
      <c r="K193" s="131"/>
      <c r="L193" s="131"/>
      <c r="M193" s="131"/>
      <c r="N193" s="131"/>
      <c r="O193" s="131"/>
      <c r="P193" s="131"/>
      <c r="Q193" s="133"/>
      <c r="S193" s="84">
        <f t="shared" si="64"/>
        <v>0</v>
      </c>
      <c r="T193" s="133"/>
      <c r="U193" s="133"/>
      <c r="V193" s="133"/>
      <c r="W193" s="133"/>
      <c r="X193" s="133"/>
      <c r="Y193" s="133"/>
      <c r="Z193" s="133"/>
    </row>
    <row r="194" spans="1:26" ht="12.75" customHeight="1" x14ac:dyDescent="0.3">
      <c r="A194" s="131"/>
      <c r="B194" s="131"/>
      <c r="C194" s="131"/>
      <c r="D194" s="131"/>
      <c r="E194" s="131"/>
      <c r="F194" s="132"/>
      <c r="G194" s="131"/>
      <c r="H194" s="131"/>
      <c r="I194" s="131"/>
      <c r="J194" s="131"/>
      <c r="K194" s="131"/>
      <c r="L194" s="131"/>
      <c r="M194" s="131"/>
      <c r="N194" s="131"/>
      <c r="O194" s="131"/>
      <c r="P194" s="131"/>
      <c r="Q194" s="133"/>
      <c r="S194" s="84">
        <f t="shared" si="64"/>
        <v>0</v>
      </c>
      <c r="T194" s="133"/>
      <c r="U194" s="133"/>
      <c r="V194" s="133"/>
      <c r="W194" s="133"/>
      <c r="X194" s="133"/>
      <c r="Y194" s="133"/>
      <c r="Z194" s="133"/>
    </row>
    <row r="195" spans="1:26" ht="12.75" customHeight="1" x14ac:dyDescent="0.3">
      <c r="A195" s="131"/>
      <c r="B195" s="131"/>
      <c r="C195" s="131"/>
      <c r="D195" s="131"/>
      <c r="E195" s="131"/>
      <c r="F195" s="132"/>
      <c r="G195" s="131"/>
      <c r="H195" s="131"/>
      <c r="I195" s="131"/>
      <c r="J195" s="131"/>
      <c r="K195" s="131"/>
      <c r="L195" s="131"/>
      <c r="M195" s="131"/>
      <c r="N195" s="131"/>
      <c r="O195" s="131"/>
      <c r="P195" s="131"/>
      <c r="Q195" s="133"/>
      <c r="S195" s="84">
        <f t="shared" si="64"/>
        <v>0</v>
      </c>
      <c r="T195" s="133"/>
      <c r="U195" s="133"/>
      <c r="V195" s="133"/>
      <c r="W195" s="133"/>
      <c r="X195" s="133"/>
      <c r="Y195" s="133"/>
      <c r="Z195" s="133"/>
    </row>
    <row r="196" spans="1:26" ht="12.75" customHeight="1" x14ac:dyDescent="0.3">
      <c r="A196" s="131"/>
      <c r="B196" s="131"/>
      <c r="C196" s="131"/>
      <c r="D196" s="131"/>
      <c r="E196" s="131"/>
      <c r="F196" s="132"/>
      <c r="G196" s="131"/>
      <c r="H196" s="131"/>
      <c r="I196" s="131"/>
      <c r="J196" s="131"/>
      <c r="K196" s="131"/>
      <c r="L196" s="131"/>
      <c r="M196" s="131"/>
      <c r="N196" s="131"/>
      <c r="O196" s="131"/>
      <c r="P196" s="131"/>
      <c r="Q196" s="133"/>
      <c r="S196" s="84">
        <f t="shared" si="64"/>
        <v>0</v>
      </c>
      <c r="T196" s="133"/>
      <c r="U196" s="133"/>
      <c r="V196" s="133"/>
      <c r="W196" s="133"/>
      <c r="X196" s="133"/>
      <c r="Y196" s="133"/>
      <c r="Z196" s="133"/>
    </row>
    <row r="197" spans="1:26" ht="12.75" customHeight="1" x14ac:dyDescent="0.3">
      <c r="A197" s="131"/>
      <c r="B197" s="131"/>
      <c r="C197" s="131"/>
      <c r="D197" s="131"/>
      <c r="E197" s="131"/>
      <c r="F197" s="132"/>
      <c r="G197" s="131"/>
      <c r="H197" s="131"/>
      <c r="I197" s="131"/>
      <c r="J197" s="131"/>
      <c r="K197" s="131"/>
      <c r="L197" s="131"/>
      <c r="M197" s="131"/>
      <c r="N197" s="131"/>
      <c r="O197" s="131"/>
      <c r="P197" s="131"/>
      <c r="Q197" s="133"/>
      <c r="S197" s="84">
        <f t="shared" si="64"/>
        <v>0</v>
      </c>
      <c r="T197" s="133"/>
      <c r="U197" s="133"/>
      <c r="V197" s="133"/>
      <c r="W197" s="133"/>
      <c r="X197" s="133"/>
      <c r="Y197" s="133"/>
      <c r="Z197" s="133"/>
    </row>
    <row r="198" spans="1:26" ht="12.75" customHeight="1" x14ac:dyDescent="0.3">
      <c r="A198" s="131"/>
      <c r="B198" s="131"/>
      <c r="C198" s="131"/>
      <c r="D198" s="131"/>
      <c r="E198" s="131"/>
      <c r="F198" s="132"/>
      <c r="G198" s="131"/>
      <c r="H198" s="131"/>
      <c r="I198" s="131"/>
      <c r="J198" s="131"/>
      <c r="K198" s="131"/>
      <c r="L198" s="131"/>
      <c r="M198" s="131"/>
      <c r="N198" s="131"/>
      <c r="O198" s="131"/>
      <c r="P198" s="131"/>
      <c r="Q198" s="133"/>
      <c r="S198" s="84">
        <f t="shared" si="64"/>
        <v>0</v>
      </c>
      <c r="T198" s="133"/>
      <c r="U198" s="133"/>
      <c r="V198" s="133"/>
      <c r="W198" s="133"/>
      <c r="X198" s="133"/>
      <c r="Y198" s="133"/>
      <c r="Z198" s="133"/>
    </row>
    <row r="199" spans="1:26" ht="12.75" customHeight="1" x14ac:dyDescent="0.3">
      <c r="A199" s="131"/>
      <c r="B199" s="131"/>
      <c r="C199" s="131"/>
      <c r="D199" s="131"/>
      <c r="E199" s="131"/>
      <c r="F199" s="132"/>
      <c r="G199" s="131"/>
      <c r="H199" s="131"/>
      <c r="I199" s="131"/>
      <c r="J199" s="131"/>
      <c r="K199" s="131"/>
      <c r="L199" s="131"/>
      <c r="M199" s="131"/>
      <c r="N199" s="131"/>
      <c r="O199" s="131"/>
      <c r="P199" s="131"/>
      <c r="Q199" s="133"/>
      <c r="S199" s="84">
        <f t="shared" si="64"/>
        <v>0</v>
      </c>
      <c r="T199" s="133"/>
      <c r="U199" s="133"/>
      <c r="V199" s="133"/>
      <c r="W199" s="133"/>
      <c r="X199" s="133"/>
      <c r="Y199" s="133"/>
      <c r="Z199" s="133"/>
    </row>
    <row r="200" spans="1:26" ht="12.75" customHeight="1" x14ac:dyDescent="0.3">
      <c r="A200" s="131"/>
      <c r="B200" s="131"/>
      <c r="C200" s="131"/>
      <c r="D200" s="131"/>
      <c r="E200" s="131"/>
      <c r="F200" s="132"/>
      <c r="G200" s="131"/>
      <c r="H200" s="131"/>
      <c r="I200" s="131"/>
      <c r="J200" s="131"/>
      <c r="K200" s="131"/>
      <c r="L200" s="131"/>
      <c r="M200" s="131"/>
      <c r="N200" s="131"/>
      <c r="O200" s="131"/>
      <c r="P200" s="131"/>
      <c r="Q200" s="133"/>
      <c r="S200" s="84">
        <f t="shared" si="64"/>
        <v>0</v>
      </c>
      <c r="T200" s="133"/>
      <c r="U200" s="133"/>
      <c r="V200" s="133"/>
      <c r="W200" s="133"/>
      <c r="X200" s="133"/>
      <c r="Y200" s="133"/>
      <c r="Z200" s="133"/>
    </row>
    <row r="201" spans="1:26" ht="12.75" customHeight="1" x14ac:dyDescent="0.3">
      <c r="A201" s="131"/>
      <c r="B201" s="131"/>
      <c r="C201" s="131"/>
      <c r="D201" s="131"/>
      <c r="E201" s="131"/>
      <c r="F201" s="132"/>
      <c r="G201" s="131"/>
      <c r="H201" s="131"/>
      <c r="I201" s="131"/>
      <c r="J201" s="131"/>
      <c r="K201" s="131"/>
      <c r="L201" s="131"/>
      <c r="M201" s="131"/>
      <c r="N201" s="131"/>
      <c r="O201" s="131"/>
      <c r="P201" s="131"/>
      <c r="Q201" s="133"/>
      <c r="S201" s="84">
        <f t="shared" si="64"/>
        <v>0</v>
      </c>
      <c r="T201" s="133"/>
      <c r="U201" s="133"/>
      <c r="V201" s="133"/>
      <c r="W201" s="133"/>
      <c r="X201" s="133"/>
      <c r="Y201" s="133"/>
      <c r="Z201" s="133"/>
    </row>
    <row r="202" spans="1:26" ht="12.75" customHeight="1" x14ac:dyDescent="0.3">
      <c r="A202" s="131"/>
      <c r="B202" s="131"/>
      <c r="C202" s="131"/>
      <c r="D202" s="131"/>
      <c r="E202" s="131"/>
      <c r="F202" s="132"/>
      <c r="G202" s="131"/>
      <c r="H202" s="131"/>
      <c r="I202" s="131"/>
      <c r="J202" s="131"/>
      <c r="K202" s="131"/>
      <c r="L202" s="131"/>
      <c r="M202" s="131"/>
      <c r="N202" s="131"/>
      <c r="O202" s="131"/>
      <c r="P202" s="131"/>
      <c r="Q202" s="133"/>
      <c r="S202" s="84">
        <f t="shared" si="64"/>
        <v>0</v>
      </c>
      <c r="T202" s="133"/>
      <c r="U202" s="133"/>
      <c r="V202" s="133"/>
      <c r="W202" s="133"/>
      <c r="X202" s="133"/>
      <c r="Y202" s="133"/>
      <c r="Z202" s="133"/>
    </row>
    <row r="203" spans="1:26" ht="12.75" customHeight="1" x14ac:dyDescent="0.3">
      <c r="A203" s="131"/>
      <c r="B203" s="131"/>
      <c r="C203" s="131"/>
      <c r="D203" s="131"/>
      <c r="E203" s="131"/>
      <c r="F203" s="132"/>
      <c r="G203" s="131"/>
      <c r="H203" s="131"/>
      <c r="I203" s="131"/>
      <c r="J203" s="131"/>
      <c r="K203" s="131"/>
      <c r="L203" s="131"/>
      <c r="M203" s="131"/>
      <c r="N203" s="131"/>
      <c r="O203" s="131"/>
      <c r="P203" s="131"/>
      <c r="Q203" s="133"/>
      <c r="S203" s="84">
        <f t="shared" si="64"/>
        <v>0</v>
      </c>
      <c r="T203" s="133"/>
      <c r="U203" s="133"/>
      <c r="V203" s="133"/>
      <c r="W203" s="133"/>
      <c r="X203" s="133"/>
      <c r="Y203" s="133"/>
      <c r="Z203" s="133"/>
    </row>
    <row r="204" spans="1:26" ht="12.75" customHeight="1" x14ac:dyDescent="0.3">
      <c r="A204" s="131"/>
      <c r="B204" s="131"/>
      <c r="C204" s="131"/>
      <c r="D204" s="131"/>
      <c r="E204" s="131"/>
      <c r="F204" s="132"/>
      <c r="G204" s="131"/>
      <c r="H204" s="131"/>
      <c r="I204" s="131"/>
      <c r="J204" s="131"/>
      <c r="K204" s="131"/>
      <c r="L204" s="131"/>
      <c r="M204" s="131"/>
      <c r="N204" s="131"/>
      <c r="O204" s="131"/>
      <c r="P204" s="131"/>
      <c r="Q204" s="133"/>
      <c r="S204" s="84">
        <f t="shared" si="64"/>
        <v>0</v>
      </c>
      <c r="T204" s="133"/>
      <c r="U204" s="133"/>
      <c r="V204" s="133"/>
      <c r="W204" s="133"/>
      <c r="X204" s="133"/>
      <c r="Y204" s="133"/>
      <c r="Z204" s="133"/>
    </row>
    <row r="205" spans="1:26" ht="12.75" customHeight="1" x14ac:dyDescent="0.3">
      <c r="A205" s="131"/>
      <c r="B205" s="131"/>
      <c r="C205" s="131"/>
      <c r="D205" s="131"/>
      <c r="E205" s="131"/>
      <c r="F205" s="132"/>
      <c r="G205" s="131"/>
      <c r="H205" s="131"/>
      <c r="I205" s="131"/>
      <c r="J205" s="131"/>
      <c r="K205" s="131"/>
      <c r="L205" s="131"/>
      <c r="M205" s="131"/>
      <c r="N205" s="131"/>
      <c r="O205" s="131"/>
      <c r="P205" s="131"/>
      <c r="Q205" s="133"/>
      <c r="S205" s="84">
        <f t="shared" si="64"/>
        <v>0</v>
      </c>
      <c r="T205" s="133"/>
      <c r="U205" s="133"/>
      <c r="V205" s="133"/>
      <c r="W205" s="133"/>
      <c r="X205" s="133"/>
      <c r="Y205" s="133"/>
      <c r="Z205" s="133"/>
    </row>
    <row r="206" spans="1:26" ht="12.75" customHeight="1" x14ac:dyDescent="0.3">
      <c r="A206" s="131"/>
      <c r="B206" s="131"/>
      <c r="C206" s="131"/>
      <c r="D206" s="131"/>
      <c r="E206" s="131"/>
      <c r="F206" s="132"/>
      <c r="G206" s="131"/>
      <c r="H206" s="131"/>
      <c r="I206" s="131"/>
      <c r="J206" s="131"/>
      <c r="K206" s="131"/>
      <c r="L206" s="131"/>
      <c r="M206" s="131"/>
      <c r="N206" s="131"/>
      <c r="O206" s="131"/>
      <c r="P206" s="131"/>
      <c r="Q206" s="133"/>
      <c r="S206" s="84">
        <f t="shared" si="64"/>
        <v>0</v>
      </c>
      <c r="T206" s="133"/>
      <c r="U206" s="133"/>
      <c r="V206" s="133"/>
      <c r="W206" s="133"/>
      <c r="X206" s="133"/>
      <c r="Y206" s="133"/>
      <c r="Z206" s="133"/>
    </row>
    <row r="207" spans="1:26" ht="12.75" customHeight="1" x14ac:dyDescent="0.3">
      <c r="A207" s="131"/>
      <c r="B207" s="131"/>
      <c r="C207" s="131"/>
      <c r="D207" s="131"/>
      <c r="E207" s="131"/>
      <c r="F207" s="132"/>
      <c r="G207" s="131"/>
      <c r="H207" s="131"/>
      <c r="I207" s="131"/>
      <c r="J207" s="131"/>
      <c r="K207" s="131"/>
      <c r="L207" s="131"/>
      <c r="M207" s="131"/>
      <c r="N207" s="131"/>
      <c r="O207" s="131"/>
      <c r="P207" s="131"/>
      <c r="Q207" s="133"/>
      <c r="S207" s="84">
        <f t="shared" si="64"/>
        <v>0</v>
      </c>
      <c r="T207" s="133"/>
      <c r="U207" s="133"/>
      <c r="V207" s="133"/>
      <c r="W207" s="133"/>
      <c r="X207" s="133"/>
      <c r="Y207" s="133"/>
      <c r="Z207" s="133"/>
    </row>
    <row r="208" spans="1:26" ht="12.75" customHeight="1" x14ac:dyDescent="0.3">
      <c r="A208" s="131"/>
      <c r="B208" s="131"/>
      <c r="C208" s="131"/>
      <c r="D208" s="131"/>
      <c r="E208" s="131"/>
      <c r="F208" s="132"/>
      <c r="G208" s="131"/>
      <c r="H208" s="131"/>
      <c r="I208" s="131"/>
      <c r="J208" s="131"/>
      <c r="K208" s="131"/>
      <c r="L208" s="131"/>
      <c r="M208" s="131"/>
      <c r="N208" s="131"/>
      <c r="O208" s="131"/>
      <c r="P208" s="131"/>
      <c r="Q208" s="133"/>
      <c r="S208" s="84">
        <f t="shared" si="64"/>
        <v>0</v>
      </c>
      <c r="T208" s="133"/>
      <c r="U208" s="133"/>
      <c r="V208" s="133"/>
      <c r="W208" s="133"/>
      <c r="X208" s="133"/>
      <c r="Y208" s="133"/>
      <c r="Z208" s="133"/>
    </row>
    <row r="209" spans="1:26" ht="12.75" customHeight="1" x14ac:dyDescent="0.3">
      <c r="A209" s="131"/>
      <c r="B209" s="131"/>
      <c r="C209" s="131"/>
      <c r="D209" s="131"/>
      <c r="E209" s="131"/>
      <c r="F209" s="132"/>
      <c r="G209" s="131"/>
      <c r="H209" s="131"/>
      <c r="I209" s="131"/>
      <c r="J209" s="131"/>
      <c r="K209" s="131"/>
      <c r="L209" s="131"/>
      <c r="M209" s="131"/>
      <c r="N209" s="131"/>
      <c r="O209" s="131"/>
      <c r="P209" s="131"/>
      <c r="Q209" s="133"/>
      <c r="S209" s="84">
        <f t="shared" si="64"/>
        <v>0</v>
      </c>
      <c r="T209" s="133"/>
      <c r="U209" s="133"/>
      <c r="V209" s="133"/>
      <c r="W209" s="133"/>
      <c r="X209" s="133"/>
      <c r="Y209" s="133"/>
      <c r="Z209" s="133"/>
    </row>
    <row r="210" spans="1:26" ht="12.75" customHeight="1" x14ac:dyDescent="0.3">
      <c r="A210" s="131"/>
      <c r="B210" s="131"/>
      <c r="C210" s="131"/>
      <c r="D210" s="131"/>
      <c r="E210" s="131"/>
      <c r="F210" s="132"/>
      <c r="G210" s="131"/>
      <c r="H210" s="131"/>
      <c r="I210" s="131"/>
      <c r="J210" s="131"/>
      <c r="K210" s="131"/>
      <c r="L210" s="131"/>
      <c r="M210" s="131"/>
      <c r="N210" s="131"/>
      <c r="O210" s="131"/>
      <c r="P210" s="131"/>
      <c r="Q210" s="133"/>
      <c r="S210" s="84">
        <f t="shared" si="64"/>
        <v>0</v>
      </c>
      <c r="T210" s="133"/>
      <c r="U210" s="133"/>
      <c r="V210" s="133"/>
      <c r="W210" s="133"/>
      <c r="X210" s="133"/>
      <c r="Y210" s="133"/>
      <c r="Z210" s="133"/>
    </row>
    <row r="211" spans="1:26" ht="12.75" customHeight="1" x14ac:dyDescent="0.3">
      <c r="A211" s="131"/>
      <c r="B211" s="131"/>
      <c r="C211" s="131"/>
      <c r="D211" s="131"/>
      <c r="E211" s="131"/>
      <c r="F211" s="132"/>
      <c r="G211" s="131"/>
      <c r="H211" s="131"/>
      <c r="I211" s="131"/>
      <c r="J211" s="131"/>
      <c r="K211" s="131"/>
      <c r="L211" s="131"/>
      <c r="M211" s="131"/>
      <c r="N211" s="131"/>
      <c r="O211" s="131"/>
      <c r="P211" s="131"/>
      <c r="Q211" s="133"/>
      <c r="S211" s="84">
        <f t="shared" si="64"/>
        <v>0</v>
      </c>
      <c r="T211" s="133"/>
      <c r="U211" s="133"/>
      <c r="V211" s="133"/>
      <c r="W211" s="133"/>
      <c r="X211" s="133"/>
      <c r="Y211" s="133"/>
      <c r="Z211" s="133"/>
    </row>
    <row r="212" spans="1:26" ht="12.75" customHeight="1" x14ac:dyDescent="0.3">
      <c r="A212" s="131"/>
      <c r="B212" s="131"/>
      <c r="C212" s="131"/>
      <c r="D212" s="131"/>
      <c r="E212" s="131"/>
      <c r="F212" s="132"/>
      <c r="G212" s="131"/>
      <c r="H212" s="131"/>
      <c r="I212" s="131"/>
      <c r="J212" s="131"/>
      <c r="K212" s="131"/>
      <c r="L212" s="131"/>
      <c r="M212" s="131"/>
      <c r="N212" s="131"/>
      <c r="O212" s="131"/>
      <c r="P212" s="131"/>
      <c r="Q212" s="133"/>
      <c r="S212" s="84">
        <f t="shared" si="64"/>
        <v>0</v>
      </c>
      <c r="T212" s="133"/>
      <c r="U212" s="133"/>
      <c r="V212" s="133"/>
      <c r="W212" s="133"/>
      <c r="X212" s="133"/>
      <c r="Y212" s="133"/>
      <c r="Z212" s="133"/>
    </row>
    <row r="213" spans="1:26" ht="12.75" customHeight="1" x14ac:dyDescent="0.3">
      <c r="A213" s="131"/>
      <c r="B213" s="131"/>
      <c r="C213" s="131"/>
      <c r="D213" s="131"/>
      <c r="E213" s="131"/>
      <c r="F213" s="132"/>
      <c r="G213" s="131"/>
      <c r="H213" s="131"/>
      <c r="I213" s="131"/>
      <c r="J213" s="131"/>
      <c r="K213" s="131"/>
      <c r="L213" s="131"/>
      <c r="M213" s="131"/>
      <c r="N213" s="131"/>
      <c r="O213" s="131"/>
      <c r="P213" s="131"/>
      <c r="Q213" s="133"/>
      <c r="S213" s="84">
        <f t="shared" si="64"/>
        <v>0</v>
      </c>
      <c r="T213" s="133"/>
      <c r="U213" s="133"/>
      <c r="V213" s="133"/>
      <c r="W213" s="133"/>
      <c r="X213" s="133"/>
      <c r="Y213" s="133"/>
      <c r="Z213" s="133"/>
    </row>
    <row r="214" spans="1:26" ht="12.75" customHeight="1" x14ac:dyDescent="0.3">
      <c r="A214" s="131"/>
      <c r="B214" s="131"/>
      <c r="C214" s="131"/>
      <c r="D214" s="131"/>
      <c r="E214" s="131"/>
      <c r="F214" s="132"/>
      <c r="G214" s="131"/>
      <c r="H214" s="131"/>
      <c r="I214" s="131"/>
      <c r="J214" s="131"/>
      <c r="K214" s="131"/>
      <c r="L214" s="131"/>
      <c r="M214" s="131"/>
      <c r="N214" s="131"/>
      <c r="O214" s="131"/>
      <c r="P214" s="131"/>
      <c r="Q214" s="133"/>
      <c r="S214" s="84">
        <f t="shared" si="64"/>
        <v>0</v>
      </c>
      <c r="T214" s="133"/>
      <c r="U214" s="133"/>
      <c r="V214" s="133"/>
      <c r="W214" s="133"/>
      <c r="X214" s="133"/>
      <c r="Y214" s="133"/>
      <c r="Z214" s="133"/>
    </row>
    <row r="215" spans="1:26" ht="12.75" customHeight="1" x14ac:dyDescent="0.3">
      <c r="A215" s="131"/>
      <c r="B215" s="131"/>
      <c r="C215" s="131"/>
      <c r="D215" s="131"/>
      <c r="E215" s="131"/>
      <c r="F215" s="132"/>
      <c r="G215" s="131"/>
      <c r="H215" s="131"/>
      <c r="I215" s="131"/>
      <c r="J215" s="131"/>
      <c r="K215" s="131"/>
      <c r="L215" s="131"/>
      <c r="M215" s="131"/>
      <c r="N215" s="131"/>
      <c r="O215" s="131"/>
      <c r="P215" s="131"/>
      <c r="Q215" s="133"/>
      <c r="S215" s="84">
        <f t="shared" si="64"/>
        <v>0</v>
      </c>
      <c r="T215" s="133"/>
      <c r="U215" s="133"/>
      <c r="V215" s="133"/>
      <c r="W215" s="133"/>
      <c r="X215" s="133"/>
      <c r="Y215" s="133"/>
      <c r="Z215" s="133"/>
    </row>
    <row r="216" spans="1:26" ht="12.75" customHeight="1" x14ac:dyDescent="0.3">
      <c r="A216" s="131"/>
      <c r="B216" s="131"/>
      <c r="C216" s="131"/>
      <c r="D216" s="131"/>
      <c r="E216" s="131"/>
      <c r="F216" s="132"/>
      <c r="G216" s="131"/>
      <c r="H216" s="131"/>
      <c r="I216" s="131"/>
      <c r="J216" s="131"/>
      <c r="K216" s="131"/>
      <c r="L216" s="131"/>
      <c r="M216" s="131"/>
      <c r="N216" s="131"/>
      <c r="O216" s="131"/>
      <c r="P216" s="131"/>
      <c r="Q216" s="133"/>
      <c r="S216" s="84">
        <f t="shared" si="64"/>
        <v>0</v>
      </c>
      <c r="T216" s="133"/>
      <c r="U216" s="133"/>
      <c r="V216" s="133"/>
      <c r="W216" s="133"/>
      <c r="X216" s="133"/>
      <c r="Y216" s="133"/>
      <c r="Z216" s="133"/>
    </row>
    <row r="217" spans="1:26" ht="12.75" customHeight="1" x14ac:dyDescent="0.3">
      <c r="A217" s="131"/>
      <c r="B217" s="131"/>
      <c r="C217" s="131"/>
      <c r="D217" s="131"/>
      <c r="E217" s="131"/>
      <c r="F217" s="132"/>
      <c r="G217" s="131"/>
      <c r="H217" s="131"/>
      <c r="I217" s="131"/>
      <c r="J217" s="131"/>
      <c r="K217" s="131"/>
      <c r="L217" s="131"/>
      <c r="M217" s="131"/>
      <c r="N217" s="131"/>
      <c r="O217" s="131"/>
      <c r="P217" s="131"/>
      <c r="Q217" s="133"/>
      <c r="S217" s="84">
        <f t="shared" si="64"/>
        <v>0</v>
      </c>
      <c r="T217" s="133"/>
      <c r="U217" s="133"/>
      <c r="V217" s="133"/>
      <c r="W217" s="133"/>
      <c r="X217" s="133"/>
      <c r="Y217" s="133"/>
      <c r="Z217" s="133"/>
    </row>
    <row r="218" spans="1:26" ht="12.75" customHeight="1" x14ac:dyDescent="0.3">
      <c r="A218" s="131"/>
      <c r="B218" s="131"/>
      <c r="C218" s="131"/>
      <c r="D218" s="131"/>
      <c r="E218" s="131"/>
      <c r="F218" s="132"/>
      <c r="G218" s="131"/>
      <c r="H218" s="131"/>
      <c r="I218" s="131"/>
      <c r="J218" s="131"/>
      <c r="K218" s="131"/>
      <c r="L218" s="131"/>
      <c r="M218" s="131"/>
      <c r="N218" s="131"/>
      <c r="O218" s="131"/>
      <c r="P218" s="131"/>
      <c r="Q218" s="133"/>
      <c r="S218" s="84">
        <f t="shared" si="64"/>
        <v>0</v>
      </c>
      <c r="T218" s="133"/>
      <c r="U218" s="133"/>
      <c r="V218" s="133"/>
      <c r="W218" s="133"/>
      <c r="X218" s="133"/>
      <c r="Y218" s="133"/>
      <c r="Z218" s="133"/>
    </row>
    <row r="219" spans="1:26" ht="12.75" customHeight="1" x14ac:dyDescent="0.3">
      <c r="A219" s="131"/>
      <c r="B219" s="131"/>
      <c r="C219" s="131"/>
      <c r="D219" s="131"/>
      <c r="E219" s="131"/>
      <c r="F219" s="132"/>
      <c r="G219" s="131"/>
      <c r="H219" s="131"/>
      <c r="I219" s="131"/>
      <c r="J219" s="131"/>
      <c r="K219" s="131"/>
      <c r="L219" s="131"/>
      <c r="M219" s="131"/>
      <c r="N219" s="131"/>
      <c r="O219" s="131"/>
      <c r="P219" s="131"/>
      <c r="Q219" s="133"/>
      <c r="S219" s="84">
        <f t="shared" si="64"/>
        <v>0</v>
      </c>
      <c r="T219" s="133"/>
      <c r="U219" s="133"/>
      <c r="V219" s="133"/>
      <c r="W219" s="133"/>
      <c r="X219" s="133"/>
      <c r="Y219" s="133"/>
      <c r="Z219" s="133"/>
    </row>
    <row r="220" spans="1:26" ht="12.75" customHeight="1" x14ac:dyDescent="0.3">
      <c r="A220" s="131"/>
      <c r="B220" s="131"/>
      <c r="C220" s="131"/>
      <c r="D220" s="131"/>
      <c r="E220" s="131"/>
      <c r="F220" s="132"/>
      <c r="G220" s="131"/>
      <c r="H220" s="131"/>
      <c r="I220" s="131"/>
      <c r="J220" s="131"/>
      <c r="K220" s="131"/>
      <c r="L220" s="131"/>
      <c r="M220" s="131"/>
      <c r="N220" s="131"/>
      <c r="O220" s="131"/>
      <c r="P220" s="131"/>
      <c r="Q220" s="133"/>
      <c r="S220" s="84">
        <f t="shared" si="64"/>
        <v>0</v>
      </c>
      <c r="T220" s="133"/>
      <c r="U220" s="133"/>
      <c r="V220" s="133"/>
      <c r="W220" s="133"/>
      <c r="X220" s="133"/>
      <c r="Y220" s="133"/>
      <c r="Z220" s="133"/>
    </row>
    <row r="221" spans="1:26" ht="12.75" customHeight="1" x14ac:dyDescent="0.3">
      <c r="A221" s="131"/>
      <c r="B221" s="131"/>
      <c r="C221" s="131"/>
      <c r="D221" s="131"/>
      <c r="E221" s="131"/>
      <c r="F221" s="132"/>
      <c r="G221" s="131"/>
      <c r="H221" s="131"/>
      <c r="I221" s="131"/>
      <c r="J221" s="131"/>
      <c r="K221" s="131"/>
      <c r="L221" s="131"/>
      <c r="M221" s="131"/>
      <c r="N221" s="131"/>
      <c r="O221" s="131"/>
      <c r="P221" s="131"/>
      <c r="Q221" s="133"/>
      <c r="S221" s="84">
        <f t="shared" si="64"/>
        <v>0</v>
      </c>
      <c r="T221" s="133"/>
      <c r="U221" s="133"/>
      <c r="V221" s="133"/>
      <c r="W221" s="133"/>
      <c r="X221" s="133"/>
      <c r="Y221" s="133"/>
      <c r="Z221" s="133"/>
    </row>
    <row r="222" spans="1:26" ht="12.75" customHeight="1" x14ac:dyDescent="0.3">
      <c r="A222" s="131"/>
      <c r="B222" s="131"/>
      <c r="C222" s="131"/>
      <c r="D222" s="131"/>
      <c r="E222" s="131"/>
      <c r="F222" s="132"/>
      <c r="G222" s="131"/>
      <c r="H222" s="131"/>
      <c r="I222" s="131"/>
      <c r="J222" s="131"/>
      <c r="K222" s="131"/>
      <c r="L222" s="131"/>
      <c r="M222" s="131"/>
      <c r="N222" s="131"/>
      <c r="O222" s="131"/>
      <c r="P222" s="131"/>
      <c r="Q222" s="133"/>
      <c r="S222" s="84">
        <f t="shared" si="64"/>
        <v>0</v>
      </c>
      <c r="T222" s="133"/>
      <c r="U222" s="133"/>
      <c r="V222" s="133"/>
      <c r="W222" s="133"/>
      <c r="X222" s="133"/>
      <c r="Y222" s="133"/>
      <c r="Z222" s="133"/>
    </row>
    <row r="223" spans="1:26" ht="12.75" customHeight="1" x14ac:dyDescent="0.3">
      <c r="A223" s="131"/>
      <c r="B223" s="131"/>
      <c r="C223" s="131"/>
      <c r="D223" s="131"/>
      <c r="E223" s="131"/>
      <c r="F223" s="132"/>
      <c r="G223" s="131"/>
      <c r="H223" s="131"/>
      <c r="I223" s="131"/>
      <c r="J223" s="131"/>
      <c r="K223" s="131"/>
      <c r="L223" s="131"/>
      <c r="M223" s="131"/>
      <c r="N223" s="131"/>
      <c r="O223" s="131"/>
      <c r="P223" s="131"/>
      <c r="Q223" s="133"/>
      <c r="S223" s="84">
        <f t="shared" si="64"/>
        <v>0</v>
      </c>
      <c r="T223" s="133"/>
      <c r="U223" s="133"/>
      <c r="V223" s="133"/>
      <c r="W223" s="133"/>
      <c r="X223" s="133"/>
      <c r="Y223" s="133"/>
      <c r="Z223" s="133"/>
    </row>
    <row r="224" spans="1:26" ht="12.75" customHeight="1" x14ac:dyDescent="0.3">
      <c r="A224" s="131"/>
      <c r="B224" s="131"/>
      <c r="C224" s="131"/>
      <c r="D224" s="131"/>
      <c r="E224" s="131"/>
      <c r="F224" s="132"/>
      <c r="G224" s="131"/>
      <c r="H224" s="131"/>
      <c r="I224" s="131"/>
      <c r="J224" s="131"/>
      <c r="K224" s="131"/>
      <c r="L224" s="131"/>
      <c r="M224" s="131"/>
      <c r="N224" s="131"/>
      <c r="O224" s="131"/>
      <c r="P224" s="131"/>
      <c r="Q224" s="133"/>
      <c r="S224" s="84">
        <f t="shared" si="64"/>
        <v>0</v>
      </c>
      <c r="T224" s="133"/>
      <c r="U224" s="133"/>
      <c r="V224" s="133"/>
      <c r="W224" s="133"/>
      <c r="X224" s="133"/>
      <c r="Y224" s="133"/>
      <c r="Z224" s="133"/>
    </row>
    <row r="225" spans="1:26" ht="12.75" customHeight="1" x14ac:dyDescent="0.3">
      <c r="A225" s="131"/>
      <c r="B225" s="131"/>
      <c r="C225" s="131"/>
      <c r="D225" s="131"/>
      <c r="E225" s="131"/>
      <c r="F225" s="132"/>
      <c r="G225" s="131"/>
      <c r="H225" s="131"/>
      <c r="I225" s="131"/>
      <c r="J225" s="131"/>
      <c r="K225" s="131"/>
      <c r="L225" s="131"/>
      <c r="M225" s="131"/>
      <c r="N225" s="131"/>
      <c r="O225" s="131"/>
      <c r="P225" s="131"/>
      <c r="Q225" s="133"/>
      <c r="S225" s="84">
        <f t="shared" si="64"/>
        <v>0</v>
      </c>
      <c r="T225" s="133"/>
      <c r="U225" s="133"/>
      <c r="V225" s="133"/>
      <c r="W225" s="133"/>
      <c r="X225" s="133"/>
      <c r="Y225" s="133"/>
      <c r="Z225" s="133"/>
    </row>
    <row r="226" spans="1:26" ht="12.75" customHeight="1" x14ac:dyDescent="0.3">
      <c r="A226" s="131"/>
      <c r="B226" s="131"/>
      <c r="C226" s="131"/>
      <c r="D226" s="131"/>
      <c r="E226" s="131"/>
      <c r="F226" s="132"/>
      <c r="G226" s="131"/>
      <c r="H226" s="131"/>
      <c r="I226" s="131"/>
      <c r="J226" s="131"/>
      <c r="K226" s="131"/>
      <c r="L226" s="131"/>
      <c r="M226" s="131"/>
      <c r="N226" s="131"/>
      <c r="O226" s="131"/>
      <c r="P226" s="131"/>
      <c r="Q226" s="133"/>
      <c r="S226" s="84">
        <f t="shared" si="64"/>
        <v>0</v>
      </c>
      <c r="T226" s="133"/>
      <c r="U226" s="133"/>
      <c r="V226" s="133"/>
      <c r="W226" s="133"/>
      <c r="X226" s="133"/>
      <c r="Y226" s="133"/>
      <c r="Z226" s="133"/>
    </row>
    <row r="227" spans="1:26" ht="12.75" customHeight="1" x14ac:dyDescent="0.3">
      <c r="A227" s="131"/>
      <c r="B227" s="131"/>
      <c r="C227" s="131"/>
      <c r="D227" s="131"/>
      <c r="E227" s="131"/>
      <c r="F227" s="132"/>
      <c r="G227" s="131"/>
      <c r="H227" s="131"/>
      <c r="I227" s="131"/>
      <c r="J227" s="131"/>
      <c r="K227" s="131"/>
      <c r="L227" s="131"/>
      <c r="M227" s="131"/>
      <c r="N227" s="131"/>
      <c r="O227" s="131"/>
      <c r="P227" s="131"/>
      <c r="Q227" s="133"/>
      <c r="S227" s="84">
        <f t="shared" si="64"/>
        <v>0</v>
      </c>
      <c r="T227" s="133"/>
      <c r="U227" s="133"/>
      <c r="V227" s="133"/>
      <c r="W227" s="133"/>
      <c r="X227" s="133"/>
      <c r="Y227" s="133"/>
      <c r="Z227" s="133"/>
    </row>
    <row r="228" spans="1:26" ht="12.75" customHeight="1" x14ac:dyDescent="0.3">
      <c r="A228" s="131"/>
      <c r="B228" s="131"/>
      <c r="C228" s="131"/>
      <c r="D228" s="131"/>
      <c r="E228" s="131"/>
      <c r="F228" s="132"/>
      <c r="G228" s="131"/>
      <c r="H228" s="131"/>
      <c r="I228" s="131"/>
      <c r="J228" s="131"/>
      <c r="K228" s="131"/>
      <c r="L228" s="131"/>
      <c r="M228" s="131"/>
      <c r="N228" s="131"/>
      <c r="O228" s="131"/>
      <c r="P228" s="131"/>
      <c r="Q228" s="133"/>
      <c r="S228" s="84">
        <f t="shared" si="64"/>
        <v>0</v>
      </c>
      <c r="T228" s="133"/>
      <c r="U228" s="133"/>
      <c r="V228" s="133"/>
      <c r="W228" s="133"/>
      <c r="X228" s="133"/>
      <c r="Y228" s="133"/>
      <c r="Z228" s="133"/>
    </row>
    <row r="229" spans="1:26" ht="12.75" customHeight="1" x14ac:dyDescent="0.3">
      <c r="A229" s="131"/>
      <c r="B229" s="131"/>
      <c r="C229" s="131"/>
      <c r="D229" s="131"/>
      <c r="E229" s="131"/>
      <c r="F229" s="132"/>
      <c r="G229" s="131"/>
      <c r="H229" s="131"/>
      <c r="I229" s="131"/>
      <c r="J229" s="131"/>
      <c r="K229" s="131"/>
      <c r="L229" s="131"/>
      <c r="M229" s="131"/>
      <c r="N229" s="131"/>
      <c r="O229" s="131"/>
      <c r="P229" s="131"/>
      <c r="Q229" s="133"/>
      <c r="S229" s="84">
        <f t="shared" si="64"/>
        <v>0</v>
      </c>
      <c r="T229" s="133"/>
      <c r="U229" s="133"/>
      <c r="V229" s="133"/>
      <c r="W229" s="133"/>
      <c r="X229" s="133"/>
      <c r="Y229" s="133"/>
      <c r="Z229" s="133"/>
    </row>
    <row r="230" spans="1:26" ht="12.75" customHeight="1" x14ac:dyDescent="0.3">
      <c r="A230" s="131"/>
      <c r="B230" s="131"/>
      <c r="C230" s="131"/>
      <c r="D230" s="131"/>
      <c r="E230" s="131"/>
      <c r="F230" s="132"/>
      <c r="G230" s="131"/>
      <c r="H230" s="131"/>
      <c r="I230" s="131"/>
      <c r="J230" s="131"/>
      <c r="K230" s="131"/>
      <c r="L230" s="131"/>
      <c r="M230" s="131"/>
      <c r="N230" s="131"/>
      <c r="O230" s="131"/>
      <c r="P230" s="131"/>
      <c r="Q230" s="133"/>
      <c r="S230" s="84">
        <f t="shared" si="64"/>
        <v>0</v>
      </c>
      <c r="T230" s="133"/>
      <c r="U230" s="133"/>
      <c r="V230" s="133"/>
      <c r="W230" s="133"/>
      <c r="X230" s="133"/>
      <c r="Y230" s="133"/>
      <c r="Z230" s="133"/>
    </row>
    <row r="231" spans="1:26" ht="12.75" customHeight="1" x14ac:dyDescent="0.3">
      <c r="A231" s="131"/>
      <c r="B231" s="131"/>
      <c r="C231" s="131"/>
      <c r="D231" s="131"/>
      <c r="E231" s="131"/>
      <c r="F231" s="132"/>
      <c r="G231" s="131"/>
      <c r="H231" s="131"/>
      <c r="I231" s="131"/>
      <c r="J231" s="131"/>
      <c r="K231" s="131"/>
      <c r="L231" s="131"/>
      <c r="M231" s="131"/>
      <c r="N231" s="131"/>
      <c r="O231" s="131"/>
      <c r="P231" s="131"/>
      <c r="Q231" s="133"/>
      <c r="S231" s="84">
        <f t="shared" si="64"/>
        <v>0</v>
      </c>
      <c r="T231" s="133"/>
      <c r="U231" s="133"/>
      <c r="V231" s="133"/>
      <c r="W231" s="133"/>
      <c r="X231" s="133"/>
      <c r="Y231" s="133"/>
      <c r="Z231" s="133"/>
    </row>
    <row r="232" spans="1:26" ht="12.75" customHeight="1" x14ac:dyDescent="0.3">
      <c r="A232" s="131"/>
      <c r="B232" s="131"/>
      <c r="C232" s="131"/>
      <c r="D232" s="131"/>
      <c r="E232" s="131"/>
      <c r="F232" s="132"/>
      <c r="G232" s="131"/>
      <c r="H232" s="131"/>
      <c r="I232" s="131"/>
      <c r="J232" s="131"/>
      <c r="K232" s="131"/>
      <c r="L232" s="131"/>
      <c r="M232" s="131"/>
      <c r="N232" s="131"/>
      <c r="O232" s="131"/>
      <c r="P232" s="131"/>
      <c r="Q232" s="133"/>
      <c r="S232" s="84">
        <f t="shared" si="64"/>
        <v>0</v>
      </c>
      <c r="T232" s="133"/>
      <c r="U232" s="133"/>
      <c r="V232" s="133"/>
      <c r="W232" s="133"/>
      <c r="X232" s="133"/>
      <c r="Y232" s="133"/>
      <c r="Z232" s="133"/>
    </row>
    <row r="233" spans="1:26" ht="12.75" customHeight="1" x14ac:dyDescent="0.3">
      <c r="A233" s="131"/>
      <c r="B233" s="131"/>
      <c r="C233" s="131"/>
      <c r="D233" s="131"/>
      <c r="E233" s="131"/>
      <c r="F233" s="132"/>
      <c r="G233" s="131"/>
      <c r="H233" s="131"/>
      <c r="I233" s="131"/>
      <c r="J233" s="131"/>
      <c r="K233" s="131"/>
      <c r="L233" s="131"/>
      <c r="M233" s="131"/>
      <c r="N233" s="131"/>
      <c r="O233" s="131"/>
      <c r="P233" s="131"/>
      <c r="Q233" s="133"/>
      <c r="S233" s="84">
        <f t="shared" si="64"/>
        <v>0</v>
      </c>
      <c r="T233" s="133"/>
      <c r="U233" s="133"/>
      <c r="V233" s="133"/>
      <c r="W233" s="133"/>
      <c r="X233" s="133"/>
      <c r="Y233" s="133"/>
      <c r="Z233" s="133"/>
    </row>
    <row r="234" spans="1:26" ht="12.75" customHeight="1" x14ac:dyDescent="0.3">
      <c r="A234" s="131"/>
      <c r="B234" s="131"/>
      <c r="C234" s="131"/>
      <c r="D234" s="131"/>
      <c r="E234" s="131"/>
      <c r="F234" s="132"/>
      <c r="G234" s="131"/>
      <c r="H234" s="131"/>
      <c r="I234" s="131"/>
      <c r="J234" s="131"/>
      <c r="K234" s="131"/>
      <c r="L234" s="131"/>
      <c r="M234" s="131"/>
      <c r="N234" s="131"/>
      <c r="O234" s="131"/>
      <c r="P234" s="131"/>
      <c r="Q234" s="133"/>
      <c r="S234" s="84">
        <f t="shared" si="64"/>
        <v>0</v>
      </c>
      <c r="T234" s="133"/>
      <c r="U234" s="133"/>
      <c r="V234" s="133"/>
      <c r="W234" s="133"/>
      <c r="X234" s="133"/>
      <c r="Y234" s="133"/>
      <c r="Z234" s="133"/>
    </row>
    <row r="235" spans="1:26" ht="12.75" customHeight="1" x14ac:dyDescent="0.3">
      <c r="A235" s="131"/>
      <c r="B235" s="131"/>
      <c r="C235" s="131"/>
      <c r="D235" s="131"/>
      <c r="E235" s="131"/>
      <c r="F235" s="132"/>
      <c r="G235" s="131"/>
      <c r="H235" s="131"/>
      <c r="I235" s="131"/>
      <c r="J235" s="131"/>
      <c r="K235" s="131"/>
      <c r="L235" s="131"/>
      <c r="M235" s="131"/>
      <c r="N235" s="131"/>
      <c r="O235" s="131"/>
      <c r="P235" s="131"/>
      <c r="Q235" s="133"/>
      <c r="S235" s="84">
        <f t="shared" si="64"/>
        <v>0</v>
      </c>
      <c r="T235" s="133"/>
      <c r="U235" s="133"/>
      <c r="V235" s="133"/>
      <c r="W235" s="133"/>
      <c r="X235" s="133"/>
      <c r="Y235" s="133"/>
      <c r="Z235" s="133"/>
    </row>
    <row r="236" spans="1:26" ht="12.75" customHeight="1" x14ac:dyDescent="0.3">
      <c r="A236" s="131"/>
      <c r="B236" s="131"/>
      <c r="C236" s="131"/>
      <c r="D236" s="131"/>
      <c r="E236" s="131"/>
      <c r="F236" s="132"/>
      <c r="G236" s="131"/>
      <c r="H236" s="131"/>
      <c r="I236" s="131"/>
      <c r="J236" s="131"/>
      <c r="K236" s="131"/>
      <c r="L236" s="131"/>
      <c r="M236" s="131"/>
      <c r="N236" s="131"/>
      <c r="O236" s="131"/>
      <c r="P236" s="131"/>
      <c r="Q236" s="133"/>
      <c r="S236" s="84">
        <f t="shared" si="64"/>
        <v>0</v>
      </c>
      <c r="T236" s="133"/>
      <c r="U236" s="133"/>
      <c r="V236" s="133"/>
      <c r="W236" s="133"/>
      <c r="X236" s="133"/>
      <c r="Y236" s="133"/>
      <c r="Z236" s="133"/>
    </row>
    <row r="237" spans="1:26" ht="12.75" customHeight="1" x14ac:dyDescent="0.3">
      <c r="A237" s="131"/>
      <c r="B237" s="131"/>
      <c r="C237" s="131"/>
      <c r="D237" s="131"/>
      <c r="E237" s="131"/>
      <c r="F237" s="132"/>
      <c r="G237" s="131"/>
      <c r="H237" s="131"/>
      <c r="I237" s="131"/>
      <c r="J237" s="131"/>
      <c r="K237" s="131"/>
      <c r="L237" s="131"/>
      <c r="M237" s="131"/>
      <c r="N237" s="131"/>
      <c r="O237" s="131"/>
      <c r="P237" s="131"/>
      <c r="Q237" s="133"/>
      <c r="S237" s="84">
        <f t="shared" si="64"/>
        <v>0</v>
      </c>
      <c r="T237" s="133"/>
      <c r="U237" s="133"/>
      <c r="V237" s="133"/>
      <c r="W237" s="133"/>
      <c r="X237" s="133"/>
      <c r="Y237" s="133"/>
      <c r="Z237" s="133"/>
    </row>
    <row r="238" spans="1:26" ht="12.75" customHeight="1" x14ac:dyDescent="0.3">
      <c r="A238" s="131"/>
      <c r="B238" s="131"/>
      <c r="C238" s="131"/>
      <c r="D238" s="131"/>
      <c r="E238" s="131"/>
      <c r="F238" s="132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3"/>
      <c r="S238" s="84">
        <f t="shared" si="64"/>
        <v>0</v>
      </c>
      <c r="T238" s="133"/>
      <c r="U238" s="133"/>
      <c r="V238" s="133"/>
      <c r="W238" s="133"/>
      <c r="X238" s="133"/>
      <c r="Y238" s="133"/>
      <c r="Z238" s="133"/>
    </row>
    <row r="239" spans="1:26" ht="12.75" customHeight="1" x14ac:dyDescent="0.3">
      <c r="A239" s="131"/>
      <c r="B239" s="131"/>
      <c r="C239" s="131"/>
      <c r="D239" s="131"/>
      <c r="E239" s="131"/>
      <c r="F239" s="132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3"/>
      <c r="S239" s="84">
        <f t="shared" si="64"/>
        <v>0</v>
      </c>
      <c r="T239" s="133"/>
      <c r="U239" s="133"/>
      <c r="V239" s="133"/>
      <c r="W239" s="133"/>
      <c r="X239" s="133"/>
      <c r="Y239" s="133"/>
      <c r="Z239" s="133"/>
    </row>
    <row r="240" spans="1:26" ht="12.75" customHeight="1" x14ac:dyDescent="0.3">
      <c r="A240" s="131"/>
      <c r="B240" s="131"/>
      <c r="C240" s="131"/>
      <c r="D240" s="131"/>
      <c r="E240" s="131"/>
      <c r="F240" s="132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3"/>
      <c r="S240" s="84">
        <f t="shared" si="64"/>
        <v>0</v>
      </c>
      <c r="T240" s="133"/>
      <c r="U240" s="133"/>
      <c r="V240" s="133"/>
      <c r="W240" s="133"/>
      <c r="X240" s="133"/>
      <c r="Y240" s="133"/>
      <c r="Z240" s="133"/>
    </row>
    <row r="241" spans="1:26" ht="12.75" customHeight="1" x14ac:dyDescent="0.3">
      <c r="A241" s="131"/>
      <c r="B241" s="131"/>
      <c r="C241" s="131"/>
      <c r="D241" s="131"/>
      <c r="E241" s="131"/>
      <c r="F241" s="132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3"/>
      <c r="S241" s="84">
        <f t="shared" si="64"/>
        <v>0</v>
      </c>
      <c r="T241" s="133"/>
      <c r="U241" s="133"/>
      <c r="V241" s="133"/>
      <c r="W241" s="133"/>
      <c r="X241" s="133"/>
      <c r="Y241" s="133"/>
      <c r="Z241" s="133"/>
    </row>
    <row r="242" spans="1:26" ht="12.75" customHeight="1" x14ac:dyDescent="0.3">
      <c r="A242" s="131"/>
      <c r="B242" s="131"/>
      <c r="C242" s="131"/>
      <c r="D242" s="131"/>
      <c r="E242" s="131"/>
      <c r="F242" s="132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3"/>
      <c r="S242" s="84">
        <f t="shared" si="64"/>
        <v>0</v>
      </c>
      <c r="T242" s="133"/>
      <c r="U242" s="133"/>
      <c r="V242" s="133"/>
      <c r="W242" s="133"/>
      <c r="X242" s="133"/>
      <c r="Y242" s="133"/>
      <c r="Z242" s="133"/>
    </row>
    <row r="243" spans="1:26" ht="12.75" customHeight="1" x14ac:dyDescent="0.3">
      <c r="A243" s="131"/>
      <c r="B243" s="131"/>
      <c r="C243" s="131"/>
      <c r="D243" s="131"/>
      <c r="E243" s="131"/>
      <c r="F243" s="132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3"/>
      <c r="S243" s="84">
        <f t="shared" si="64"/>
        <v>0</v>
      </c>
      <c r="T243" s="133"/>
      <c r="U243" s="133"/>
      <c r="V243" s="133"/>
      <c r="W243" s="133"/>
      <c r="X243" s="133"/>
      <c r="Y243" s="133"/>
      <c r="Z243" s="133"/>
    </row>
    <row r="244" spans="1:26" ht="12.75" customHeight="1" x14ac:dyDescent="0.3">
      <c r="A244" s="131"/>
      <c r="B244" s="131"/>
      <c r="C244" s="131"/>
      <c r="D244" s="131"/>
      <c r="E244" s="131"/>
      <c r="F244" s="132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3"/>
      <c r="S244" s="84">
        <f t="shared" si="64"/>
        <v>0</v>
      </c>
      <c r="T244" s="133"/>
      <c r="U244" s="133"/>
      <c r="V244" s="133"/>
      <c r="W244" s="133"/>
      <c r="X244" s="133"/>
      <c r="Y244" s="133"/>
      <c r="Z244" s="133"/>
    </row>
    <row r="245" spans="1:26" ht="12.75" customHeight="1" x14ac:dyDescent="0.3">
      <c r="A245" s="131"/>
      <c r="B245" s="131"/>
      <c r="C245" s="131"/>
      <c r="D245" s="131"/>
      <c r="E245" s="131"/>
      <c r="F245" s="132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3"/>
      <c r="S245" s="84">
        <f t="shared" si="64"/>
        <v>0</v>
      </c>
      <c r="T245" s="133"/>
      <c r="U245" s="133"/>
      <c r="V245" s="133"/>
      <c r="W245" s="133"/>
      <c r="X245" s="133"/>
      <c r="Y245" s="133"/>
      <c r="Z245" s="133"/>
    </row>
    <row r="246" spans="1:26" ht="12.75" customHeight="1" x14ac:dyDescent="0.3">
      <c r="A246" s="131"/>
      <c r="B246" s="131"/>
      <c r="C246" s="131"/>
      <c r="D246" s="131"/>
      <c r="E246" s="131"/>
      <c r="F246" s="132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3"/>
      <c r="S246" s="84">
        <f t="shared" si="64"/>
        <v>0</v>
      </c>
      <c r="T246" s="133"/>
      <c r="U246" s="133"/>
      <c r="V246" s="133"/>
      <c r="W246" s="133"/>
      <c r="X246" s="133"/>
      <c r="Y246" s="133"/>
      <c r="Z246" s="133"/>
    </row>
    <row r="247" spans="1:26" ht="12.75" customHeight="1" x14ac:dyDescent="0.3">
      <c r="A247" s="131"/>
      <c r="B247" s="131"/>
      <c r="C247" s="131"/>
      <c r="D247" s="131"/>
      <c r="E247" s="131"/>
      <c r="F247" s="132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3"/>
      <c r="S247" s="84">
        <f t="shared" si="64"/>
        <v>0</v>
      </c>
      <c r="T247" s="133"/>
      <c r="U247" s="133"/>
      <c r="V247" s="133"/>
      <c r="W247" s="133"/>
      <c r="X247" s="133"/>
      <c r="Y247" s="133"/>
      <c r="Z247" s="133"/>
    </row>
    <row r="248" spans="1:26" ht="12.75" customHeight="1" x14ac:dyDescent="0.3">
      <c r="A248" s="131"/>
      <c r="B248" s="131"/>
      <c r="C248" s="131"/>
      <c r="D248" s="131"/>
      <c r="E248" s="131"/>
      <c r="F248" s="132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3"/>
      <c r="S248" s="84">
        <f t="shared" si="64"/>
        <v>0</v>
      </c>
      <c r="T248" s="133"/>
      <c r="U248" s="133"/>
      <c r="V248" s="133"/>
      <c r="W248" s="133"/>
      <c r="X248" s="133"/>
      <c r="Y248" s="133"/>
      <c r="Z248" s="133"/>
    </row>
    <row r="249" spans="1:26" ht="12.75" customHeight="1" x14ac:dyDescent="0.3">
      <c r="A249" s="131"/>
      <c r="B249" s="131"/>
      <c r="C249" s="131"/>
      <c r="D249" s="131"/>
      <c r="E249" s="131"/>
      <c r="F249" s="132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3"/>
      <c r="S249" s="84">
        <f t="shared" si="64"/>
        <v>0</v>
      </c>
      <c r="T249" s="133"/>
      <c r="U249" s="133"/>
      <c r="V249" s="133"/>
      <c r="W249" s="133"/>
      <c r="X249" s="133"/>
      <c r="Y249" s="133"/>
      <c r="Z249" s="133"/>
    </row>
    <row r="250" spans="1:26" ht="12.75" customHeight="1" x14ac:dyDescent="0.3">
      <c r="A250" s="131"/>
      <c r="B250" s="131"/>
      <c r="C250" s="131"/>
      <c r="D250" s="131"/>
      <c r="E250" s="131"/>
      <c r="F250" s="132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3"/>
      <c r="S250" s="84">
        <f t="shared" si="64"/>
        <v>0</v>
      </c>
      <c r="T250" s="133"/>
      <c r="U250" s="133"/>
      <c r="V250" s="133"/>
      <c r="W250" s="133"/>
      <c r="X250" s="133"/>
      <c r="Y250" s="133"/>
      <c r="Z250" s="133"/>
    </row>
    <row r="251" spans="1:26" ht="12.75" customHeight="1" x14ac:dyDescent="0.3">
      <c r="A251" s="131"/>
      <c r="B251" s="131"/>
      <c r="C251" s="131"/>
      <c r="D251" s="131"/>
      <c r="E251" s="131"/>
      <c r="F251" s="132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3"/>
      <c r="S251" s="84">
        <f t="shared" si="64"/>
        <v>0</v>
      </c>
      <c r="T251" s="133"/>
      <c r="U251" s="133"/>
      <c r="V251" s="133"/>
      <c r="W251" s="133"/>
      <c r="X251" s="133"/>
      <c r="Y251" s="133"/>
      <c r="Z251" s="133"/>
    </row>
    <row r="252" spans="1:26" ht="12.75" customHeight="1" x14ac:dyDescent="0.3">
      <c r="A252" s="131"/>
      <c r="B252" s="131"/>
      <c r="C252" s="131"/>
      <c r="D252" s="131"/>
      <c r="E252" s="131"/>
      <c r="F252" s="132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3"/>
      <c r="S252" s="84">
        <f t="shared" si="64"/>
        <v>0</v>
      </c>
      <c r="T252" s="133"/>
      <c r="U252" s="133"/>
      <c r="V252" s="133"/>
      <c r="W252" s="133"/>
      <c r="X252" s="133"/>
      <c r="Y252" s="133"/>
      <c r="Z252" s="133"/>
    </row>
    <row r="253" spans="1:26" ht="12.75" customHeight="1" x14ac:dyDescent="0.3">
      <c r="A253" s="131"/>
      <c r="B253" s="131"/>
      <c r="C253" s="131"/>
      <c r="D253" s="131"/>
      <c r="E253" s="131"/>
      <c r="F253" s="132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3"/>
      <c r="S253" s="84">
        <f t="shared" si="64"/>
        <v>0</v>
      </c>
      <c r="T253" s="133"/>
      <c r="U253" s="133"/>
      <c r="V253" s="133"/>
      <c r="W253" s="133"/>
      <c r="X253" s="133"/>
      <c r="Y253" s="133"/>
      <c r="Z253" s="133"/>
    </row>
    <row r="254" spans="1:26" ht="12.75" customHeight="1" x14ac:dyDescent="0.3">
      <c r="A254" s="131"/>
      <c r="B254" s="131"/>
      <c r="C254" s="131"/>
      <c r="D254" s="131"/>
      <c r="E254" s="131"/>
      <c r="F254" s="132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3"/>
      <c r="S254" s="84">
        <f t="shared" si="64"/>
        <v>0</v>
      </c>
      <c r="T254" s="133"/>
      <c r="U254" s="133"/>
      <c r="V254" s="133"/>
      <c r="W254" s="133"/>
      <c r="X254" s="133"/>
      <c r="Y254" s="133"/>
      <c r="Z254" s="133"/>
    </row>
    <row r="255" spans="1:26" ht="12.75" customHeight="1" x14ac:dyDescent="0.3">
      <c r="A255" s="131"/>
      <c r="B255" s="131"/>
      <c r="C255" s="131"/>
      <c r="D255" s="131"/>
      <c r="E255" s="131"/>
      <c r="F255" s="132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3"/>
      <c r="S255" s="84">
        <f t="shared" si="64"/>
        <v>0</v>
      </c>
      <c r="T255" s="133"/>
      <c r="U255" s="133"/>
      <c r="V255" s="133"/>
      <c r="W255" s="133"/>
      <c r="X255" s="133"/>
      <c r="Y255" s="133"/>
      <c r="Z255" s="133"/>
    </row>
    <row r="256" spans="1:26" ht="12.75" customHeight="1" x14ac:dyDescent="0.3">
      <c r="A256" s="131"/>
      <c r="B256" s="131"/>
      <c r="C256" s="131"/>
      <c r="D256" s="131"/>
      <c r="E256" s="131"/>
      <c r="F256" s="132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3"/>
      <c r="S256" s="84">
        <f t="shared" si="64"/>
        <v>0</v>
      </c>
      <c r="T256" s="133"/>
      <c r="U256" s="133"/>
      <c r="V256" s="133"/>
      <c r="W256" s="133"/>
      <c r="X256" s="133"/>
      <c r="Y256" s="133"/>
      <c r="Z256" s="133"/>
    </row>
    <row r="257" spans="1:26" ht="12.75" customHeight="1" x14ac:dyDescent="0.3">
      <c r="A257" s="131"/>
      <c r="B257" s="131"/>
      <c r="C257" s="131"/>
      <c r="D257" s="131"/>
      <c r="E257" s="131"/>
      <c r="F257" s="132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3"/>
      <c r="S257" s="84">
        <f t="shared" si="64"/>
        <v>0</v>
      </c>
      <c r="T257" s="133"/>
      <c r="U257" s="133"/>
      <c r="V257" s="133"/>
      <c r="W257" s="133"/>
      <c r="X257" s="133"/>
      <c r="Y257" s="133"/>
      <c r="Z257" s="133"/>
    </row>
    <row r="258" spans="1:26" ht="12.75" customHeight="1" x14ac:dyDescent="0.3">
      <c r="A258" s="131"/>
      <c r="B258" s="131"/>
      <c r="C258" s="131"/>
      <c r="D258" s="131"/>
      <c r="E258" s="131"/>
      <c r="F258" s="132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3"/>
      <c r="S258" s="84">
        <f t="shared" si="64"/>
        <v>0</v>
      </c>
      <c r="T258" s="133"/>
      <c r="U258" s="133"/>
      <c r="V258" s="133"/>
      <c r="W258" s="133"/>
      <c r="X258" s="133"/>
      <c r="Y258" s="133"/>
      <c r="Z258" s="133"/>
    </row>
    <row r="259" spans="1:26" ht="12.75" customHeight="1" x14ac:dyDescent="0.3">
      <c r="A259" s="131"/>
      <c r="B259" s="131"/>
      <c r="C259" s="131"/>
      <c r="D259" s="131"/>
      <c r="E259" s="131"/>
      <c r="F259" s="132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3"/>
      <c r="S259" s="84">
        <f t="shared" si="64"/>
        <v>0</v>
      </c>
      <c r="T259" s="133"/>
      <c r="U259" s="133"/>
      <c r="V259" s="133"/>
      <c r="W259" s="133"/>
      <c r="X259" s="133"/>
      <c r="Y259" s="133"/>
      <c r="Z259" s="133"/>
    </row>
    <row r="260" spans="1:26" ht="12.75" customHeight="1" x14ac:dyDescent="0.3">
      <c r="A260" s="131"/>
      <c r="B260" s="131"/>
      <c r="C260" s="131"/>
      <c r="D260" s="131"/>
      <c r="E260" s="131"/>
      <c r="F260" s="132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3"/>
      <c r="S260" s="84">
        <f t="shared" si="64"/>
        <v>0</v>
      </c>
      <c r="T260" s="133"/>
      <c r="U260" s="133"/>
      <c r="V260" s="133"/>
      <c r="W260" s="133"/>
      <c r="X260" s="133"/>
      <c r="Y260" s="133"/>
      <c r="Z260" s="133"/>
    </row>
    <row r="261" spans="1:26" ht="12.75" customHeight="1" x14ac:dyDescent="0.3">
      <c r="A261" s="131"/>
      <c r="B261" s="131"/>
      <c r="C261" s="131"/>
      <c r="D261" s="131"/>
      <c r="E261" s="131"/>
      <c r="F261" s="132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3"/>
      <c r="S261" s="84">
        <f t="shared" si="64"/>
        <v>0</v>
      </c>
      <c r="T261" s="133"/>
      <c r="U261" s="133"/>
      <c r="V261" s="133"/>
      <c r="W261" s="133"/>
      <c r="X261" s="133"/>
      <c r="Y261" s="133"/>
      <c r="Z261" s="133"/>
    </row>
    <row r="262" spans="1:26" ht="12.75" customHeight="1" x14ac:dyDescent="0.3">
      <c r="A262" s="131"/>
      <c r="B262" s="131"/>
      <c r="C262" s="131"/>
      <c r="D262" s="131"/>
      <c r="E262" s="131"/>
      <c r="F262" s="132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3"/>
      <c r="S262" s="84">
        <f t="shared" si="64"/>
        <v>0</v>
      </c>
      <c r="T262" s="133"/>
      <c r="U262" s="133"/>
      <c r="V262" s="133"/>
      <c r="W262" s="133"/>
      <c r="X262" s="133"/>
      <c r="Y262" s="133"/>
      <c r="Z262" s="133"/>
    </row>
    <row r="263" spans="1:26" ht="12.75" customHeight="1" x14ac:dyDescent="0.3">
      <c r="A263" s="131"/>
      <c r="B263" s="131"/>
      <c r="C263" s="131"/>
      <c r="D263" s="131"/>
      <c r="E263" s="131"/>
      <c r="F263" s="132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3"/>
      <c r="S263" s="84">
        <f t="shared" si="64"/>
        <v>0</v>
      </c>
      <c r="T263" s="133"/>
      <c r="U263" s="133"/>
      <c r="V263" s="133"/>
      <c r="W263" s="133"/>
      <c r="X263" s="133"/>
      <c r="Y263" s="133"/>
      <c r="Z263" s="133"/>
    </row>
    <row r="264" spans="1:26" ht="12.75" customHeight="1" x14ac:dyDescent="0.3">
      <c r="A264" s="131"/>
      <c r="B264" s="131"/>
      <c r="C264" s="131"/>
      <c r="D264" s="131"/>
      <c r="E264" s="131"/>
      <c r="F264" s="132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3"/>
      <c r="S264" s="84">
        <f t="shared" si="64"/>
        <v>0</v>
      </c>
      <c r="T264" s="133"/>
      <c r="U264" s="133"/>
      <c r="V264" s="133"/>
      <c r="W264" s="133"/>
      <c r="X264" s="133"/>
      <c r="Y264" s="133"/>
      <c r="Z264" s="133"/>
    </row>
    <row r="265" spans="1:26" ht="12.75" customHeight="1" x14ac:dyDescent="0.3">
      <c r="A265" s="131"/>
      <c r="B265" s="131"/>
      <c r="C265" s="131"/>
      <c r="D265" s="131"/>
      <c r="E265" s="131"/>
      <c r="F265" s="132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3"/>
      <c r="S265" s="84">
        <f t="shared" si="64"/>
        <v>0</v>
      </c>
      <c r="T265" s="133"/>
      <c r="U265" s="133"/>
      <c r="V265" s="133"/>
      <c r="W265" s="133"/>
      <c r="X265" s="133"/>
      <c r="Y265" s="133"/>
      <c r="Z265" s="133"/>
    </row>
    <row r="266" spans="1:26" ht="12.75" customHeight="1" x14ac:dyDescent="0.3">
      <c r="A266" s="131"/>
      <c r="B266" s="131"/>
      <c r="C266" s="131"/>
      <c r="D266" s="131"/>
      <c r="E266" s="131"/>
      <c r="F266" s="132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3"/>
      <c r="S266" s="84">
        <f t="shared" si="64"/>
        <v>0</v>
      </c>
      <c r="T266" s="133"/>
      <c r="U266" s="133"/>
      <c r="V266" s="133"/>
      <c r="W266" s="133"/>
      <c r="X266" s="133"/>
      <c r="Y266" s="133"/>
      <c r="Z266" s="133"/>
    </row>
    <row r="267" spans="1:26" ht="12.75" customHeight="1" x14ac:dyDescent="0.3">
      <c r="A267" s="131"/>
      <c r="B267" s="131"/>
      <c r="C267" s="131"/>
      <c r="D267" s="131"/>
      <c r="E267" s="131"/>
      <c r="F267" s="132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3"/>
      <c r="S267" s="84">
        <f t="shared" si="64"/>
        <v>0</v>
      </c>
      <c r="T267" s="133"/>
      <c r="U267" s="133"/>
      <c r="V267" s="133"/>
      <c r="W267" s="133"/>
      <c r="X267" s="133"/>
      <c r="Y267" s="133"/>
      <c r="Z267" s="133"/>
    </row>
    <row r="268" spans="1:26" ht="12.75" customHeight="1" x14ac:dyDescent="0.3">
      <c r="A268" s="131"/>
      <c r="B268" s="131"/>
      <c r="C268" s="131"/>
      <c r="D268" s="131"/>
      <c r="E268" s="131"/>
      <c r="F268" s="132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3"/>
      <c r="S268" s="84">
        <f t="shared" si="64"/>
        <v>0</v>
      </c>
      <c r="T268" s="133"/>
      <c r="U268" s="133"/>
      <c r="V268" s="133"/>
      <c r="W268" s="133"/>
      <c r="X268" s="133"/>
      <c r="Y268" s="133"/>
      <c r="Z268" s="133"/>
    </row>
    <row r="269" spans="1:26" ht="12.75" customHeight="1" x14ac:dyDescent="0.3">
      <c r="A269" s="131"/>
      <c r="B269" s="131"/>
      <c r="C269" s="131"/>
      <c r="D269" s="131"/>
      <c r="E269" s="131"/>
      <c r="F269" s="132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3"/>
      <c r="S269" s="84">
        <f t="shared" si="64"/>
        <v>0</v>
      </c>
      <c r="T269" s="133"/>
      <c r="U269" s="133"/>
      <c r="V269" s="133"/>
      <c r="W269" s="133"/>
      <c r="X269" s="133"/>
      <c r="Y269" s="133"/>
      <c r="Z269" s="133"/>
    </row>
    <row r="270" spans="1:26" ht="12.75" customHeight="1" x14ac:dyDescent="0.3">
      <c r="A270" s="131"/>
      <c r="B270" s="131"/>
      <c r="C270" s="131"/>
      <c r="D270" s="131"/>
      <c r="E270" s="131"/>
      <c r="F270" s="132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3"/>
      <c r="S270" s="84">
        <f t="shared" si="64"/>
        <v>0</v>
      </c>
      <c r="T270" s="133"/>
      <c r="U270" s="133"/>
      <c r="V270" s="133"/>
      <c r="W270" s="133"/>
      <c r="X270" s="133"/>
      <c r="Y270" s="133"/>
      <c r="Z270" s="133"/>
    </row>
    <row r="271" spans="1:26" ht="12.75" customHeight="1" x14ac:dyDescent="0.3">
      <c r="A271" s="131"/>
      <c r="B271" s="131"/>
      <c r="C271" s="131"/>
      <c r="D271" s="131"/>
      <c r="E271" s="131"/>
      <c r="F271" s="132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3"/>
      <c r="S271" s="84">
        <f t="shared" si="64"/>
        <v>0</v>
      </c>
      <c r="T271" s="133"/>
      <c r="U271" s="133"/>
      <c r="V271" s="133"/>
      <c r="W271" s="133"/>
      <c r="X271" s="133"/>
      <c r="Y271" s="133"/>
      <c r="Z271" s="133"/>
    </row>
    <row r="272" spans="1:26" ht="12.75" customHeight="1" x14ac:dyDescent="0.3">
      <c r="A272" s="131"/>
      <c r="B272" s="131"/>
      <c r="C272" s="131"/>
      <c r="D272" s="131"/>
      <c r="E272" s="131"/>
      <c r="F272" s="132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3"/>
      <c r="S272" s="84">
        <f t="shared" si="64"/>
        <v>0</v>
      </c>
      <c r="T272" s="133"/>
      <c r="U272" s="133"/>
      <c r="V272" s="133"/>
      <c r="W272" s="133"/>
      <c r="X272" s="133"/>
      <c r="Y272" s="133"/>
      <c r="Z272" s="133"/>
    </row>
    <row r="273" spans="1:26" ht="12.75" customHeight="1" x14ac:dyDescent="0.3">
      <c r="A273" s="131"/>
      <c r="B273" s="131"/>
      <c r="C273" s="131"/>
      <c r="D273" s="131"/>
      <c r="E273" s="131"/>
      <c r="F273" s="132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3"/>
      <c r="S273" s="84">
        <f t="shared" si="64"/>
        <v>0</v>
      </c>
      <c r="T273" s="133"/>
      <c r="U273" s="133"/>
      <c r="V273" s="133"/>
      <c r="W273" s="133"/>
      <c r="X273" s="133"/>
      <c r="Y273" s="133"/>
      <c r="Z273" s="133"/>
    </row>
    <row r="274" spans="1:26" ht="12.75" customHeight="1" x14ac:dyDescent="0.3">
      <c r="A274" s="131"/>
      <c r="B274" s="131"/>
      <c r="C274" s="131"/>
      <c r="D274" s="131"/>
      <c r="E274" s="131"/>
      <c r="F274" s="132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3"/>
      <c r="S274" s="84">
        <f t="shared" si="64"/>
        <v>0</v>
      </c>
      <c r="T274" s="133"/>
      <c r="U274" s="133"/>
      <c r="V274" s="133"/>
      <c r="W274" s="133"/>
      <c r="X274" s="133"/>
      <c r="Y274" s="133"/>
      <c r="Z274" s="133"/>
    </row>
    <row r="275" spans="1:26" ht="12.75" customHeight="1" x14ac:dyDescent="0.3">
      <c r="A275" s="131"/>
      <c r="B275" s="131"/>
      <c r="C275" s="131"/>
      <c r="D275" s="131"/>
      <c r="E275" s="131"/>
      <c r="F275" s="132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3"/>
      <c r="S275" s="84">
        <f t="shared" si="64"/>
        <v>0</v>
      </c>
      <c r="T275" s="133"/>
      <c r="U275" s="133"/>
      <c r="V275" s="133"/>
      <c r="W275" s="133"/>
      <c r="X275" s="133"/>
      <c r="Y275" s="133"/>
      <c r="Z275" s="133"/>
    </row>
    <row r="276" spans="1:26" ht="12.75" customHeight="1" x14ac:dyDescent="0.3">
      <c r="A276" s="131"/>
      <c r="B276" s="131"/>
      <c r="C276" s="131"/>
      <c r="D276" s="131"/>
      <c r="E276" s="131"/>
      <c r="F276" s="132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3"/>
      <c r="S276" s="84">
        <f t="shared" si="64"/>
        <v>0</v>
      </c>
      <c r="T276" s="133"/>
      <c r="U276" s="133"/>
      <c r="V276" s="133"/>
      <c r="W276" s="133"/>
      <c r="X276" s="133"/>
      <c r="Y276" s="133"/>
      <c r="Z276" s="133"/>
    </row>
    <row r="277" spans="1:26" ht="12.75" customHeight="1" x14ac:dyDescent="0.3">
      <c r="A277" s="131"/>
      <c r="B277" s="131"/>
      <c r="C277" s="131"/>
      <c r="D277" s="131"/>
      <c r="E277" s="131"/>
      <c r="F277" s="132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3"/>
      <c r="S277" s="84">
        <f t="shared" si="64"/>
        <v>0</v>
      </c>
      <c r="T277" s="133"/>
      <c r="U277" s="133"/>
      <c r="V277" s="133"/>
      <c r="W277" s="133"/>
      <c r="X277" s="133"/>
      <c r="Y277" s="133"/>
      <c r="Z277" s="133"/>
    </row>
    <row r="278" spans="1:26" ht="12.75" customHeight="1" x14ac:dyDescent="0.3">
      <c r="A278" s="131"/>
      <c r="B278" s="131"/>
      <c r="C278" s="131"/>
      <c r="D278" s="131"/>
      <c r="E278" s="131"/>
      <c r="F278" s="132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3"/>
      <c r="S278" s="84">
        <f t="shared" si="64"/>
        <v>0</v>
      </c>
      <c r="T278" s="133"/>
      <c r="U278" s="133"/>
      <c r="V278" s="133"/>
      <c r="W278" s="133"/>
      <c r="X278" s="133"/>
      <c r="Y278" s="133"/>
      <c r="Z278" s="133"/>
    </row>
    <row r="279" spans="1:26" ht="12.75" customHeight="1" x14ac:dyDescent="0.3">
      <c r="A279" s="131"/>
      <c r="B279" s="131"/>
      <c r="C279" s="131"/>
      <c r="D279" s="131"/>
      <c r="E279" s="131"/>
      <c r="F279" s="132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3"/>
      <c r="S279" s="84">
        <f t="shared" si="64"/>
        <v>0</v>
      </c>
      <c r="T279" s="133"/>
      <c r="U279" s="133"/>
      <c r="V279" s="133"/>
      <c r="W279" s="133"/>
      <c r="X279" s="133"/>
      <c r="Y279" s="133"/>
      <c r="Z279" s="133"/>
    </row>
    <row r="280" spans="1:26" ht="12.75" customHeight="1" x14ac:dyDescent="0.3">
      <c r="A280" s="131"/>
      <c r="B280" s="131"/>
      <c r="C280" s="131"/>
      <c r="D280" s="131"/>
      <c r="E280" s="131"/>
      <c r="F280" s="132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3"/>
      <c r="S280" s="84">
        <f t="shared" si="64"/>
        <v>0</v>
      </c>
      <c r="T280" s="133"/>
      <c r="U280" s="133"/>
      <c r="V280" s="133"/>
      <c r="W280" s="133"/>
      <c r="X280" s="133"/>
      <c r="Y280" s="133"/>
      <c r="Z280" s="133"/>
    </row>
    <row r="281" spans="1:26" ht="12.75" customHeight="1" x14ac:dyDescent="0.3">
      <c r="A281" s="131"/>
      <c r="B281" s="131"/>
      <c r="C281" s="131"/>
      <c r="D281" s="131"/>
      <c r="E281" s="131"/>
      <c r="F281" s="132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3"/>
      <c r="S281" s="84">
        <f t="shared" si="64"/>
        <v>0</v>
      </c>
      <c r="T281" s="133"/>
      <c r="U281" s="133"/>
      <c r="V281" s="133"/>
      <c r="W281" s="133"/>
      <c r="X281" s="133"/>
      <c r="Y281" s="133"/>
      <c r="Z281" s="133"/>
    </row>
    <row r="282" spans="1:26" ht="12.75" customHeight="1" x14ac:dyDescent="0.3">
      <c r="A282" s="131"/>
      <c r="B282" s="131"/>
      <c r="C282" s="131"/>
      <c r="D282" s="131"/>
      <c r="E282" s="131"/>
      <c r="F282" s="132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3"/>
      <c r="S282" s="84">
        <f t="shared" si="64"/>
        <v>0</v>
      </c>
      <c r="T282" s="133"/>
      <c r="U282" s="133"/>
      <c r="V282" s="133"/>
      <c r="W282" s="133"/>
      <c r="X282" s="133"/>
      <c r="Y282" s="133"/>
      <c r="Z282" s="133"/>
    </row>
    <row r="283" spans="1:26" ht="12.75" customHeight="1" x14ac:dyDescent="0.3">
      <c r="A283" s="131"/>
      <c r="B283" s="131"/>
      <c r="C283" s="131"/>
      <c r="D283" s="131"/>
      <c r="E283" s="131"/>
      <c r="F283" s="132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3"/>
      <c r="S283" s="84">
        <f t="shared" si="64"/>
        <v>0</v>
      </c>
      <c r="T283" s="133"/>
      <c r="U283" s="133"/>
      <c r="V283" s="133"/>
      <c r="W283" s="133"/>
      <c r="X283" s="133"/>
      <c r="Y283" s="133"/>
      <c r="Z283" s="133"/>
    </row>
    <row r="284" spans="1:26" ht="12.75" customHeight="1" x14ac:dyDescent="0.3">
      <c r="A284" s="131"/>
      <c r="B284" s="131"/>
      <c r="C284" s="131"/>
      <c r="D284" s="131"/>
      <c r="E284" s="131"/>
      <c r="F284" s="132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3"/>
      <c r="S284" s="84">
        <f t="shared" si="64"/>
        <v>0</v>
      </c>
      <c r="T284" s="133"/>
      <c r="U284" s="133"/>
      <c r="V284" s="133"/>
      <c r="W284" s="133"/>
      <c r="X284" s="133"/>
      <c r="Y284" s="133"/>
      <c r="Z284" s="133"/>
    </row>
    <row r="285" spans="1:26" ht="12.75" customHeight="1" x14ac:dyDescent="0.3">
      <c r="A285" s="131"/>
      <c r="B285" s="131"/>
      <c r="C285" s="131"/>
      <c r="D285" s="131"/>
      <c r="E285" s="131"/>
      <c r="F285" s="132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3"/>
      <c r="S285" s="84">
        <f t="shared" si="64"/>
        <v>0</v>
      </c>
      <c r="T285" s="133"/>
      <c r="U285" s="133"/>
      <c r="V285" s="133"/>
      <c r="W285" s="133"/>
      <c r="X285" s="133"/>
      <c r="Y285" s="133"/>
      <c r="Z285" s="133"/>
    </row>
    <row r="286" spans="1:26" ht="12.75" customHeight="1" x14ac:dyDescent="0.3">
      <c r="A286" s="131"/>
      <c r="B286" s="131"/>
      <c r="C286" s="131"/>
      <c r="D286" s="131"/>
      <c r="E286" s="131"/>
      <c r="F286" s="132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3"/>
      <c r="S286" s="84">
        <f t="shared" si="64"/>
        <v>0</v>
      </c>
      <c r="T286" s="133"/>
      <c r="U286" s="133"/>
      <c r="V286" s="133"/>
      <c r="W286" s="133"/>
      <c r="X286" s="133"/>
      <c r="Y286" s="133"/>
      <c r="Z286" s="133"/>
    </row>
    <row r="287" spans="1:26" ht="12.75" customHeight="1" x14ac:dyDescent="0.3">
      <c r="A287" s="131"/>
      <c r="B287" s="131"/>
      <c r="C287" s="131"/>
      <c r="D287" s="131"/>
      <c r="E287" s="131"/>
      <c r="F287" s="132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3"/>
      <c r="S287" s="84">
        <f t="shared" si="64"/>
        <v>0</v>
      </c>
      <c r="T287" s="133"/>
      <c r="U287" s="133"/>
      <c r="V287" s="133"/>
      <c r="W287" s="133"/>
      <c r="X287" s="133"/>
      <c r="Y287" s="133"/>
      <c r="Z287" s="133"/>
    </row>
    <row r="288" spans="1:26" ht="12.75" customHeight="1" x14ac:dyDescent="0.3">
      <c r="A288" s="131"/>
      <c r="B288" s="131"/>
      <c r="C288" s="131"/>
      <c r="D288" s="131"/>
      <c r="E288" s="131"/>
      <c r="F288" s="132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3"/>
      <c r="S288" s="84">
        <f t="shared" si="64"/>
        <v>0</v>
      </c>
      <c r="T288" s="133"/>
      <c r="U288" s="133"/>
      <c r="V288" s="133"/>
      <c r="W288" s="133"/>
      <c r="X288" s="133"/>
      <c r="Y288" s="133"/>
      <c r="Z288" s="133"/>
    </row>
    <row r="289" spans="1:26" ht="12.75" customHeight="1" x14ac:dyDescent="0.3">
      <c r="A289" s="131"/>
      <c r="B289" s="131"/>
      <c r="C289" s="131"/>
      <c r="D289" s="131"/>
      <c r="E289" s="131"/>
      <c r="F289" s="132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3"/>
      <c r="S289" s="84">
        <f t="shared" si="64"/>
        <v>0</v>
      </c>
      <c r="T289" s="133"/>
      <c r="U289" s="133"/>
      <c r="V289" s="133"/>
      <c r="W289" s="133"/>
      <c r="X289" s="133"/>
      <c r="Y289" s="133"/>
      <c r="Z289" s="133"/>
    </row>
    <row r="290" spans="1:26" ht="12.75" customHeight="1" x14ac:dyDescent="0.3">
      <c r="A290" s="131"/>
      <c r="B290" s="131"/>
      <c r="C290" s="131"/>
      <c r="D290" s="131"/>
      <c r="E290" s="131"/>
      <c r="F290" s="132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3"/>
      <c r="S290" s="84">
        <f t="shared" si="64"/>
        <v>0</v>
      </c>
      <c r="T290" s="133"/>
      <c r="U290" s="133"/>
      <c r="V290" s="133"/>
      <c r="W290" s="133"/>
      <c r="X290" s="133"/>
      <c r="Y290" s="133"/>
      <c r="Z290" s="133"/>
    </row>
    <row r="291" spans="1:26" ht="12.75" customHeight="1" x14ac:dyDescent="0.3">
      <c r="A291" s="131"/>
      <c r="B291" s="131"/>
      <c r="C291" s="131"/>
      <c r="D291" s="131"/>
      <c r="E291" s="131"/>
      <c r="F291" s="132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3"/>
      <c r="S291" s="84">
        <f t="shared" si="64"/>
        <v>0</v>
      </c>
      <c r="T291" s="133"/>
      <c r="U291" s="133"/>
      <c r="V291" s="133"/>
      <c r="W291" s="133"/>
      <c r="X291" s="133"/>
      <c r="Y291" s="133"/>
      <c r="Z291" s="133"/>
    </row>
    <row r="292" spans="1:26" ht="12.75" customHeight="1" x14ac:dyDescent="0.3">
      <c r="A292" s="131"/>
      <c r="B292" s="131"/>
      <c r="C292" s="131"/>
      <c r="D292" s="131"/>
      <c r="E292" s="131"/>
      <c r="F292" s="132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3"/>
      <c r="S292" s="84">
        <f t="shared" si="64"/>
        <v>0</v>
      </c>
      <c r="T292" s="133"/>
      <c r="U292" s="133"/>
      <c r="V292" s="133"/>
      <c r="W292" s="133"/>
      <c r="X292" s="133"/>
      <c r="Y292" s="133"/>
      <c r="Z292" s="133"/>
    </row>
    <row r="293" spans="1:26" ht="12.75" customHeight="1" x14ac:dyDescent="0.3">
      <c r="A293" s="131"/>
      <c r="B293" s="131"/>
      <c r="C293" s="131"/>
      <c r="D293" s="131"/>
      <c r="E293" s="131"/>
      <c r="F293" s="132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3"/>
      <c r="S293" s="84">
        <f t="shared" si="64"/>
        <v>0</v>
      </c>
      <c r="T293" s="133"/>
      <c r="U293" s="133"/>
      <c r="V293" s="133"/>
      <c r="W293" s="133"/>
      <c r="X293" s="133"/>
      <c r="Y293" s="133"/>
      <c r="Z293" s="133"/>
    </row>
    <row r="294" spans="1:26" ht="12.75" customHeight="1" x14ac:dyDescent="0.3">
      <c r="A294" s="131"/>
      <c r="B294" s="131"/>
      <c r="C294" s="131"/>
      <c r="D294" s="131"/>
      <c r="E294" s="131"/>
      <c r="F294" s="132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3"/>
      <c r="S294" s="84">
        <f t="shared" si="64"/>
        <v>0</v>
      </c>
      <c r="T294" s="133"/>
      <c r="U294" s="133"/>
      <c r="V294" s="133"/>
      <c r="W294" s="133"/>
      <c r="X294" s="133"/>
      <c r="Y294" s="133"/>
      <c r="Z294" s="133"/>
    </row>
    <row r="295" spans="1:26" ht="12.75" customHeight="1" x14ac:dyDescent="0.3">
      <c r="A295" s="131"/>
      <c r="B295" s="131"/>
      <c r="C295" s="131"/>
      <c r="D295" s="131"/>
      <c r="E295" s="131"/>
      <c r="F295" s="132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3"/>
      <c r="S295" s="84">
        <f t="shared" si="64"/>
        <v>0</v>
      </c>
      <c r="T295" s="133"/>
      <c r="U295" s="133"/>
      <c r="V295" s="133"/>
      <c r="W295" s="133"/>
      <c r="X295" s="133"/>
      <c r="Y295" s="133"/>
      <c r="Z295" s="133"/>
    </row>
    <row r="296" spans="1:26" ht="12.75" customHeight="1" x14ac:dyDescent="0.3">
      <c r="A296" s="131"/>
      <c r="B296" s="131"/>
      <c r="C296" s="131"/>
      <c r="D296" s="131"/>
      <c r="E296" s="131"/>
      <c r="F296" s="132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3"/>
      <c r="S296" s="84">
        <f t="shared" si="64"/>
        <v>0</v>
      </c>
      <c r="T296" s="133"/>
      <c r="U296" s="133"/>
      <c r="V296" s="133"/>
      <c r="W296" s="133"/>
      <c r="X296" s="133"/>
      <c r="Y296" s="133"/>
      <c r="Z296" s="133"/>
    </row>
    <row r="297" spans="1:26" ht="12.75" customHeight="1" x14ac:dyDescent="0.3">
      <c r="A297" s="131"/>
      <c r="B297" s="131"/>
      <c r="C297" s="131"/>
      <c r="D297" s="131"/>
      <c r="E297" s="131"/>
      <c r="F297" s="132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3"/>
      <c r="S297" s="84">
        <f t="shared" si="64"/>
        <v>0</v>
      </c>
      <c r="T297" s="133"/>
      <c r="U297" s="133"/>
      <c r="V297" s="133"/>
      <c r="W297" s="133"/>
      <c r="X297" s="133"/>
      <c r="Y297" s="133"/>
      <c r="Z297" s="133"/>
    </row>
    <row r="298" spans="1:26" ht="12.75" customHeight="1" x14ac:dyDescent="0.3">
      <c r="A298" s="131"/>
      <c r="B298" s="131"/>
      <c r="C298" s="131"/>
      <c r="D298" s="131"/>
      <c r="E298" s="131"/>
      <c r="F298" s="132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3"/>
      <c r="S298" s="84">
        <f t="shared" si="64"/>
        <v>0</v>
      </c>
      <c r="T298" s="133"/>
      <c r="U298" s="133"/>
      <c r="V298" s="133"/>
      <c r="W298" s="133"/>
      <c r="X298" s="133"/>
      <c r="Y298" s="133"/>
      <c r="Z298" s="133"/>
    </row>
    <row r="299" spans="1:26" ht="12.75" customHeight="1" x14ac:dyDescent="0.3">
      <c r="A299" s="131"/>
      <c r="B299" s="131"/>
      <c r="C299" s="131"/>
      <c r="D299" s="131"/>
      <c r="E299" s="131"/>
      <c r="F299" s="132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3"/>
      <c r="S299" s="84">
        <f t="shared" si="64"/>
        <v>0</v>
      </c>
      <c r="T299" s="133"/>
      <c r="U299" s="133"/>
      <c r="V299" s="133"/>
      <c r="W299" s="133"/>
      <c r="X299" s="133"/>
      <c r="Y299" s="133"/>
      <c r="Z299" s="133"/>
    </row>
    <row r="300" spans="1:26" ht="12.75" customHeight="1" x14ac:dyDescent="0.3">
      <c r="A300" s="131"/>
      <c r="B300" s="131"/>
      <c r="C300" s="131"/>
      <c r="D300" s="131"/>
      <c r="E300" s="131"/>
      <c r="F300" s="132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3"/>
      <c r="S300" s="84">
        <f t="shared" si="64"/>
        <v>0</v>
      </c>
      <c r="T300" s="133"/>
      <c r="U300" s="133"/>
      <c r="V300" s="133"/>
      <c r="W300" s="133"/>
      <c r="X300" s="133"/>
      <c r="Y300" s="133"/>
      <c r="Z300" s="133"/>
    </row>
    <row r="301" spans="1:26" ht="12.75" customHeight="1" x14ac:dyDescent="0.3">
      <c r="A301" s="131"/>
      <c r="B301" s="131"/>
      <c r="C301" s="131"/>
      <c r="D301" s="131"/>
      <c r="E301" s="131"/>
      <c r="F301" s="132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3"/>
      <c r="S301" s="84">
        <f t="shared" si="64"/>
        <v>0</v>
      </c>
      <c r="T301" s="133"/>
      <c r="U301" s="133"/>
      <c r="V301" s="133"/>
      <c r="W301" s="133"/>
      <c r="X301" s="133"/>
      <c r="Y301" s="133"/>
      <c r="Z301" s="133"/>
    </row>
    <row r="302" spans="1:26" ht="12.75" customHeight="1" x14ac:dyDescent="0.3">
      <c r="A302" s="131"/>
      <c r="B302" s="131"/>
      <c r="C302" s="131"/>
      <c r="D302" s="131"/>
      <c r="E302" s="131"/>
      <c r="F302" s="132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3"/>
      <c r="S302" s="84">
        <f t="shared" si="64"/>
        <v>0</v>
      </c>
      <c r="T302" s="133"/>
      <c r="U302" s="133"/>
      <c r="V302" s="133"/>
      <c r="W302" s="133"/>
      <c r="X302" s="133"/>
      <c r="Y302" s="133"/>
      <c r="Z302" s="133"/>
    </row>
    <row r="303" spans="1:26" ht="12.75" customHeight="1" x14ac:dyDescent="0.3">
      <c r="A303" s="131"/>
      <c r="B303" s="131"/>
      <c r="C303" s="131"/>
      <c r="D303" s="131"/>
      <c r="E303" s="131"/>
      <c r="F303" s="132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3"/>
      <c r="S303" s="84">
        <f t="shared" si="64"/>
        <v>0</v>
      </c>
      <c r="T303" s="133"/>
      <c r="U303" s="133"/>
      <c r="V303" s="133"/>
      <c r="W303" s="133"/>
      <c r="X303" s="133"/>
      <c r="Y303" s="133"/>
      <c r="Z303" s="133"/>
    </row>
    <row r="304" spans="1:26" ht="12.75" customHeight="1" x14ac:dyDescent="0.3">
      <c r="A304" s="131"/>
      <c r="B304" s="131"/>
      <c r="C304" s="131"/>
      <c r="D304" s="131"/>
      <c r="E304" s="131"/>
      <c r="F304" s="132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3"/>
      <c r="S304" s="84">
        <f t="shared" si="64"/>
        <v>0</v>
      </c>
      <c r="T304" s="133"/>
      <c r="U304" s="133"/>
      <c r="V304" s="133"/>
      <c r="W304" s="133"/>
      <c r="X304" s="133"/>
      <c r="Y304" s="133"/>
      <c r="Z304" s="133"/>
    </row>
    <row r="305" spans="1:26" ht="12.75" customHeight="1" x14ac:dyDescent="0.3">
      <c r="A305" s="131"/>
      <c r="B305" s="131"/>
      <c r="C305" s="131"/>
      <c r="D305" s="131"/>
      <c r="E305" s="131"/>
      <c r="F305" s="132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3"/>
      <c r="S305" s="84">
        <f t="shared" si="64"/>
        <v>0</v>
      </c>
      <c r="T305" s="133"/>
      <c r="U305" s="133"/>
      <c r="V305" s="133"/>
      <c r="W305" s="133"/>
      <c r="X305" s="133"/>
      <c r="Y305" s="133"/>
      <c r="Z305" s="133"/>
    </row>
    <row r="306" spans="1:26" ht="12.75" customHeight="1" x14ac:dyDescent="0.3">
      <c r="A306" s="131"/>
      <c r="B306" s="131"/>
      <c r="C306" s="131"/>
      <c r="D306" s="131"/>
      <c r="E306" s="131"/>
      <c r="F306" s="132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3"/>
      <c r="S306" s="84">
        <f t="shared" si="64"/>
        <v>0</v>
      </c>
      <c r="T306" s="133"/>
      <c r="U306" s="133"/>
      <c r="V306" s="133"/>
      <c r="W306" s="133"/>
      <c r="X306" s="133"/>
      <c r="Y306" s="133"/>
      <c r="Z306" s="133"/>
    </row>
    <row r="307" spans="1:26" ht="12.75" customHeight="1" x14ac:dyDescent="0.3">
      <c r="A307" s="131"/>
      <c r="B307" s="131"/>
      <c r="C307" s="131"/>
      <c r="D307" s="131"/>
      <c r="E307" s="131"/>
      <c r="F307" s="132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3"/>
      <c r="S307" s="84">
        <f t="shared" si="64"/>
        <v>0</v>
      </c>
      <c r="T307" s="133"/>
      <c r="U307" s="133"/>
      <c r="V307" s="133"/>
      <c r="W307" s="133"/>
      <c r="X307" s="133"/>
      <c r="Y307" s="133"/>
      <c r="Z307" s="133"/>
    </row>
    <row r="308" spans="1:26" ht="12.75" customHeight="1" x14ac:dyDescent="0.3">
      <c r="A308" s="131"/>
      <c r="B308" s="131"/>
      <c r="C308" s="131"/>
      <c r="D308" s="131"/>
      <c r="E308" s="131"/>
      <c r="F308" s="132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3"/>
      <c r="S308" s="84">
        <f t="shared" si="64"/>
        <v>0</v>
      </c>
      <c r="T308" s="133"/>
      <c r="U308" s="133"/>
      <c r="V308" s="133"/>
      <c r="W308" s="133"/>
      <c r="X308" s="133"/>
      <c r="Y308" s="133"/>
      <c r="Z308" s="133"/>
    </row>
    <row r="309" spans="1:26" ht="12.75" customHeight="1" x14ac:dyDescent="0.3">
      <c r="A309" s="131"/>
      <c r="B309" s="131"/>
      <c r="C309" s="131"/>
      <c r="D309" s="131"/>
      <c r="E309" s="131"/>
      <c r="F309" s="132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3"/>
      <c r="S309" s="84">
        <f t="shared" si="64"/>
        <v>0</v>
      </c>
      <c r="T309" s="133"/>
      <c r="U309" s="133"/>
      <c r="V309" s="133"/>
      <c r="W309" s="133"/>
      <c r="X309" s="133"/>
      <c r="Y309" s="133"/>
      <c r="Z309" s="133"/>
    </row>
    <row r="310" spans="1:26" ht="12.75" customHeight="1" x14ac:dyDescent="0.3">
      <c r="A310" s="131"/>
      <c r="B310" s="131"/>
      <c r="C310" s="131"/>
      <c r="D310" s="131"/>
      <c r="E310" s="131"/>
      <c r="F310" s="132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3"/>
      <c r="S310" s="84">
        <f t="shared" si="64"/>
        <v>0</v>
      </c>
      <c r="T310" s="133"/>
      <c r="U310" s="133"/>
      <c r="V310" s="133"/>
      <c r="W310" s="133"/>
      <c r="X310" s="133"/>
      <c r="Y310" s="133"/>
      <c r="Z310" s="133"/>
    </row>
    <row r="311" spans="1:26" ht="12.75" customHeight="1" x14ac:dyDescent="0.3">
      <c r="A311" s="131"/>
      <c r="B311" s="131"/>
      <c r="C311" s="131"/>
      <c r="D311" s="131"/>
      <c r="E311" s="131"/>
      <c r="F311" s="132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3"/>
      <c r="S311" s="84">
        <f t="shared" si="64"/>
        <v>0</v>
      </c>
      <c r="T311" s="133"/>
      <c r="U311" s="133"/>
      <c r="V311" s="133"/>
      <c r="W311" s="133"/>
      <c r="X311" s="133"/>
      <c r="Y311" s="133"/>
      <c r="Z311" s="133"/>
    </row>
    <row r="312" spans="1:26" ht="12.75" customHeight="1" x14ac:dyDescent="0.3">
      <c r="A312" s="131"/>
      <c r="B312" s="131"/>
      <c r="C312" s="131"/>
      <c r="D312" s="131"/>
      <c r="E312" s="131"/>
      <c r="F312" s="132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3"/>
      <c r="S312" s="84">
        <f t="shared" si="64"/>
        <v>0</v>
      </c>
      <c r="T312" s="133"/>
      <c r="U312" s="133"/>
      <c r="V312" s="133"/>
      <c r="W312" s="133"/>
      <c r="X312" s="133"/>
      <c r="Y312" s="133"/>
      <c r="Z312" s="133"/>
    </row>
    <row r="313" spans="1:26" ht="12.75" customHeight="1" x14ac:dyDescent="0.3">
      <c r="A313" s="131"/>
      <c r="B313" s="131"/>
      <c r="C313" s="131"/>
      <c r="D313" s="131"/>
      <c r="E313" s="131"/>
      <c r="F313" s="132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3"/>
      <c r="S313" s="84">
        <f t="shared" si="64"/>
        <v>0</v>
      </c>
      <c r="T313" s="133"/>
      <c r="U313" s="133"/>
      <c r="V313" s="133"/>
      <c r="W313" s="133"/>
      <c r="X313" s="133"/>
      <c r="Y313" s="133"/>
      <c r="Z313" s="133"/>
    </row>
    <row r="314" spans="1:26" ht="12.75" customHeight="1" x14ac:dyDescent="0.3">
      <c r="A314" s="131"/>
      <c r="B314" s="131"/>
      <c r="C314" s="131"/>
      <c r="D314" s="131"/>
      <c r="E314" s="131"/>
      <c r="F314" s="132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3"/>
      <c r="S314" s="84">
        <f t="shared" si="64"/>
        <v>0</v>
      </c>
      <c r="T314" s="133"/>
      <c r="U314" s="133"/>
      <c r="V314" s="133"/>
      <c r="W314" s="133"/>
      <c r="X314" s="133"/>
      <c r="Y314" s="133"/>
      <c r="Z314" s="133"/>
    </row>
    <row r="315" spans="1:26" ht="12.75" customHeight="1" x14ac:dyDescent="0.3">
      <c r="A315" s="131"/>
      <c r="B315" s="131"/>
      <c r="C315" s="131"/>
      <c r="D315" s="131"/>
      <c r="E315" s="131"/>
      <c r="F315" s="132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3"/>
      <c r="S315" s="84">
        <f t="shared" si="64"/>
        <v>0</v>
      </c>
      <c r="T315" s="133"/>
      <c r="U315" s="133"/>
      <c r="V315" s="133"/>
      <c r="W315" s="133"/>
      <c r="X315" s="133"/>
      <c r="Y315" s="133"/>
      <c r="Z315" s="133"/>
    </row>
    <row r="316" spans="1:26" ht="12.75" customHeight="1" x14ac:dyDescent="0.3">
      <c r="A316" s="131"/>
      <c r="B316" s="131"/>
      <c r="C316" s="131"/>
      <c r="D316" s="131"/>
      <c r="E316" s="131"/>
      <c r="F316" s="132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3"/>
      <c r="S316" s="84">
        <f t="shared" si="64"/>
        <v>0</v>
      </c>
      <c r="T316" s="133"/>
      <c r="U316" s="133"/>
      <c r="V316" s="133"/>
      <c r="W316" s="133"/>
      <c r="X316" s="133"/>
      <c r="Y316" s="133"/>
      <c r="Z316" s="133"/>
    </row>
    <row r="317" spans="1:26" ht="12.75" customHeight="1" x14ac:dyDescent="0.3">
      <c r="A317" s="131"/>
      <c r="B317" s="131"/>
      <c r="C317" s="131"/>
      <c r="D317" s="131"/>
      <c r="E317" s="131"/>
      <c r="F317" s="132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3"/>
      <c r="S317" s="84">
        <f t="shared" si="64"/>
        <v>0</v>
      </c>
      <c r="T317" s="133"/>
      <c r="U317" s="133"/>
      <c r="V317" s="133"/>
      <c r="W317" s="133"/>
      <c r="X317" s="133"/>
      <c r="Y317" s="133"/>
      <c r="Z317" s="133"/>
    </row>
    <row r="318" spans="1:26" ht="12.75" customHeight="1" x14ac:dyDescent="0.3">
      <c r="A318" s="131"/>
      <c r="B318" s="131"/>
      <c r="C318" s="131"/>
      <c r="D318" s="131"/>
      <c r="E318" s="131"/>
      <c r="F318" s="132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3"/>
      <c r="S318" s="84">
        <f t="shared" si="64"/>
        <v>0</v>
      </c>
      <c r="T318" s="133"/>
      <c r="U318" s="133"/>
      <c r="V318" s="133"/>
      <c r="W318" s="133"/>
      <c r="X318" s="133"/>
      <c r="Y318" s="133"/>
      <c r="Z318" s="133"/>
    </row>
    <row r="319" spans="1:26" ht="12.75" customHeight="1" x14ac:dyDescent="0.3">
      <c r="A319" s="131"/>
      <c r="B319" s="131"/>
      <c r="C319" s="131"/>
      <c r="D319" s="131"/>
      <c r="E319" s="131"/>
      <c r="F319" s="132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3"/>
      <c r="S319" s="84">
        <f t="shared" si="64"/>
        <v>0</v>
      </c>
      <c r="T319" s="133"/>
      <c r="U319" s="133"/>
      <c r="V319" s="133"/>
      <c r="W319" s="133"/>
      <c r="X319" s="133"/>
      <c r="Y319" s="133"/>
      <c r="Z319" s="133"/>
    </row>
    <row r="320" spans="1:26" ht="12.75" customHeight="1" x14ac:dyDescent="0.3">
      <c r="A320" s="131"/>
      <c r="B320" s="131"/>
      <c r="C320" s="131"/>
      <c r="D320" s="131"/>
      <c r="E320" s="131"/>
      <c r="F320" s="132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3"/>
      <c r="S320" s="84">
        <f t="shared" si="64"/>
        <v>0</v>
      </c>
      <c r="T320" s="133"/>
      <c r="U320" s="133"/>
      <c r="V320" s="133"/>
      <c r="W320" s="133"/>
      <c r="X320" s="133"/>
      <c r="Y320" s="133"/>
      <c r="Z320" s="133"/>
    </row>
    <row r="321" spans="1:26" ht="12.75" customHeight="1" x14ac:dyDescent="0.3">
      <c r="A321" s="131"/>
      <c r="B321" s="131"/>
      <c r="C321" s="131"/>
      <c r="D321" s="131"/>
      <c r="E321" s="131"/>
      <c r="F321" s="132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3"/>
      <c r="S321" s="84">
        <f t="shared" si="64"/>
        <v>0</v>
      </c>
      <c r="T321" s="133"/>
      <c r="U321" s="133"/>
      <c r="V321" s="133"/>
      <c r="W321" s="133"/>
      <c r="X321" s="133"/>
      <c r="Y321" s="133"/>
      <c r="Z321" s="133"/>
    </row>
    <row r="322" spans="1:26" ht="12.75" customHeight="1" x14ac:dyDescent="0.3">
      <c r="A322" s="131"/>
      <c r="B322" s="131"/>
      <c r="C322" s="131"/>
      <c r="D322" s="131"/>
      <c r="E322" s="131"/>
      <c r="F322" s="132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3"/>
      <c r="S322" s="84">
        <f t="shared" si="64"/>
        <v>0</v>
      </c>
      <c r="T322" s="133"/>
      <c r="U322" s="133"/>
      <c r="V322" s="133"/>
      <c r="W322" s="133"/>
      <c r="X322" s="133"/>
      <c r="Y322" s="133"/>
      <c r="Z322" s="133"/>
    </row>
    <row r="323" spans="1:26" ht="12.75" customHeight="1" x14ac:dyDescent="0.3">
      <c r="A323" s="131"/>
      <c r="B323" s="131"/>
      <c r="C323" s="131"/>
      <c r="D323" s="131"/>
      <c r="E323" s="131"/>
      <c r="F323" s="132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3"/>
      <c r="S323" s="84">
        <f t="shared" si="64"/>
        <v>0</v>
      </c>
      <c r="T323" s="133"/>
      <c r="U323" s="133"/>
      <c r="V323" s="133"/>
      <c r="W323" s="133"/>
      <c r="X323" s="133"/>
      <c r="Y323" s="133"/>
      <c r="Z323" s="133"/>
    </row>
    <row r="324" spans="1:26" ht="12.75" customHeight="1" x14ac:dyDescent="0.3">
      <c r="A324" s="131"/>
      <c r="B324" s="131"/>
      <c r="C324" s="131"/>
      <c r="D324" s="131"/>
      <c r="E324" s="131"/>
      <c r="F324" s="132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3"/>
      <c r="S324" s="84">
        <f t="shared" si="64"/>
        <v>0</v>
      </c>
      <c r="T324" s="133"/>
      <c r="U324" s="133"/>
      <c r="V324" s="133"/>
      <c r="W324" s="133"/>
      <c r="X324" s="133"/>
      <c r="Y324" s="133"/>
      <c r="Z324" s="133"/>
    </row>
    <row r="325" spans="1:26" ht="12.75" customHeight="1" x14ac:dyDescent="0.3">
      <c r="A325" s="131"/>
      <c r="B325" s="131"/>
      <c r="C325" s="131"/>
      <c r="D325" s="131"/>
      <c r="E325" s="131"/>
      <c r="F325" s="132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3"/>
      <c r="S325" s="84">
        <f t="shared" si="64"/>
        <v>0</v>
      </c>
      <c r="T325" s="133"/>
      <c r="U325" s="133"/>
      <c r="V325" s="133"/>
      <c r="W325" s="133"/>
      <c r="X325" s="133"/>
      <c r="Y325" s="133"/>
      <c r="Z325" s="133"/>
    </row>
    <row r="326" spans="1:26" ht="12.75" customHeight="1" x14ac:dyDescent="0.3">
      <c r="A326" s="131"/>
      <c r="B326" s="131"/>
      <c r="C326" s="131"/>
      <c r="D326" s="131"/>
      <c r="E326" s="131"/>
      <c r="F326" s="132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3"/>
      <c r="S326" s="84">
        <f t="shared" si="64"/>
        <v>0</v>
      </c>
      <c r="T326" s="133"/>
      <c r="U326" s="133"/>
      <c r="V326" s="133"/>
      <c r="W326" s="133"/>
      <c r="X326" s="133"/>
      <c r="Y326" s="133"/>
      <c r="Z326" s="133"/>
    </row>
    <row r="327" spans="1:26" ht="12.75" customHeight="1" x14ac:dyDescent="0.3">
      <c r="A327" s="131"/>
      <c r="B327" s="131"/>
      <c r="C327" s="131"/>
      <c r="D327" s="131"/>
      <c r="E327" s="131"/>
      <c r="F327" s="132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3"/>
      <c r="S327" s="84">
        <f t="shared" si="64"/>
        <v>0</v>
      </c>
      <c r="T327" s="133"/>
      <c r="U327" s="133"/>
      <c r="V327" s="133"/>
      <c r="W327" s="133"/>
      <c r="X327" s="133"/>
      <c r="Y327" s="133"/>
      <c r="Z327" s="133"/>
    </row>
    <row r="328" spans="1:26" ht="12.75" customHeight="1" x14ac:dyDescent="0.3">
      <c r="A328" s="131"/>
      <c r="B328" s="131"/>
      <c r="C328" s="131"/>
      <c r="D328" s="131"/>
      <c r="E328" s="131"/>
      <c r="F328" s="132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3"/>
      <c r="S328" s="84">
        <f t="shared" si="64"/>
        <v>0</v>
      </c>
      <c r="T328" s="133"/>
      <c r="U328" s="133"/>
      <c r="V328" s="133"/>
      <c r="W328" s="133"/>
      <c r="X328" s="133"/>
      <c r="Y328" s="133"/>
      <c r="Z328" s="133"/>
    </row>
    <row r="329" spans="1:26" ht="12.75" customHeight="1" x14ac:dyDescent="0.3">
      <c r="A329" s="131"/>
      <c r="B329" s="131"/>
      <c r="C329" s="131"/>
      <c r="D329" s="131"/>
      <c r="E329" s="131"/>
      <c r="F329" s="132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3"/>
      <c r="S329" s="84">
        <f t="shared" si="64"/>
        <v>0</v>
      </c>
      <c r="T329" s="133"/>
      <c r="U329" s="133"/>
      <c r="V329" s="133"/>
      <c r="W329" s="133"/>
      <c r="X329" s="133"/>
      <c r="Y329" s="133"/>
      <c r="Z329" s="133"/>
    </row>
    <row r="330" spans="1:26" ht="12.75" customHeight="1" x14ac:dyDescent="0.3">
      <c r="A330" s="131"/>
      <c r="B330" s="131"/>
      <c r="C330" s="131"/>
      <c r="D330" s="131"/>
      <c r="E330" s="131"/>
      <c r="F330" s="132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3"/>
      <c r="S330" s="84">
        <f t="shared" si="64"/>
        <v>0</v>
      </c>
      <c r="T330" s="133"/>
      <c r="U330" s="133"/>
      <c r="V330" s="133"/>
      <c r="W330" s="133"/>
      <c r="X330" s="133"/>
      <c r="Y330" s="133"/>
      <c r="Z330" s="133"/>
    </row>
    <row r="331" spans="1:26" ht="12.75" customHeight="1" x14ac:dyDescent="0.3">
      <c r="A331" s="131"/>
      <c r="B331" s="131"/>
      <c r="C331" s="131"/>
      <c r="D331" s="131"/>
      <c r="E331" s="131"/>
      <c r="F331" s="132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3"/>
      <c r="S331" s="84">
        <f t="shared" si="64"/>
        <v>0</v>
      </c>
      <c r="T331" s="133"/>
      <c r="U331" s="133"/>
      <c r="V331" s="133"/>
      <c r="W331" s="133"/>
      <c r="X331" s="133"/>
      <c r="Y331" s="133"/>
      <c r="Z331" s="133"/>
    </row>
    <row r="332" spans="1:26" ht="12.75" customHeight="1" x14ac:dyDescent="0.3">
      <c r="A332" s="131"/>
      <c r="B332" s="131"/>
      <c r="C332" s="131"/>
      <c r="D332" s="131"/>
      <c r="E332" s="131"/>
      <c r="F332" s="132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3"/>
      <c r="S332" s="84">
        <f t="shared" si="64"/>
        <v>0</v>
      </c>
      <c r="T332" s="133"/>
      <c r="U332" s="133"/>
      <c r="V332" s="133"/>
      <c r="W332" s="133"/>
      <c r="X332" s="133"/>
      <c r="Y332" s="133"/>
      <c r="Z332" s="133"/>
    </row>
    <row r="333" spans="1:26" ht="12.75" customHeight="1" x14ac:dyDescent="0.3">
      <c r="A333" s="131"/>
      <c r="B333" s="131"/>
      <c r="C333" s="131"/>
      <c r="D333" s="131"/>
      <c r="E333" s="131"/>
      <c r="F333" s="132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3"/>
      <c r="S333" s="84">
        <f t="shared" si="64"/>
        <v>0</v>
      </c>
      <c r="T333" s="133"/>
      <c r="U333" s="133"/>
      <c r="V333" s="133"/>
      <c r="W333" s="133"/>
      <c r="X333" s="133"/>
      <c r="Y333" s="133"/>
      <c r="Z333" s="133"/>
    </row>
    <row r="334" spans="1:26" ht="12.75" customHeight="1" x14ac:dyDescent="0.3">
      <c r="A334" s="131"/>
      <c r="B334" s="131"/>
      <c r="C334" s="131"/>
      <c r="D334" s="131"/>
      <c r="E334" s="131"/>
      <c r="F334" s="132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3"/>
      <c r="S334" s="84">
        <f t="shared" si="64"/>
        <v>0</v>
      </c>
      <c r="T334" s="133"/>
      <c r="U334" s="133"/>
      <c r="V334" s="133"/>
      <c r="W334" s="133"/>
      <c r="X334" s="133"/>
      <c r="Y334" s="133"/>
      <c r="Z334" s="133"/>
    </row>
    <row r="335" spans="1:26" ht="12.75" customHeight="1" x14ac:dyDescent="0.3">
      <c r="A335" s="131"/>
      <c r="B335" s="131"/>
      <c r="C335" s="131"/>
      <c r="D335" s="131"/>
      <c r="E335" s="131"/>
      <c r="F335" s="132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3"/>
      <c r="S335" s="84">
        <f t="shared" si="64"/>
        <v>0</v>
      </c>
      <c r="T335" s="133"/>
      <c r="U335" s="133"/>
      <c r="V335" s="133"/>
      <c r="W335" s="133"/>
      <c r="X335" s="133"/>
      <c r="Y335" s="133"/>
      <c r="Z335" s="133"/>
    </row>
    <row r="336" spans="1:26" ht="12.75" customHeight="1" x14ac:dyDescent="0.3">
      <c r="A336" s="131"/>
      <c r="B336" s="131"/>
      <c r="C336" s="131"/>
      <c r="D336" s="131"/>
      <c r="E336" s="131"/>
      <c r="F336" s="132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3"/>
      <c r="S336" s="84">
        <f t="shared" si="64"/>
        <v>0</v>
      </c>
      <c r="T336" s="133"/>
      <c r="U336" s="133"/>
      <c r="V336" s="133"/>
      <c r="W336" s="133"/>
      <c r="X336" s="133"/>
      <c r="Y336" s="133"/>
      <c r="Z336" s="133"/>
    </row>
    <row r="337" spans="1:26" ht="12.75" customHeight="1" x14ac:dyDescent="0.3">
      <c r="A337" s="131"/>
      <c r="B337" s="131"/>
      <c r="C337" s="131"/>
      <c r="D337" s="131"/>
      <c r="E337" s="131"/>
      <c r="F337" s="132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3"/>
      <c r="S337" s="84">
        <f t="shared" si="64"/>
        <v>0</v>
      </c>
      <c r="T337" s="133"/>
      <c r="U337" s="133"/>
      <c r="V337" s="133"/>
      <c r="W337" s="133"/>
      <c r="X337" s="133"/>
      <c r="Y337" s="133"/>
      <c r="Z337" s="133"/>
    </row>
    <row r="338" spans="1:26" ht="12.75" customHeight="1" x14ac:dyDescent="0.3">
      <c r="A338" s="131"/>
      <c r="B338" s="131"/>
      <c r="C338" s="131"/>
      <c r="D338" s="131"/>
      <c r="E338" s="131"/>
      <c r="F338" s="132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3"/>
      <c r="S338" s="84">
        <f t="shared" si="64"/>
        <v>0</v>
      </c>
      <c r="T338" s="133"/>
      <c r="U338" s="133"/>
      <c r="V338" s="133"/>
      <c r="W338" s="133"/>
      <c r="X338" s="133"/>
      <c r="Y338" s="133"/>
      <c r="Z338" s="133"/>
    </row>
    <row r="339" spans="1:26" ht="12.75" customHeight="1" x14ac:dyDescent="0.3">
      <c r="A339" s="131"/>
      <c r="B339" s="131"/>
      <c r="C339" s="131"/>
      <c r="D339" s="131"/>
      <c r="E339" s="131"/>
      <c r="F339" s="132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3"/>
      <c r="S339" s="84">
        <f t="shared" si="64"/>
        <v>0</v>
      </c>
      <c r="T339" s="133"/>
      <c r="U339" s="133"/>
      <c r="V339" s="133"/>
      <c r="W339" s="133"/>
      <c r="X339" s="133"/>
      <c r="Y339" s="133"/>
      <c r="Z339" s="133"/>
    </row>
    <row r="340" spans="1:26" ht="12.75" customHeight="1" x14ac:dyDescent="0.3">
      <c r="A340" s="131"/>
      <c r="B340" s="131"/>
      <c r="C340" s="131"/>
      <c r="D340" s="131"/>
      <c r="E340" s="131"/>
      <c r="F340" s="132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3"/>
      <c r="S340" s="84">
        <f t="shared" si="64"/>
        <v>0</v>
      </c>
      <c r="T340" s="133"/>
      <c r="U340" s="133"/>
      <c r="V340" s="133"/>
      <c r="W340" s="133"/>
      <c r="X340" s="133"/>
      <c r="Y340" s="133"/>
      <c r="Z340" s="133"/>
    </row>
    <row r="341" spans="1:26" ht="12.75" customHeight="1" x14ac:dyDescent="0.3">
      <c r="A341" s="131"/>
      <c r="B341" s="131"/>
      <c r="C341" s="131"/>
      <c r="D341" s="131"/>
      <c r="E341" s="131"/>
      <c r="F341" s="132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3"/>
      <c r="S341" s="84">
        <f t="shared" si="64"/>
        <v>0</v>
      </c>
      <c r="T341" s="133"/>
      <c r="U341" s="133"/>
      <c r="V341" s="133"/>
      <c r="W341" s="133"/>
      <c r="X341" s="133"/>
      <c r="Y341" s="133"/>
      <c r="Z341" s="133"/>
    </row>
    <row r="342" spans="1:26" ht="12.75" customHeight="1" x14ac:dyDescent="0.3">
      <c r="A342" s="131"/>
      <c r="B342" s="131"/>
      <c r="C342" s="131"/>
      <c r="D342" s="131"/>
      <c r="E342" s="131"/>
      <c r="F342" s="132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3"/>
      <c r="S342" s="84">
        <f t="shared" si="64"/>
        <v>0</v>
      </c>
      <c r="T342" s="133"/>
      <c r="U342" s="133"/>
      <c r="V342" s="133"/>
      <c r="W342" s="133"/>
      <c r="X342" s="133"/>
      <c r="Y342" s="133"/>
      <c r="Z342" s="133"/>
    </row>
    <row r="343" spans="1:26" ht="12.75" customHeight="1" x14ac:dyDescent="0.3">
      <c r="A343" s="131"/>
      <c r="B343" s="131"/>
      <c r="C343" s="131"/>
      <c r="D343" s="131"/>
      <c r="E343" s="131"/>
      <c r="F343" s="132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3"/>
      <c r="S343" s="84">
        <f t="shared" si="64"/>
        <v>0</v>
      </c>
      <c r="T343" s="133"/>
      <c r="U343" s="133"/>
      <c r="V343" s="133"/>
      <c r="W343" s="133"/>
      <c r="X343" s="133"/>
      <c r="Y343" s="133"/>
      <c r="Z343" s="133"/>
    </row>
    <row r="344" spans="1:26" ht="12.75" customHeight="1" x14ac:dyDescent="0.3">
      <c r="A344" s="131"/>
      <c r="B344" s="131"/>
      <c r="C344" s="131"/>
      <c r="D344" s="131"/>
      <c r="E344" s="131"/>
      <c r="F344" s="132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3"/>
      <c r="S344" s="84">
        <f t="shared" si="64"/>
        <v>0</v>
      </c>
      <c r="T344" s="133"/>
      <c r="U344" s="133"/>
      <c r="V344" s="133"/>
      <c r="W344" s="133"/>
      <c r="X344" s="133"/>
      <c r="Y344" s="133"/>
      <c r="Z344" s="133"/>
    </row>
    <row r="345" spans="1:26" ht="12.75" customHeight="1" x14ac:dyDescent="0.3">
      <c r="A345" s="131"/>
      <c r="B345" s="131"/>
      <c r="C345" s="131"/>
      <c r="D345" s="131"/>
      <c r="E345" s="131"/>
      <c r="F345" s="132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3"/>
      <c r="S345" s="84">
        <f t="shared" si="64"/>
        <v>0</v>
      </c>
      <c r="T345" s="133"/>
      <c r="U345" s="133"/>
      <c r="V345" s="133"/>
      <c r="W345" s="133"/>
      <c r="X345" s="133"/>
      <c r="Y345" s="133"/>
      <c r="Z345" s="133"/>
    </row>
    <row r="346" spans="1:26" ht="12.75" customHeight="1" x14ac:dyDescent="0.3">
      <c r="A346" s="131"/>
      <c r="B346" s="131"/>
      <c r="C346" s="131"/>
      <c r="D346" s="131"/>
      <c r="E346" s="131"/>
      <c r="F346" s="132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3"/>
      <c r="S346" s="84">
        <f t="shared" si="64"/>
        <v>0</v>
      </c>
      <c r="T346" s="133"/>
      <c r="U346" s="133"/>
      <c r="V346" s="133"/>
      <c r="W346" s="133"/>
      <c r="X346" s="133"/>
      <c r="Y346" s="133"/>
      <c r="Z346" s="133"/>
    </row>
    <row r="347" spans="1:26" ht="12.75" customHeight="1" x14ac:dyDescent="0.3">
      <c r="A347" s="131"/>
      <c r="B347" s="131"/>
      <c r="C347" s="131"/>
      <c r="D347" s="131"/>
      <c r="E347" s="131"/>
      <c r="F347" s="132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3"/>
      <c r="S347" s="84">
        <f t="shared" si="64"/>
        <v>0</v>
      </c>
      <c r="T347" s="133"/>
      <c r="U347" s="133"/>
      <c r="V347" s="133"/>
      <c r="W347" s="133"/>
      <c r="X347" s="133"/>
      <c r="Y347" s="133"/>
      <c r="Z347" s="133"/>
    </row>
    <row r="348" spans="1:26" ht="12.75" customHeight="1" x14ac:dyDescent="0.3">
      <c r="A348" s="131"/>
      <c r="B348" s="131"/>
      <c r="C348" s="131"/>
      <c r="D348" s="131"/>
      <c r="E348" s="131"/>
      <c r="F348" s="132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3"/>
      <c r="S348" s="84">
        <f t="shared" si="64"/>
        <v>0</v>
      </c>
      <c r="T348" s="133"/>
      <c r="U348" s="133"/>
      <c r="V348" s="133"/>
      <c r="W348" s="133"/>
      <c r="X348" s="133"/>
      <c r="Y348" s="133"/>
      <c r="Z348" s="133"/>
    </row>
    <row r="349" spans="1:26" ht="12.75" customHeight="1" x14ac:dyDescent="0.3">
      <c r="A349" s="131"/>
      <c r="B349" s="131"/>
      <c r="C349" s="131"/>
      <c r="D349" s="131"/>
      <c r="E349" s="131"/>
      <c r="F349" s="132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3"/>
      <c r="S349" s="84">
        <f t="shared" si="64"/>
        <v>0</v>
      </c>
      <c r="T349" s="133"/>
      <c r="U349" s="133"/>
      <c r="V349" s="133"/>
      <c r="W349" s="133"/>
      <c r="X349" s="133"/>
      <c r="Y349" s="133"/>
      <c r="Z349" s="133"/>
    </row>
    <row r="350" spans="1:26" ht="12.75" customHeight="1" x14ac:dyDescent="0.3">
      <c r="A350" s="131"/>
      <c r="B350" s="131"/>
      <c r="C350" s="131"/>
      <c r="D350" s="131"/>
      <c r="E350" s="131"/>
      <c r="F350" s="132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3"/>
      <c r="S350" s="84">
        <f t="shared" si="64"/>
        <v>0</v>
      </c>
      <c r="T350" s="133"/>
      <c r="U350" s="133"/>
      <c r="V350" s="133"/>
      <c r="W350" s="133"/>
      <c r="X350" s="133"/>
      <c r="Y350" s="133"/>
      <c r="Z350" s="133"/>
    </row>
    <row r="351" spans="1:26" ht="12.75" customHeight="1" x14ac:dyDescent="0.3">
      <c r="A351" s="131"/>
      <c r="B351" s="131"/>
      <c r="C351" s="131"/>
      <c r="D351" s="131"/>
      <c r="E351" s="131"/>
      <c r="F351" s="132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3"/>
      <c r="S351" s="84">
        <f t="shared" si="64"/>
        <v>0</v>
      </c>
      <c r="T351" s="133"/>
      <c r="U351" s="133"/>
      <c r="V351" s="133"/>
      <c r="W351" s="133"/>
      <c r="X351" s="133"/>
      <c r="Y351" s="133"/>
      <c r="Z351" s="133"/>
    </row>
    <row r="352" spans="1:26" ht="12.75" customHeight="1" x14ac:dyDescent="0.3">
      <c r="A352" s="131"/>
      <c r="B352" s="131"/>
      <c r="C352" s="131"/>
      <c r="D352" s="131"/>
      <c r="E352" s="131"/>
      <c r="F352" s="132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3"/>
      <c r="S352" s="84">
        <f t="shared" si="64"/>
        <v>0</v>
      </c>
      <c r="T352" s="133"/>
      <c r="U352" s="133"/>
      <c r="V352" s="133"/>
      <c r="W352" s="133"/>
      <c r="X352" s="133"/>
      <c r="Y352" s="133"/>
      <c r="Z352" s="133"/>
    </row>
    <row r="353" spans="1:26" ht="12.75" customHeight="1" x14ac:dyDescent="0.3">
      <c r="A353" s="131"/>
      <c r="B353" s="131"/>
      <c r="C353" s="131"/>
      <c r="D353" s="131"/>
      <c r="E353" s="131"/>
      <c r="F353" s="132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3"/>
      <c r="S353" s="84">
        <f t="shared" si="64"/>
        <v>0</v>
      </c>
      <c r="T353" s="133"/>
      <c r="U353" s="133"/>
      <c r="V353" s="133"/>
      <c r="W353" s="133"/>
      <c r="X353" s="133"/>
      <c r="Y353" s="133"/>
      <c r="Z353" s="133"/>
    </row>
    <row r="354" spans="1:26" ht="12.75" customHeight="1" x14ac:dyDescent="0.3">
      <c r="A354" s="131"/>
      <c r="B354" s="131"/>
      <c r="C354" s="131"/>
      <c r="D354" s="131"/>
      <c r="E354" s="131"/>
      <c r="F354" s="132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3"/>
      <c r="S354" s="84">
        <f t="shared" si="64"/>
        <v>0</v>
      </c>
      <c r="T354" s="133"/>
      <c r="U354" s="133"/>
      <c r="V354" s="133"/>
      <c r="W354" s="133"/>
      <c r="X354" s="133"/>
      <c r="Y354" s="133"/>
      <c r="Z354" s="133"/>
    </row>
    <row r="355" spans="1:26" ht="12.75" customHeight="1" x14ac:dyDescent="0.3">
      <c r="A355" s="131"/>
      <c r="B355" s="131"/>
      <c r="C355" s="131"/>
      <c r="D355" s="131"/>
      <c r="E355" s="131"/>
      <c r="F355" s="132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3"/>
      <c r="S355" s="84">
        <f t="shared" si="64"/>
        <v>0</v>
      </c>
      <c r="T355" s="133"/>
      <c r="U355" s="133"/>
      <c r="V355" s="133"/>
      <c r="W355" s="133"/>
      <c r="X355" s="133"/>
      <c r="Y355" s="133"/>
      <c r="Z355" s="133"/>
    </row>
    <row r="356" spans="1:26" ht="12.75" customHeight="1" x14ac:dyDescent="0.3">
      <c r="A356" s="131"/>
      <c r="B356" s="131"/>
      <c r="C356" s="131"/>
      <c r="D356" s="131"/>
      <c r="E356" s="131"/>
      <c r="F356" s="132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3"/>
      <c r="S356" s="84">
        <f t="shared" si="64"/>
        <v>0</v>
      </c>
      <c r="T356" s="133"/>
      <c r="U356" s="133"/>
      <c r="V356" s="133"/>
      <c r="W356" s="133"/>
      <c r="X356" s="133"/>
      <c r="Y356" s="133"/>
      <c r="Z356" s="133"/>
    </row>
    <row r="357" spans="1:26" ht="12.75" customHeight="1" x14ac:dyDescent="0.3">
      <c r="A357" s="131"/>
      <c r="B357" s="131"/>
      <c r="C357" s="131"/>
      <c r="D357" s="131"/>
      <c r="E357" s="131"/>
      <c r="F357" s="132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3"/>
      <c r="S357" s="84">
        <f t="shared" si="64"/>
        <v>0</v>
      </c>
      <c r="T357" s="133"/>
      <c r="U357" s="133"/>
      <c r="V357" s="133"/>
      <c r="W357" s="133"/>
      <c r="X357" s="133"/>
      <c r="Y357" s="133"/>
      <c r="Z357" s="133"/>
    </row>
    <row r="358" spans="1:26" ht="12.75" customHeight="1" x14ac:dyDescent="0.3">
      <c r="A358" s="131"/>
      <c r="B358" s="131"/>
      <c r="C358" s="131"/>
      <c r="D358" s="131"/>
      <c r="E358" s="131"/>
      <c r="F358" s="132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3"/>
      <c r="S358" s="84">
        <f t="shared" si="64"/>
        <v>0</v>
      </c>
      <c r="T358" s="133"/>
      <c r="U358" s="133"/>
      <c r="V358" s="133"/>
      <c r="W358" s="133"/>
      <c r="X358" s="133"/>
      <c r="Y358" s="133"/>
      <c r="Z358" s="133"/>
    </row>
    <row r="359" spans="1:26" ht="12.75" customHeight="1" x14ac:dyDescent="0.3">
      <c r="A359" s="131"/>
      <c r="B359" s="131"/>
      <c r="C359" s="131"/>
      <c r="D359" s="131"/>
      <c r="E359" s="131"/>
      <c r="F359" s="132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3"/>
      <c r="S359" s="84">
        <f t="shared" si="64"/>
        <v>0</v>
      </c>
      <c r="T359" s="133"/>
      <c r="U359" s="133"/>
      <c r="V359" s="133"/>
      <c r="W359" s="133"/>
      <c r="X359" s="133"/>
      <c r="Y359" s="133"/>
      <c r="Z359" s="133"/>
    </row>
    <row r="360" spans="1:26" ht="12.75" customHeight="1" x14ac:dyDescent="0.3">
      <c r="A360" s="131"/>
      <c r="B360" s="131"/>
      <c r="C360" s="131"/>
      <c r="D360" s="131"/>
      <c r="E360" s="131"/>
      <c r="F360" s="132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3"/>
      <c r="S360" s="84">
        <f t="shared" si="64"/>
        <v>0</v>
      </c>
      <c r="T360" s="133"/>
      <c r="U360" s="133"/>
      <c r="V360" s="133"/>
      <c r="W360" s="133"/>
      <c r="X360" s="133"/>
      <c r="Y360" s="133"/>
      <c r="Z360" s="133"/>
    </row>
    <row r="361" spans="1:26" ht="12.75" customHeight="1" x14ac:dyDescent="0.3">
      <c r="A361" s="131"/>
      <c r="B361" s="131"/>
      <c r="C361" s="131"/>
      <c r="D361" s="131"/>
      <c r="E361" s="131"/>
      <c r="F361" s="132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3"/>
      <c r="S361" s="84">
        <f t="shared" si="64"/>
        <v>0</v>
      </c>
      <c r="T361" s="133"/>
      <c r="U361" s="133"/>
      <c r="V361" s="133"/>
      <c r="W361" s="133"/>
      <c r="X361" s="133"/>
      <c r="Y361" s="133"/>
      <c r="Z361" s="133"/>
    </row>
    <row r="362" spans="1:26" ht="12.75" customHeight="1" x14ac:dyDescent="0.3">
      <c r="A362" s="131"/>
      <c r="B362" s="131"/>
      <c r="C362" s="131"/>
      <c r="D362" s="131"/>
      <c r="E362" s="131"/>
      <c r="F362" s="132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3"/>
      <c r="S362" s="84">
        <f t="shared" si="64"/>
        <v>0</v>
      </c>
      <c r="T362" s="133"/>
      <c r="U362" s="133"/>
      <c r="V362" s="133"/>
      <c r="W362" s="133"/>
      <c r="X362" s="133"/>
      <c r="Y362" s="133"/>
      <c r="Z362" s="133"/>
    </row>
    <row r="363" spans="1:26" ht="12.75" customHeight="1" x14ac:dyDescent="0.3">
      <c r="A363" s="131"/>
      <c r="B363" s="131"/>
      <c r="C363" s="131"/>
      <c r="D363" s="131"/>
      <c r="E363" s="131"/>
      <c r="F363" s="132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3"/>
      <c r="S363" s="84">
        <f t="shared" si="64"/>
        <v>0</v>
      </c>
      <c r="T363" s="133"/>
      <c r="U363" s="133"/>
      <c r="V363" s="133"/>
      <c r="W363" s="133"/>
      <c r="X363" s="133"/>
      <c r="Y363" s="133"/>
      <c r="Z363" s="133"/>
    </row>
    <row r="364" spans="1:26" ht="12.75" customHeight="1" x14ac:dyDescent="0.3">
      <c r="A364" s="131"/>
      <c r="B364" s="131"/>
      <c r="C364" s="131"/>
      <c r="D364" s="131"/>
      <c r="E364" s="131"/>
      <c r="F364" s="132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3"/>
      <c r="S364" s="84">
        <f t="shared" si="64"/>
        <v>0</v>
      </c>
      <c r="T364" s="133"/>
      <c r="U364" s="133"/>
      <c r="V364" s="133"/>
      <c r="W364" s="133"/>
      <c r="X364" s="133"/>
      <c r="Y364" s="133"/>
      <c r="Z364" s="133"/>
    </row>
    <row r="365" spans="1:26" ht="12.75" customHeight="1" x14ac:dyDescent="0.3">
      <c r="A365" s="131"/>
      <c r="B365" s="131"/>
      <c r="C365" s="131"/>
      <c r="D365" s="131"/>
      <c r="E365" s="131"/>
      <c r="F365" s="132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3"/>
      <c r="S365" s="84">
        <f t="shared" si="64"/>
        <v>0</v>
      </c>
      <c r="T365" s="133"/>
      <c r="U365" s="133"/>
      <c r="V365" s="133"/>
      <c r="W365" s="133"/>
      <c r="X365" s="133"/>
      <c r="Y365" s="133"/>
      <c r="Z365" s="133"/>
    </row>
    <row r="366" spans="1:26" ht="12.75" customHeight="1" x14ac:dyDescent="0.3">
      <c r="A366" s="131"/>
      <c r="B366" s="131"/>
      <c r="C366" s="131"/>
      <c r="D366" s="131"/>
      <c r="E366" s="131"/>
      <c r="F366" s="132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3"/>
      <c r="S366" s="84">
        <f t="shared" si="64"/>
        <v>0</v>
      </c>
      <c r="T366" s="133"/>
      <c r="U366" s="133"/>
      <c r="V366" s="133"/>
      <c r="W366" s="133"/>
      <c r="X366" s="133"/>
      <c r="Y366" s="133"/>
      <c r="Z366" s="133"/>
    </row>
    <row r="367" spans="1:26" ht="12.75" customHeight="1" x14ac:dyDescent="0.3">
      <c r="A367" s="131"/>
      <c r="B367" s="131"/>
      <c r="C367" s="131"/>
      <c r="D367" s="131"/>
      <c r="E367" s="131"/>
      <c r="F367" s="132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3"/>
      <c r="S367" s="84">
        <f t="shared" si="64"/>
        <v>0</v>
      </c>
      <c r="T367" s="133"/>
      <c r="U367" s="133"/>
      <c r="V367" s="133"/>
      <c r="W367" s="133"/>
      <c r="X367" s="133"/>
      <c r="Y367" s="133"/>
      <c r="Z367" s="133"/>
    </row>
    <row r="368" spans="1:26" ht="12.75" customHeight="1" x14ac:dyDescent="0.3">
      <c r="A368" s="131"/>
      <c r="B368" s="131"/>
      <c r="C368" s="131"/>
      <c r="D368" s="131"/>
      <c r="E368" s="131"/>
      <c r="F368" s="132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3"/>
      <c r="S368" s="84">
        <f t="shared" si="64"/>
        <v>0</v>
      </c>
      <c r="T368" s="133"/>
      <c r="U368" s="133"/>
      <c r="V368" s="133"/>
      <c r="W368" s="133"/>
      <c r="X368" s="133"/>
      <c r="Y368" s="133"/>
      <c r="Z368" s="133"/>
    </row>
    <row r="369" spans="1:26" ht="12.75" customHeight="1" x14ac:dyDescent="0.3">
      <c r="A369" s="131"/>
      <c r="B369" s="131"/>
      <c r="C369" s="131"/>
      <c r="D369" s="131"/>
      <c r="E369" s="131"/>
      <c r="F369" s="132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3"/>
      <c r="S369" s="84">
        <f t="shared" si="64"/>
        <v>0</v>
      </c>
      <c r="T369" s="133"/>
      <c r="U369" s="133"/>
      <c r="V369" s="133"/>
      <c r="W369" s="133"/>
      <c r="X369" s="133"/>
      <c r="Y369" s="133"/>
      <c r="Z369" s="133"/>
    </row>
    <row r="370" spans="1:26" ht="12.75" customHeight="1" x14ac:dyDescent="0.3">
      <c r="A370" s="131"/>
      <c r="B370" s="131"/>
      <c r="C370" s="131"/>
      <c r="D370" s="131"/>
      <c r="E370" s="131"/>
      <c r="F370" s="132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3"/>
      <c r="S370" s="84">
        <f t="shared" si="64"/>
        <v>0</v>
      </c>
      <c r="T370" s="133"/>
      <c r="U370" s="133"/>
      <c r="V370" s="133"/>
      <c r="W370" s="133"/>
      <c r="X370" s="133"/>
      <c r="Y370" s="133"/>
      <c r="Z370" s="133"/>
    </row>
    <row r="371" spans="1:26" ht="12.75" customHeight="1" x14ac:dyDescent="0.3">
      <c r="A371" s="131"/>
      <c r="B371" s="131"/>
      <c r="C371" s="131"/>
      <c r="D371" s="131"/>
      <c r="E371" s="131"/>
      <c r="F371" s="132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3"/>
      <c r="S371" s="84">
        <f t="shared" si="64"/>
        <v>0</v>
      </c>
      <c r="T371" s="133"/>
      <c r="U371" s="133"/>
      <c r="V371" s="133"/>
      <c r="W371" s="133"/>
      <c r="X371" s="133"/>
      <c r="Y371" s="133"/>
      <c r="Z371" s="133"/>
    </row>
    <row r="372" spans="1:26" ht="12.75" customHeight="1" x14ac:dyDescent="0.3">
      <c r="A372" s="131"/>
      <c r="B372" s="131"/>
      <c r="C372" s="131"/>
      <c r="D372" s="131"/>
      <c r="E372" s="131"/>
      <c r="F372" s="132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3"/>
      <c r="S372" s="84">
        <f t="shared" si="64"/>
        <v>0</v>
      </c>
      <c r="T372" s="133"/>
      <c r="U372" s="133"/>
      <c r="V372" s="133"/>
      <c r="W372" s="133"/>
      <c r="X372" s="133"/>
      <c r="Y372" s="133"/>
      <c r="Z372" s="133"/>
    </row>
    <row r="373" spans="1:26" ht="12.75" customHeight="1" x14ac:dyDescent="0.3">
      <c r="A373" s="131"/>
      <c r="B373" s="131"/>
      <c r="C373" s="131"/>
      <c r="D373" s="131"/>
      <c r="E373" s="131"/>
      <c r="F373" s="132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3"/>
      <c r="S373" s="84">
        <f t="shared" si="64"/>
        <v>0</v>
      </c>
      <c r="T373" s="133"/>
      <c r="U373" s="133"/>
      <c r="V373" s="133"/>
      <c r="W373" s="133"/>
      <c r="X373" s="133"/>
      <c r="Y373" s="133"/>
      <c r="Z373" s="133"/>
    </row>
    <row r="374" spans="1:26" ht="12.75" customHeight="1" x14ac:dyDescent="0.3">
      <c r="A374" s="131"/>
      <c r="B374" s="131"/>
      <c r="C374" s="131"/>
      <c r="D374" s="131"/>
      <c r="E374" s="131"/>
      <c r="F374" s="132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3"/>
      <c r="S374" s="84">
        <f t="shared" si="64"/>
        <v>0</v>
      </c>
      <c r="T374" s="133"/>
      <c r="U374" s="133"/>
      <c r="V374" s="133"/>
      <c r="W374" s="133"/>
      <c r="X374" s="133"/>
      <c r="Y374" s="133"/>
      <c r="Z374" s="133"/>
    </row>
    <row r="375" spans="1:26" ht="12.75" customHeight="1" x14ac:dyDescent="0.3">
      <c r="A375" s="131"/>
      <c r="B375" s="131"/>
      <c r="C375" s="131"/>
      <c r="D375" s="131"/>
      <c r="E375" s="131"/>
      <c r="F375" s="132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3"/>
      <c r="S375" s="84">
        <f t="shared" si="64"/>
        <v>0</v>
      </c>
      <c r="T375" s="133"/>
      <c r="U375" s="133"/>
      <c r="V375" s="133"/>
      <c r="W375" s="133"/>
      <c r="X375" s="133"/>
      <c r="Y375" s="133"/>
      <c r="Z375" s="133"/>
    </row>
    <row r="376" spans="1:26" ht="12.75" customHeight="1" x14ac:dyDescent="0.3">
      <c r="A376" s="131"/>
      <c r="B376" s="131"/>
      <c r="C376" s="131"/>
      <c r="D376" s="131"/>
      <c r="E376" s="131"/>
      <c r="F376" s="132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3"/>
      <c r="S376" s="84">
        <f t="shared" si="64"/>
        <v>0</v>
      </c>
      <c r="T376" s="133"/>
      <c r="U376" s="133"/>
      <c r="V376" s="133"/>
      <c r="W376" s="133"/>
      <c r="X376" s="133"/>
      <c r="Y376" s="133"/>
      <c r="Z376" s="133"/>
    </row>
    <row r="377" spans="1:26" ht="12.75" customHeight="1" x14ac:dyDescent="0.3">
      <c r="A377" s="131"/>
      <c r="B377" s="131"/>
      <c r="C377" s="131"/>
      <c r="D377" s="131"/>
      <c r="E377" s="131"/>
      <c r="F377" s="132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3"/>
      <c r="S377" s="84">
        <f t="shared" si="64"/>
        <v>0</v>
      </c>
      <c r="T377" s="133"/>
      <c r="U377" s="133"/>
      <c r="V377" s="133"/>
      <c r="W377" s="133"/>
      <c r="X377" s="133"/>
      <c r="Y377" s="133"/>
      <c r="Z377" s="133"/>
    </row>
    <row r="378" spans="1:26" ht="12.75" customHeight="1" x14ac:dyDescent="0.3">
      <c r="A378" s="131"/>
      <c r="B378" s="131"/>
      <c r="C378" s="131"/>
      <c r="D378" s="131"/>
      <c r="E378" s="131"/>
      <c r="F378" s="132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3"/>
      <c r="S378" s="84">
        <f t="shared" si="64"/>
        <v>0</v>
      </c>
      <c r="T378" s="133"/>
      <c r="U378" s="133"/>
      <c r="V378" s="133"/>
      <c r="W378" s="133"/>
      <c r="X378" s="133"/>
      <c r="Y378" s="133"/>
      <c r="Z378" s="133"/>
    </row>
    <row r="379" spans="1:26" ht="12.75" customHeight="1" x14ac:dyDescent="0.3">
      <c r="A379" s="131"/>
      <c r="B379" s="131"/>
      <c r="C379" s="131"/>
      <c r="D379" s="131"/>
      <c r="E379" s="131"/>
      <c r="F379" s="132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3"/>
      <c r="S379" s="84">
        <f t="shared" si="64"/>
        <v>0</v>
      </c>
      <c r="T379" s="133"/>
      <c r="U379" s="133"/>
      <c r="V379" s="133"/>
      <c r="W379" s="133"/>
      <c r="X379" s="133"/>
      <c r="Y379" s="133"/>
      <c r="Z379" s="133"/>
    </row>
    <row r="380" spans="1:26" ht="12.75" customHeight="1" x14ac:dyDescent="0.3">
      <c r="A380" s="131"/>
      <c r="B380" s="131"/>
      <c r="C380" s="131"/>
      <c r="D380" s="131"/>
      <c r="E380" s="131"/>
      <c r="F380" s="132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3"/>
      <c r="S380" s="84">
        <f t="shared" si="64"/>
        <v>0</v>
      </c>
      <c r="T380" s="133"/>
      <c r="U380" s="133"/>
      <c r="V380" s="133"/>
      <c r="W380" s="133"/>
      <c r="X380" s="133"/>
      <c r="Y380" s="133"/>
      <c r="Z380" s="133"/>
    </row>
    <row r="381" spans="1:26" ht="12.75" customHeight="1" x14ac:dyDescent="0.3">
      <c r="A381" s="131"/>
      <c r="B381" s="131"/>
      <c r="C381" s="131"/>
      <c r="D381" s="131"/>
      <c r="E381" s="131"/>
      <c r="F381" s="132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3"/>
      <c r="S381" s="84">
        <f t="shared" si="64"/>
        <v>0</v>
      </c>
      <c r="T381" s="133"/>
      <c r="U381" s="133"/>
      <c r="V381" s="133"/>
      <c r="W381" s="133"/>
      <c r="X381" s="133"/>
      <c r="Y381" s="133"/>
      <c r="Z381" s="133"/>
    </row>
    <row r="382" spans="1:26" ht="12.75" customHeight="1" x14ac:dyDescent="0.3">
      <c r="A382" s="131"/>
      <c r="B382" s="131"/>
      <c r="C382" s="131"/>
      <c r="D382" s="131"/>
      <c r="E382" s="131"/>
      <c r="F382" s="132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3"/>
      <c r="S382" s="84">
        <f t="shared" si="64"/>
        <v>0</v>
      </c>
      <c r="T382" s="133"/>
      <c r="U382" s="133"/>
      <c r="V382" s="133"/>
      <c r="W382" s="133"/>
      <c r="X382" s="133"/>
      <c r="Y382" s="133"/>
      <c r="Z382" s="133"/>
    </row>
    <row r="383" spans="1:26" ht="12.75" customHeight="1" x14ac:dyDescent="0.3">
      <c r="A383" s="131"/>
      <c r="B383" s="131"/>
      <c r="C383" s="131"/>
      <c r="D383" s="131"/>
      <c r="E383" s="131"/>
      <c r="F383" s="132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3"/>
      <c r="S383" s="84">
        <f t="shared" si="64"/>
        <v>0</v>
      </c>
      <c r="T383" s="133"/>
      <c r="U383" s="133"/>
      <c r="V383" s="133"/>
      <c r="W383" s="133"/>
      <c r="X383" s="133"/>
      <c r="Y383" s="133"/>
      <c r="Z383" s="133"/>
    </row>
    <row r="384" spans="1:26" ht="12.75" customHeight="1" x14ac:dyDescent="0.3">
      <c r="A384" s="131"/>
      <c r="B384" s="131"/>
      <c r="C384" s="131"/>
      <c r="D384" s="131"/>
      <c r="E384" s="131"/>
      <c r="F384" s="132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3"/>
      <c r="S384" s="84">
        <f t="shared" si="64"/>
        <v>0</v>
      </c>
      <c r="T384" s="133"/>
      <c r="U384" s="133"/>
      <c r="V384" s="133"/>
      <c r="W384" s="133"/>
      <c r="X384" s="133"/>
      <c r="Y384" s="133"/>
      <c r="Z384" s="133"/>
    </row>
    <row r="385" spans="1:26" ht="12.75" customHeight="1" x14ac:dyDescent="0.3">
      <c r="A385" s="131"/>
      <c r="B385" s="131"/>
      <c r="C385" s="131"/>
      <c r="D385" s="131"/>
      <c r="E385" s="131"/>
      <c r="F385" s="132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3"/>
      <c r="S385" s="84">
        <f t="shared" si="64"/>
        <v>0</v>
      </c>
      <c r="T385" s="133"/>
      <c r="U385" s="133"/>
      <c r="V385" s="133"/>
      <c r="W385" s="133"/>
      <c r="X385" s="133"/>
      <c r="Y385" s="133"/>
      <c r="Z385" s="133"/>
    </row>
    <row r="386" spans="1:26" ht="12.75" customHeight="1" x14ac:dyDescent="0.3">
      <c r="A386" s="131"/>
      <c r="B386" s="131"/>
      <c r="C386" s="131"/>
      <c r="D386" s="131"/>
      <c r="E386" s="131"/>
      <c r="F386" s="132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3"/>
      <c r="S386" s="84">
        <f t="shared" si="64"/>
        <v>0</v>
      </c>
      <c r="T386" s="133"/>
      <c r="U386" s="133"/>
      <c r="V386" s="133"/>
      <c r="W386" s="133"/>
      <c r="X386" s="133"/>
      <c r="Y386" s="133"/>
      <c r="Z386" s="133"/>
    </row>
    <row r="387" spans="1:26" ht="12.75" customHeight="1" x14ac:dyDescent="0.3">
      <c r="A387" s="131"/>
      <c r="B387" s="131"/>
      <c r="C387" s="131"/>
      <c r="D387" s="131"/>
      <c r="E387" s="131"/>
      <c r="F387" s="132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3"/>
      <c r="S387" s="84">
        <f t="shared" si="64"/>
        <v>0</v>
      </c>
      <c r="T387" s="133"/>
      <c r="U387" s="133"/>
      <c r="V387" s="133"/>
      <c r="W387" s="133"/>
      <c r="X387" s="133"/>
      <c r="Y387" s="133"/>
      <c r="Z387" s="133"/>
    </row>
    <row r="388" spans="1:26" ht="12.75" customHeight="1" x14ac:dyDescent="0.3">
      <c r="A388" s="131"/>
      <c r="B388" s="131"/>
      <c r="C388" s="131"/>
      <c r="D388" s="131"/>
      <c r="E388" s="131"/>
      <c r="F388" s="132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3"/>
      <c r="S388" s="84">
        <f t="shared" si="64"/>
        <v>0</v>
      </c>
      <c r="T388" s="133"/>
      <c r="U388" s="133"/>
      <c r="V388" s="133"/>
      <c r="W388" s="133"/>
      <c r="X388" s="133"/>
      <c r="Y388" s="133"/>
      <c r="Z388" s="133"/>
    </row>
    <row r="389" spans="1:26" ht="12.75" customHeight="1" x14ac:dyDescent="0.3">
      <c r="A389" s="131"/>
      <c r="B389" s="131"/>
      <c r="C389" s="131"/>
      <c r="D389" s="131"/>
      <c r="E389" s="131"/>
      <c r="F389" s="132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3"/>
      <c r="S389" s="84">
        <f t="shared" si="64"/>
        <v>0</v>
      </c>
      <c r="T389" s="133"/>
      <c r="U389" s="133"/>
      <c r="V389" s="133"/>
      <c r="W389" s="133"/>
      <c r="X389" s="133"/>
      <c r="Y389" s="133"/>
      <c r="Z389" s="133"/>
    </row>
    <row r="390" spans="1:26" ht="12.75" customHeight="1" x14ac:dyDescent="0.3">
      <c r="A390" s="131"/>
      <c r="B390" s="131"/>
      <c r="C390" s="131"/>
      <c r="D390" s="131"/>
      <c r="E390" s="131"/>
      <c r="F390" s="132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3"/>
      <c r="S390" s="84">
        <f t="shared" si="64"/>
        <v>0</v>
      </c>
      <c r="T390" s="133"/>
      <c r="U390" s="133"/>
      <c r="V390" s="133"/>
      <c r="W390" s="133"/>
      <c r="X390" s="133"/>
      <c r="Y390" s="133"/>
      <c r="Z390" s="133"/>
    </row>
    <row r="391" spans="1:26" ht="12.75" customHeight="1" x14ac:dyDescent="0.3">
      <c r="A391" s="131"/>
      <c r="B391" s="131"/>
      <c r="C391" s="131"/>
      <c r="D391" s="131"/>
      <c r="E391" s="131"/>
      <c r="F391" s="132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3"/>
      <c r="S391" s="84">
        <f t="shared" si="64"/>
        <v>0</v>
      </c>
      <c r="T391" s="133"/>
      <c r="U391" s="133"/>
      <c r="V391" s="133"/>
      <c r="W391" s="133"/>
      <c r="X391" s="133"/>
      <c r="Y391" s="133"/>
      <c r="Z391" s="133"/>
    </row>
    <row r="392" spans="1:26" ht="12.75" customHeight="1" x14ac:dyDescent="0.3">
      <c r="A392" s="131"/>
      <c r="B392" s="131"/>
      <c r="C392" s="131"/>
      <c r="D392" s="131"/>
      <c r="E392" s="131"/>
      <c r="F392" s="132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3"/>
      <c r="S392" s="84">
        <f t="shared" si="64"/>
        <v>0</v>
      </c>
      <c r="T392" s="133"/>
      <c r="U392" s="133"/>
      <c r="V392" s="133"/>
      <c r="W392" s="133"/>
      <c r="X392" s="133"/>
      <c r="Y392" s="133"/>
      <c r="Z392" s="133"/>
    </row>
    <row r="393" spans="1:26" ht="12.75" customHeight="1" x14ac:dyDescent="0.3">
      <c r="A393" s="131"/>
      <c r="B393" s="131"/>
      <c r="C393" s="131"/>
      <c r="D393" s="131"/>
      <c r="E393" s="131"/>
      <c r="F393" s="132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3"/>
      <c r="S393" s="84">
        <f t="shared" si="64"/>
        <v>0</v>
      </c>
      <c r="T393" s="133"/>
      <c r="U393" s="133"/>
      <c r="V393" s="133"/>
      <c r="W393" s="133"/>
      <c r="X393" s="133"/>
      <c r="Y393" s="133"/>
      <c r="Z393" s="133"/>
    </row>
    <row r="394" spans="1:26" ht="12.75" customHeight="1" x14ac:dyDescent="0.3">
      <c r="A394" s="131"/>
      <c r="B394" s="131"/>
      <c r="C394" s="131"/>
      <c r="D394" s="131"/>
      <c r="E394" s="131"/>
      <c r="F394" s="132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3"/>
      <c r="S394" s="84">
        <f t="shared" si="64"/>
        <v>0</v>
      </c>
      <c r="T394" s="133"/>
      <c r="U394" s="133"/>
      <c r="V394" s="133"/>
      <c r="W394" s="133"/>
      <c r="X394" s="133"/>
      <c r="Y394" s="133"/>
      <c r="Z394" s="133"/>
    </row>
    <row r="395" spans="1:26" ht="12.75" customHeight="1" x14ac:dyDescent="0.3">
      <c r="A395" s="131"/>
      <c r="B395" s="131"/>
      <c r="C395" s="131"/>
      <c r="D395" s="131"/>
      <c r="E395" s="131"/>
      <c r="F395" s="132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3"/>
      <c r="S395" s="84">
        <f t="shared" si="64"/>
        <v>0</v>
      </c>
      <c r="T395" s="133"/>
      <c r="U395" s="133"/>
      <c r="V395" s="133"/>
      <c r="W395" s="133"/>
      <c r="X395" s="133"/>
      <c r="Y395" s="133"/>
      <c r="Z395" s="133"/>
    </row>
    <row r="396" spans="1:26" ht="12.75" customHeight="1" x14ac:dyDescent="0.3">
      <c r="A396" s="131"/>
      <c r="B396" s="131"/>
      <c r="C396" s="131"/>
      <c r="D396" s="131"/>
      <c r="E396" s="131"/>
      <c r="F396" s="132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3"/>
      <c r="S396" s="84">
        <f t="shared" si="64"/>
        <v>0</v>
      </c>
      <c r="T396" s="133"/>
      <c r="U396" s="133"/>
      <c r="V396" s="133"/>
      <c r="W396" s="133"/>
      <c r="X396" s="133"/>
      <c r="Y396" s="133"/>
      <c r="Z396" s="133"/>
    </row>
    <row r="397" spans="1:26" ht="12.75" customHeight="1" x14ac:dyDescent="0.3">
      <c r="A397" s="131"/>
      <c r="B397" s="131"/>
      <c r="C397" s="131"/>
      <c r="D397" s="131"/>
      <c r="E397" s="131"/>
      <c r="F397" s="132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3"/>
      <c r="S397" s="84">
        <f t="shared" si="64"/>
        <v>0</v>
      </c>
      <c r="T397" s="133"/>
      <c r="U397" s="133"/>
      <c r="V397" s="133"/>
      <c r="W397" s="133"/>
      <c r="X397" s="133"/>
      <c r="Y397" s="133"/>
      <c r="Z397" s="133"/>
    </row>
    <row r="398" spans="1:26" ht="12.75" customHeight="1" x14ac:dyDescent="0.3">
      <c r="A398" s="131"/>
      <c r="B398" s="131"/>
      <c r="C398" s="131"/>
      <c r="D398" s="131"/>
      <c r="E398" s="131"/>
      <c r="F398" s="132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3"/>
      <c r="S398" s="84">
        <f t="shared" si="64"/>
        <v>0</v>
      </c>
      <c r="T398" s="133"/>
      <c r="U398" s="133"/>
      <c r="V398" s="133"/>
      <c r="W398" s="133"/>
      <c r="X398" s="133"/>
      <c r="Y398" s="133"/>
      <c r="Z398" s="133"/>
    </row>
    <row r="399" spans="1:26" ht="12.75" customHeight="1" x14ac:dyDescent="0.3">
      <c r="A399" s="131"/>
      <c r="B399" s="131"/>
      <c r="C399" s="131"/>
      <c r="D399" s="131"/>
      <c r="E399" s="131"/>
      <c r="F399" s="132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3"/>
      <c r="S399" s="84">
        <f t="shared" si="64"/>
        <v>0</v>
      </c>
      <c r="T399" s="133"/>
      <c r="U399" s="133"/>
      <c r="V399" s="133"/>
      <c r="W399" s="133"/>
      <c r="X399" s="133"/>
      <c r="Y399" s="133"/>
      <c r="Z399" s="133"/>
    </row>
    <row r="400" spans="1:26" ht="12.75" customHeight="1" x14ac:dyDescent="0.3">
      <c r="A400" s="131"/>
      <c r="B400" s="131"/>
      <c r="C400" s="131"/>
      <c r="D400" s="131"/>
      <c r="E400" s="131"/>
      <c r="F400" s="132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3"/>
      <c r="S400" s="84">
        <f t="shared" si="64"/>
        <v>0</v>
      </c>
      <c r="T400" s="133"/>
      <c r="U400" s="133"/>
      <c r="V400" s="133"/>
      <c r="W400" s="133"/>
      <c r="X400" s="133"/>
      <c r="Y400" s="133"/>
      <c r="Z400" s="133"/>
    </row>
    <row r="401" spans="1:26" ht="12.75" customHeight="1" x14ac:dyDescent="0.3">
      <c r="A401" s="131"/>
      <c r="B401" s="131"/>
      <c r="C401" s="131"/>
      <c r="D401" s="131"/>
      <c r="E401" s="131"/>
      <c r="F401" s="132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3"/>
      <c r="S401" s="84">
        <f t="shared" si="64"/>
        <v>0</v>
      </c>
      <c r="T401" s="133"/>
      <c r="U401" s="133"/>
      <c r="V401" s="133"/>
      <c r="W401" s="133"/>
      <c r="X401" s="133"/>
      <c r="Y401" s="133"/>
      <c r="Z401" s="133"/>
    </row>
    <row r="402" spans="1:26" ht="12.75" customHeight="1" x14ac:dyDescent="0.3">
      <c r="A402" s="131"/>
      <c r="B402" s="131"/>
      <c r="C402" s="131"/>
      <c r="D402" s="131"/>
      <c r="E402" s="131"/>
      <c r="F402" s="132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3"/>
      <c r="S402" s="84">
        <f t="shared" si="64"/>
        <v>0</v>
      </c>
      <c r="T402" s="133"/>
      <c r="U402" s="133"/>
      <c r="V402" s="133"/>
      <c r="W402" s="133"/>
      <c r="X402" s="133"/>
      <c r="Y402" s="133"/>
      <c r="Z402" s="133"/>
    </row>
    <row r="403" spans="1:26" ht="12.75" customHeight="1" x14ac:dyDescent="0.3">
      <c r="A403" s="131"/>
      <c r="B403" s="131"/>
      <c r="C403" s="131"/>
      <c r="D403" s="131"/>
      <c r="E403" s="131"/>
      <c r="F403" s="132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3"/>
      <c r="S403" s="84">
        <f t="shared" si="64"/>
        <v>0</v>
      </c>
      <c r="T403" s="133"/>
      <c r="U403" s="133"/>
      <c r="V403" s="133"/>
      <c r="W403" s="133"/>
      <c r="X403" s="133"/>
      <c r="Y403" s="133"/>
      <c r="Z403" s="133"/>
    </row>
    <row r="404" spans="1:26" ht="12.75" customHeight="1" x14ac:dyDescent="0.3">
      <c r="A404" s="131"/>
      <c r="B404" s="131"/>
      <c r="C404" s="131"/>
      <c r="D404" s="131"/>
      <c r="E404" s="131"/>
      <c r="F404" s="132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3"/>
      <c r="S404" s="84">
        <f t="shared" si="64"/>
        <v>0</v>
      </c>
      <c r="T404" s="133"/>
      <c r="U404" s="133"/>
      <c r="V404" s="133"/>
      <c r="W404" s="133"/>
      <c r="X404" s="133"/>
      <c r="Y404" s="133"/>
      <c r="Z404" s="133"/>
    </row>
    <row r="405" spans="1:26" ht="12.75" customHeight="1" x14ac:dyDescent="0.3">
      <c r="A405" s="131"/>
      <c r="B405" s="131"/>
      <c r="C405" s="131"/>
      <c r="D405" s="131"/>
      <c r="E405" s="131"/>
      <c r="F405" s="132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3"/>
      <c r="S405" s="84">
        <f t="shared" si="64"/>
        <v>0</v>
      </c>
      <c r="T405" s="133"/>
      <c r="U405" s="133"/>
      <c r="V405" s="133"/>
      <c r="W405" s="133"/>
      <c r="X405" s="133"/>
      <c r="Y405" s="133"/>
      <c r="Z405" s="133"/>
    </row>
    <row r="406" spans="1:26" ht="12.75" customHeight="1" x14ac:dyDescent="0.3">
      <c r="A406" s="131"/>
      <c r="B406" s="131"/>
      <c r="C406" s="131"/>
      <c r="D406" s="131"/>
      <c r="E406" s="131"/>
      <c r="F406" s="132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3"/>
      <c r="S406" s="84">
        <f t="shared" si="64"/>
        <v>0</v>
      </c>
      <c r="T406" s="133"/>
      <c r="U406" s="133"/>
      <c r="V406" s="133"/>
      <c r="W406" s="133"/>
      <c r="X406" s="133"/>
      <c r="Y406" s="133"/>
      <c r="Z406" s="133"/>
    </row>
    <row r="407" spans="1:26" ht="12.75" customHeight="1" x14ac:dyDescent="0.3">
      <c r="A407" s="131"/>
      <c r="B407" s="131"/>
      <c r="C407" s="131"/>
      <c r="D407" s="131"/>
      <c r="E407" s="131"/>
      <c r="F407" s="132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3"/>
      <c r="S407" s="84">
        <f t="shared" si="64"/>
        <v>0</v>
      </c>
      <c r="T407" s="133"/>
      <c r="U407" s="133"/>
      <c r="V407" s="133"/>
      <c r="W407" s="133"/>
      <c r="X407" s="133"/>
      <c r="Y407" s="133"/>
      <c r="Z407" s="133"/>
    </row>
    <row r="408" spans="1:26" ht="12.75" customHeight="1" x14ac:dyDescent="0.3">
      <c r="A408" s="131"/>
      <c r="B408" s="131"/>
      <c r="C408" s="131"/>
      <c r="D408" s="131"/>
      <c r="E408" s="131"/>
      <c r="F408" s="132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3"/>
      <c r="S408" s="84">
        <f t="shared" si="64"/>
        <v>0</v>
      </c>
      <c r="T408" s="133"/>
      <c r="U408" s="133"/>
      <c r="V408" s="133"/>
      <c r="W408" s="133"/>
      <c r="X408" s="133"/>
      <c r="Y408" s="133"/>
      <c r="Z408" s="133"/>
    </row>
    <row r="409" spans="1:26" ht="12.75" customHeight="1" x14ac:dyDescent="0.3">
      <c r="A409" s="131"/>
      <c r="B409" s="131"/>
      <c r="C409" s="131"/>
      <c r="D409" s="131"/>
      <c r="E409" s="131"/>
      <c r="F409" s="132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3"/>
      <c r="S409" s="84">
        <f t="shared" si="64"/>
        <v>0</v>
      </c>
      <c r="T409" s="133"/>
      <c r="U409" s="133"/>
      <c r="V409" s="133"/>
      <c r="W409" s="133"/>
      <c r="X409" s="133"/>
      <c r="Y409" s="133"/>
      <c r="Z409" s="133"/>
    </row>
    <row r="410" spans="1:26" ht="12.75" customHeight="1" x14ac:dyDescent="0.3">
      <c r="A410" s="131"/>
      <c r="B410" s="131"/>
      <c r="C410" s="131"/>
      <c r="D410" s="131"/>
      <c r="E410" s="131"/>
      <c r="F410" s="132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3"/>
      <c r="S410" s="84">
        <f t="shared" si="64"/>
        <v>0</v>
      </c>
      <c r="T410" s="133"/>
      <c r="U410" s="133"/>
      <c r="V410" s="133"/>
      <c r="W410" s="133"/>
      <c r="X410" s="133"/>
      <c r="Y410" s="133"/>
      <c r="Z410" s="133"/>
    </row>
    <row r="411" spans="1:26" ht="12.75" customHeight="1" x14ac:dyDescent="0.3">
      <c r="A411" s="131"/>
      <c r="B411" s="131"/>
      <c r="C411" s="131"/>
      <c r="D411" s="131"/>
      <c r="E411" s="131"/>
      <c r="F411" s="132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3"/>
      <c r="S411" s="84">
        <f t="shared" si="64"/>
        <v>0</v>
      </c>
      <c r="T411" s="133"/>
      <c r="U411" s="133"/>
      <c r="V411" s="133"/>
      <c r="W411" s="133"/>
      <c r="X411" s="133"/>
      <c r="Y411" s="133"/>
      <c r="Z411" s="133"/>
    </row>
    <row r="412" spans="1:26" ht="12.75" customHeight="1" x14ac:dyDescent="0.3">
      <c r="A412" s="131"/>
      <c r="B412" s="131"/>
      <c r="C412" s="131"/>
      <c r="D412" s="131"/>
      <c r="E412" s="131"/>
      <c r="F412" s="132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3"/>
      <c r="S412" s="84">
        <f t="shared" si="64"/>
        <v>0</v>
      </c>
      <c r="T412" s="133"/>
      <c r="U412" s="133"/>
      <c r="V412" s="133"/>
      <c r="W412" s="133"/>
      <c r="X412" s="133"/>
      <c r="Y412" s="133"/>
      <c r="Z412" s="133"/>
    </row>
    <row r="413" spans="1:26" ht="12.75" customHeight="1" x14ac:dyDescent="0.3">
      <c r="A413" s="131"/>
      <c r="B413" s="131"/>
      <c r="C413" s="131"/>
      <c r="D413" s="131"/>
      <c r="E413" s="131"/>
      <c r="F413" s="132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3"/>
      <c r="S413" s="84">
        <f t="shared" si="64"/>
        <v>0</v>
      </c>
      <c r="T413" s="133"/>
      <c r="U413" s="133"/>
      <c r="V413" s="133"/>
      <c r="W413" s="133"/>
      <c r="X413" s="133"/>
      <c r="Y413" s="133"/>
      <c r="Z413" s="133"/>
    </row>
    <row r="414" spans="1:26" ht="12.75" customHeight="1" x14ac:dyDescent="0.3">
      <c r="A414" s="131"/>
      <c r="B414" s="131"/>
      <c r="C414" s="131"/>
      <c r="D414" s="131"/>
      <c r="E414" s="131"/>
      <c r="F414" s="132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3"/>
      <c r="S414" s="84">
        <f t="shared" si="64"/>
        <v>0</v>
      </c>
      <c r="T414" s="133"/>
      <c r="U414" s="133"/>
      <c r="V414" s="133"/>
      <c r="W414" s="133"/>
      <c r="X414" s="133"/>
      <c r="Y414" s="133"/>
      <c r="Z414" s="133"/>
    </row>
    <row r="415" spans="1:26" ht="12.75" customHeight="1" x14ac:dyDescent="0.3">
      <c r="A415" s="131"/>
      <c r="B415" s="131"/>
      <c r="C415" s="131"/>
      <c r="D415" s="131"/>
      <c r="E415" s="131"/>
      <c r="F415" s="132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3"/>
      <c r="S415" s="84">
        <f t="shared" si="64"/>
        <v>0</v>
      </c>
      <c r="T415" s="133"/>
      <c r="U415" s="133"/>
      <c r="V415" s="133"/>
      <c r="W415" s="133"/>
      <c r="X415" s="133"/>
      <c r="Y415" s="133"/>
      <c r="Z415" s="133"/>
    </row>
    <row r="416" spans="1:26" ht="12.75" customHeight="1" x14ac:dyDescent="0.3">
      <c r="A416" s="131"/>
      <c r="B416" s="131"/>
      <c r="C416" s="131"/>
      <c r="D416" s="131"/>
      <c r="E416" s="131"/>
      <c r="F416" s="132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3"/>
      <c r="S416" s="84">
        <f t="shared" si="64"/>
        <v>0</v>
      </c>
      <c r="T416" s="133"/>
      <c r="U416" s="133"/>
      <c r="V416" s="133"/>
      <c r="W416" s="133"/>
      <c r="X416" s="133"/>
      <c r="Y416" s="133"/>
      <c r="Z416" s="133"/>
    </row>
    <row r="417" spans="1:26" ht="12.75" customHeight="1" x14ac:dyDescent="0.3">
      <c r="A417" s="131"/>
      <c r="B417" s="131"/>
      <c r="C417" s="131"/>
      <c r="D417" s="131"/>
      <c r="E417" s="131"/>
      <c r="F417" s="132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3"/>
      <c r="S417" s="84">
        <f t="shared" si="64"/>
        <v>0</v>
      </c>
      <c r="T417" s="133"/>
      <c r="U417" s="133"/>
      <c r="V417" s="133"/>
      <c r="W417" s="133"/>
      <c r="X417" s="133"/>
      <c r="Y417" s="133"/>
      <c r="Z417" s="133"/>
    </row>
    <row r="418" spans="1:26" ht="12.75" customHeight="1" x14ac:dyDescent="0.3">
      <c r="A418" s="131"/>
      <c r="B418" s="131"/>
      <c r="C418" s="131"/>
      <c r="D418" s="131"/>
      <c r="E418" s="131"/>
      <c r="F418" s="132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3"/>
      <c r="S418" s="84">
        <f t="shared" si="64"/>
        <v>0</v>
      </c>
      <c r="T418" s="133"/>
      <c r="U418" s="133"/>
      <c r="V418" s="133"/>
      <c r="W418" s="133"/>
      <c r="X418" s="133"/>
      <c r="Y418" s="133"/>
      <c r="Z418" s="133"/>
    </row>
    <row r="419" spans="1:26" ht="12.75" customHeight="1" x14ac:dyDescent="0.3">
      <c r="A419" s="131"/>
      <c r="B419" s="131"/>
      <c r="C419" s="131"/>
      <c r="D419" s="131"/>
      <c r="E419" s="131"/>
      <c r="F419" s="132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3"/>
      <c r="S419" s="84">
        <f t="shared" si="64"/>
        <v>0</v>
      </c>
      <c r="T419" s="133"/>
      <c r="U419" s="133"/>
      <c r="V419" s="133"/>
      <c r="W419" s="133"/>
      <c r="X419" s="133"/>
      <c r="Y419" s="133"/>
      <c r="Z419" s="133"/>
    </row>
    <row r="420" spans="1:26" ht="12.75" customHeight="1" x14ac:dyDescent="0.3">
      <c r="A420" s="131"/>
      <c r="B420" s="131"/>
      <c r="C420" s="131"/>
      <c r="D420" s="131"/>
      <c r="E420" s="131"/>
      <c r="F420" s="132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3"/>
      <c r="S420" s="84">
        <f t="shared" si="64"/>
        <v>0</v>
      </c>
      <c r="T420" s="133"/>
      <c r="U420" s="133"/>
      <c r="V420" s="133"/>
      <c r="W420" s="133"/>
      <c r="X420" s="133"/>
      <c r="Y420" s="133"/>
      <c r="Z420" s="133"/>
    </row>
    <row r="421" spans="1:26" ht="12.75" customHeight="1" x14ac:dyDescent="0.3">
      <c r="A421" s="131"/>
      <c r="B421" s="131"/>
      <c r="C421" s="131"/>
      <c r="D421" s="131"/>
      <c r="E421" s="131"/>
      <c r="F421" s="132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3"/>
      <c r="S421" s="84">
        <f t="shared" si="64"/>
        <v>0</v>
      </c>
      <c r="T421" s="133"/>
      <c r="U421" s="133"/>
      <c r="V421" s="133"/>
      <c r="W421" s="133"/>
      <c r="X421" s="133"/>
      <c r="Y421" s="133"/>
      <c r="Z421" s="133"/>
    </row>
    <row r="422" spans="1:26" ht="12.75" customHeight="1" x14ac:dyDescent="0.3">
      <c r="A422" s="131"/>
      <c r="B422" s="131"/>
      <c r="C422" s="131"/>
      <c r="D422" s="131"/>
      <c r="E422" s="131"/>
      <c r="F422" s="132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3"/>
      <c r="S422" s="84">
        <f t="shared" si="64"/>
        <v>0</v>
      </c>
      <c r="T422" s="133"/>
      <c r="U422" s="133"/>
      <c r="V422" s="133"/>
      <c r="W422" s="133"/>
      <c r="X422" s="133"/>
      <c r="Y422" s="133"/>
      <c r="Z422" s="133"/>
    </row>
    <row r="423" spans="1:26" ht="12.75" customHeight="1" x14ac:dyDescent="0.3">
      <c r="A423" s="131"/>
      <c r="B423" s="131"/>
      <c r="C423" s="131"/>
      <c r="D423" s="131"/>
      <c r="E423" s="131"/>
      <c r="F423" s="132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3"/>
      <c r="S423" s="84">
        <f t="shared" si="64"/>
        <v>0</v>
      </c>
      <c r="T423" s="133"/>
      <c r="U423" s="133"/>
      <c r="V423" s="133"/>
      <c r="W423" s="133"/>
      <c r="X423" s="133"/>
      <c r="Y423" s="133"/>
      <c r="Z423" s="133"/>
    </row>
    <row r="424" spans="1:26" ht="12.75" customHeight="1" x14ac:dyDescent="0.3">
      <c r="A424" s="131"/>
      <c r="B424" s="131"/>
      <c r="C424" s="131"/>
      <c r="D424" s="131"/>
      <c r="E424" s="131"/>
      <c r="F424" s="132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3"/>
      <c r="S424" s="84">
        <f t="shared" si="64"/>
        <v>0</v>
      </c>
      <c r="T424" s="133"/>
      <c r="U424" s="133"/>
      <c r="V424" s="133"/>
      <c r="W424" s="133"/>
      <c r="X424" s="133"/>
      <c r="Y424" s="133"/>
      <c r="Z424" s="133"/>
    </row>
    <row r="425" spans="1:26" ht="12.75" customHeight="1" x14ac:dyDescent="0.3">
      <c r="A425" s="131"/>
      <c r="B425" s="131"/>
      <c r="C425" s="131"/>
      <c r="D425" s="131"/>
      <c r="E425" s="131"/>
      <c r="F425" s="132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3"/>
      <c r="S425" s="84">
        <f t="shared" si="64"/>
        <v>0</v>
      </c>
      <c r="T425" s="133"/>
      <c r="U425" s="133"/>
      <c r="V425" s="133"/>
      <c r="W425" s="133"/>
      <c r="X425" s="133"/>
      <c r="Y425" s="133"/>
      <c r="Z425" s="133"/>
    </row>
    <row r="426" spans="1:26" ht="12.75" customHeight="1" x14ac:dyDescent="0.3">
      <c r="A426" s="131"/>
      <c r="B426" s="131"/>
      <c r="C426" s="131"/>
      <c r="D426" s="131"/>
      <c r="E426" s="131"/>
      <c r="F426" s="132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3"/>
      <c r="S426" s="84">
        <f t="shared" si="64"/>
        <v>0</v>
      </c>
      <c r="T426" s="133"/>
      <c r="U426" s="133"/>
      <c r="V426" s="133"/>
      <c r="W426" s="133"/>
      <c r="X426" s="133"/>
      <c r="Y426" s="133"/>
      <c r="Z426" s="133"/>
    </row>
    <row r="427" spans="1:26" ht="12.75" customHeight="1" x14ac:dyDescent="0.3">
      <c r="A427" s="131"/>
      <c r="B427" s="131"/>
      <c r="C427" s="131"/>
      <c r="D427" s="131"/>
      <c r="E427" s="131"/>
      <c r="F427" s="132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3"/>
      <c r="S427" s="84">
        <f t="shared" si="64"/>
        <v>0</v>
      </c>
      <c r="T427" s="133"/>
      <c r="U427" s="133"/>
      <c r="V427" s="133"/>
      <c r="W427" s="133"/>
      <c r="X427" s="133"/>
      <c r="Y427" s="133"/>
      <c r="Z427" s="133"/>
    </row>
    <row r="428" spans="1:26" ht="12.75" customHeight="1" x14ac:dyDescent="0.3">
      <c r="A428" s="131"/>
      <c r="B428" s="131"/>
      <c r="C428" s="131"/>
      <c r="D428" s="131"/>
      <c r="E428" s="131"/>
      <c r="F428" s="132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3"/>
      <c r="S428" s="84">
        <f t="shared" si="64"/>
        <v>0</v>
      </c>
      <c r="T428" s="133"/>
      <c r="U428" s="133"/>
      <c r="V428" s="133"/>
      <c r="W428" s="133"/>
      <c r="X428" s="133"/>
      <c r="Y428" s="133"/>
      <c r="Z428" s="133"/>
    </row>
    <row r="429" spans="1:26" ht="12.75" customHeight="1" x14ac:dyDescent="0.3">
      <c r="A429" s="131"/>
      <c r="B429" s="131"/>
      <c r="C429" s="131"/>
      <c r="D429" s="131"/>
      <c r="E429" s="131"/>
      <c r="F429" s="132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3"/>
      <c r="S429" s="84">
        <f t="shared" si="64"/>
        <v>0</v>
      </c>
      <c r="T429" s="133"/>
      <c r="U429" s="133"/>
      <c r="V429" s="133"/>
      <c r="W429" s="133"/>
      <c r="X429" s="133"/>
      <c r="Y429" s="133"/>
      <c r="Z429" s="133"/>
    </row>
    <row r="430" spans="1:26" ht="12.75" customHeight="1" x14ac:dyDescent="0.3">
      <c r="A430" s="131"/>
      <c r="B430" s="131"/>
      <c r="C430" s="131"/>
      <c r="D430" s="131"/>
      <c r="E430" s="131"/>
      <c r="F430" s="132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3"/>
      <c r="S430" s="84">
        <f t="shared" si="64"/>
        <v>0</v>
      </c>
      <c r="T430" s="133"/>
      <c r="U430" s="133"/>
      <c r="V430" s="133"/>
      <c r="W430" s="133"/>
      <c r="X430" s="133"/>
      <c r="Y430" s="133"/>
      <c r="Z430" s="133"/>
    </row>
    <row r="431" spans="1:26" ht="12.75" customHeight="1" x14ac:dyDescent="0.3">
      <c r="A431" s="131"/>
      <c r="B431" s="131"/>
      <c r="C431" s="131"/>
      <c r="D431" s="131"/>
      <c r="E431" s="131"/>
      <c r="F431" s="132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3"/>
      <c r="S431" s="84">
        <f t="shared" si="64"/>
        <v>0</v>
      </c>
      <c r="T431" s="133"/>
      <c r="U431" s="133"/>
      <c r="V431" s="133"/>
      <c r="W431" s="133"/>
      <c r="X431" s="133"/>
      <c r="Y431" s="133"/>
      <c r="Z431" s="133"/>
    </row>
    <row r="432" spans="1:26" ht="12.75" customHeight="1" x14ac:dyDescent="0.3">
      <c r="A432" s="131"/>
      <c r="B432" s="131"/>
      <c r="C432" s="131"/>
      <c r="D432" s="131"/>
      <c r="E432" s="131"/>
      <c r="F432" s="132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3"/>
      <c r="S432" s="84">
        <f t="shared" ref="S432:S686" si="65">SUM(T432:Z432)</f>
        <v>0</v>
      </c>
      <c r="T432" s="133"/>
      <c r="U432" s="133"/>
      <c r="V432" s="133"/>
      <c r="W432" s="133"/>
      <c r="X432" s="133"/>
      <c r="Y432" s="133"/>
      <c r="Z432" s="133"/>
    </row>
    <row r="433" spans="1:26" ht="12.75" customHeight="1" x14ac:dyDescent="0.3">
      <c r="A433" s="131"/>
      <c r="B433" s="131"/>
      <c r="C433" s="131"/>
      <c r="D433" s="131"/>
      <c r="E433" s="131"/>
      <c r="F433" s="132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3"/>
      <c r="S433" s="84">
        <f t="shared" si="65"/>
        <v>0</v>
      </c>
      <c r="T433" s="133"/>
      <c r="U433" s="133"/>
      <c r="V433" s="133"/>
      <c r="W433" s="133"/>
      <c r="X433" s="133"/>
      <c r="Y433" s="133"/>
      <c r="Z433" s="133"/>
    </row>
    <row r="434" spans="1:26" ht="12.75" customHeight="1" x14ac:dyDescent="0.3">
      <c r="A434" s="131"/>
      <c r="B434" s="131"/>
      <c r="C434" s="131"/>
      <c r="D434" s="131"/>
      <c r="E434" s="131"/>
      <c r="F434" s="132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3"/>
      <c r="S434" s="84">
        <f t="shared" si="65"/>
        <v>0</v>
      </c>
      <c r="T434" s="133"/>
      <c r="U434" s="133"/>
      <c r="V434" s="133"/>
      <c r="W434" s="133"/>
      <c r="X434" s="133"/>
      <c r="Y434" s="133"/>
      <c r="Z434" s="133"/>
    </row>
    <row r="435" spans="1:26" ht="12.75" customHeight="1" x14ac:dyDescent="0.3">
      <c r="A435" s="131"/>
      <c r="B435" s="131"/>
      <c r="C435" s="131"/>
      <c r="D435" s="131"/>
      <c r="E435" s="131"/>
      <c r="F435" s="132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3"/>
      <c r="S435" s="84">
        <f t="shared" si="65"/>
        <v>0</v>
      </c>
      <c r="T435" s="133"/>
      <c r="U435" s="133"/>
      <c r="V435" s="133"/>
      <c r="W435" s="133"/>
      <c r="X435" s="133"/>
      <c r="Y435" s="133"/>
      <c r="Z435" s="133"/>
    </row>
    <row r="436" spans="1:26" ht="12.75" customHeight="1" x14ac:dyDescent="0.3">
      <c r="A436" s="131"/>
      <c r="B436" s="131"/>
      <c r="C436" s="131"/>
      <c r="D436" s="131"/>
      <c r="E436" s="131"/>
      <c r="F436" s="132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3"/>
      <c r="S436" s="84">
        <f t="shared" si="65"/>
        <v>0</v>
      </c>
      <c r="T436" s="133"/>
      <c r="U436" s="133"/>
      <c r="V436" s="133"/>
      <c r="W436" s="133"/>
      <c r="X436" s="133"/>
      <c r="Y436" s="133"/>
      <c r="Z436" s="133"/>
    </row>
    <row r="437" spans="1:26" ht="12.75" customHeight="1" x14ac:dyDescent="0.3">
      <c r="A437" s="131"/>
      <c r="B437" s="131"/>
      <c r="C437" s="131"/>
      <c r="D437" s="131"/>
      <c r="E437" s="131"/>
      <c r="F437" s="132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3"/>
      <c r="S437" s="84">
        <f t="shared" si="65"/>
        <v>0</v>
      </c>
      <c r="T437" s="133"/>
      <c r="U437" s="133"/>
      <c r="V437" s="133"/>
      <c r="W437" s="133"/>
      <c r="X437" s="133"/>
      <c r="Y437" s="133"/>
      <c r="Z437" s="133"/>
    </row>
    <row r="438" spans="1:26" ht="12.75" customHeight="1" x14ac:dyDescent="0.3">
      <c r="A438" s="131"/>
      <c r="B438" s="131"/>
      <c r="C438" s="131"/>
      <c r="D438" s="131"/>
      <c r="E438" s="131"/>
      <c r="F438" s="132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3"/>
      <c r="S438" s="84">
        <f t="shared" si="65"/>
        <v>0</v>
      </c>
      <c r="T438" s="133"/>
      <c r="U438" s="133"/>
      <c r="V438" s="133"/>
      <c r="W438" s="133"/>
      <c r="X438" s="133"/>
      <c r="Y438" s="133"/>
      <c r="Z438" s="133"/>
    </row>
    <row r="439" spans="1:26" ht="12.75" customHeight="1" x14ac:dyDescent="0.3">
      <c r="A439" s="131"/>
      <c r="B439" s="131"/>
      <c r="C439" s="131"/>
      <c r="D439" s="131"/>
      <c r="E439" s="131"/>
      <c r="F439" s="132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3"/>
      <c r="S439" s="84">
        <f t="shared" si="65"/>
        <v>0</v>
      </c>
      <c r="T439" s="133"/>
      <c r="U439" s="133"/>
      <c r="V439" s="133"/>
      <c r="W439" s="133"/>
      <c r="X439" s="133"/>
      <c r="Y439" s="133"/>
      <c r="Z439" s="133"/>
    </row>
    <row r="440" spans="1:26" ht="12.75" customHeight="1" x14ac:dyDescent="0.3">
      <c r="A440" s="131"/>
      <c r="B440" s="131"/>
      <c r="C440" s="131"/>
      <c r="D440" s="131"/>
      <c r="E440" s="131"/>
      <c r="F440" s="132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3"/>
      <c r="S440" s="84">
        <f t="shared" si="65"/>
        <v>0</v>
      </c>
      <c r="T440" s="133"/>
      <c r="U440" s="133"/>
      <c r="V440" s="133"/>
      <c r="W440" s="133"/>
      <c r="X440" s="133"/>
      <c r="Y440" s="133"/>
      <c r="Z440" s="133"/>
    </row>
    <row r="441" spans="1:26" ht="12.75" customHeight="1" x14ac:dyDescent="0.3">
      <c r="A441" s="131"/>
      <c r="B441" s="131"/>
      <c r="C441" s="131"/>
      <c r="D441" s="131"/>
      <c r="E441" s="131"/>
      <c r="F441" s="132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3"/>
      <c r="S441" s="84">
        <f t="shared" si="65"/>
        <v>0</v>
      </c>
      <c r="T441" s="133"/>
      <c r="U441" s="133"/>
      <c r="V441" s="133"/>
      <c r="W441" s="133"/>
      <c r="X441" s="133"/>
      <c r="Y441" s="133"/>
      <c r="Z441" s="133"/>
    </row>
    <row r="442" spans="1:26" ht="12.75" customHeight="1" x14ac:dyDescent="0.3">
      <c r="A442" s="131"/>
      <c r="B442" s="131"/>
      <c r="C442" s="131"/>
      <c r="D442" s="131"/>
      <c r="E442" s="131"/>
      <c r="F442" s="132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3"/>
      <c r="S442" s="84">
        <f t="shared" si="65"/>
        <v>0</v>
      </c>
      <c r="T442" s="133"/>
      <c r="U442" s="133"/>
      <c r="V442" s="133"/>
      <c r="W442" s="133"/>
      <c r="X442" s="133"/>
      <c r="Y442" s="133"/>
      <c r="Z442" s="133"/>
    </row>
    <row r="443" spans="1:26" ht="12.75" customHeight="1" x14ac:dyDescent="0.3">
      <c r="A443" s="131"/>
      <c r="B443" s="131"/>
      <c r="C443" s="131"/>
      <c r="D443" s="131"/>
      <c r="E443" s="131"/>
      <c r="F443" s="132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3"/>
      <c r="S443" s="84">
        <f t="shared" si="65"/>
        <v>0</v>
      </c>
      <c r="T443" s="133"/>
      <c r="U443" s="133"/>
      <c r="V443" s="133"/>
      <c r="W443" s="133"/>
      <c r="X443" s="133"/>
      <c r="Y443" s="133"/>
      <c r="Z443" s="133"/>
    </row>
    <row r="444" spans="1:26" ht="12.75" customHeight="1" x14ac:dyDescent="0.3">
      <c r="A444" s="131"/>
      <c r="B444" s="131"/>
      <c r="C444" s="131"/>
      <c r="D444" s="131"/>
      <c r="E444" s="131"/>
      <c r="F444" s="132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3"/>
      <c r="S444" s="84">
        <f t="shared" si="65"/>
        <v>0</v>
      </c>
      <c r="T444" s="133"/>
      <c r="U444" s="133"/>
      <c r="V444" s="133"/>
      <c r="W444" s="133"/>
      <c r="X444" s="133"/>
      <c r="Y444" s="133"/>
      <c r="Z444" s="133"/>
    </row>
    <row r="445" spans="1:26" ht="12.75" customHeight="1" x14ac:dyDescent="0.3">
      <c r="A445" s="131"/>
      <c r="B445" s="131"/>
      <c r="C445" s="131"/>
      <c r="D445" s="131"/>
      <c r="E445" s="131"/>
      <c r="F445" s="132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3"/>
      <c r="S445" s="84">
        <f t="shared" si="65"/>
        <v>0</v>
      </c>
      <c r="T445" s="133"/>
      <c r="U445" s="133"/>
      <c r="V445" s="133"/>
      <c r="W445" s="133"/>
      <c r="X445" s="133"/>
      <c r="Y445" s="133"/>
      <c r="Z445" s="133"/>
    </row>
    <row r="446" spans="1:26" ht="12.75" customHeight="1" x14ac:dyDescent="0.3">
      <c r="A446" s="131"/>
      <c r="B446" s="131"/>
      <c r="C446" s="131"/>
      <c r="D446" s="131"/>
      <c r="E446" s="131"/>
      <c r="F446" s="132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3"/>
      <c r="S446" s="84">
        <f t="shared" si="65"/>
        <v>0</v>
      </c>
      <c r="T446" s="133"/>
      <c r="U446" s="133"/>
      <c r="V446" s="133"/>
      <c r="W446" s="133"/>
      <c r="X446" s="133"/>
      <c r="Y446" s="133"/>
      <c r="Z446" s="133"/>
    </row>
    <row r="447" spans="1:26" ht="12.75" customHeight="1" x14ac:dyDescent="0.3">
      <c r="A447" s="131"/>
      <c r="B447" s="131"/>
      <c r="C447" s="131"/>
      <c r="D447" s="131"/>
      <c r="E447" s="131"/>
      <c r="F447" s="132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3"/>
      <c r="S447" s="84">
        <f t="shared" si="65"/>
        <v>0</v>
      </c>
      <c r="T447" s="133"/>
      <c r="U447" s="133"/>
      <c r="V447" s="133"/>
      <c r="W447" s="133"/>
      <c r="X447" s="133"/>
      <c r="Y447" s="133"/>
      <c r="Z447" s="133"/>
    </row>
    <row r="448" spans="1:26" ht="12.75" customHeight="1" x14ac:dyDescent="0.3">
      <c r="A448" s="131"/>
      <c r="B448" s="131"/>
      <c r="C448" s="131"/>
      <c r="D448" s="131"/>
      <c r="E448" s="131"/>
      <c r="F448" s="132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3"/>
      <c r="S448" s="84">
        <f t="shared" si="65"/>
        <v>0</v>
      </c>
      <c r="T448" s="133"/>
      <c r="U448" s="133"/>
      <c r="V448" s="133"/>
      <c r="W448" s="133"/>
      <c r="X448" s="133"/>
      <c r="Y448" s="133"/>
      <c r="Z448" s="133"/>
    </row>
    <row r="449" spans="1:26" ht="12.75" customHeight="1" x14ac:dyDescent="0.3">
      <c r="A449" s="131"/>
      <c r="B449" s="131"/>
      <c r="C449" s="131"/>
      <c r="D449" s="131"/>
      <c r="E449" s="131"/>
      <c r="F449" s="132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3"/>
      <c r="S449" s="84">
        <f t="shared" si="65"/>
        <v>0</v>
      </c>
      <c r="T449" s="133"/>
      <c r="U449" s="133"/>
      <c r="V449" s="133"/>
      <c r="W449" s="133"/>
      <c r="X449" s="133"/>
      <c r="Y449" s="133"/>
      <c r="Z449" s="133"/>
    </row>
    <row r="450" spans="1:26" ht="12.75" customHeight="1" x14ac:dyDescent="0.3">
      <c r="A450" s="131"/>
      <c r="B450" s="131"/>
      <c r="C450" s="131"/>
      <c r="D450" s="131"/>
      <c r="E450" s="131"/>
      <c r="F450" s="132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3"/>
      <c r="S450" s="84">
        <f t="shared" si="65"/>
        <v>0</v>
      </c>
      <c r="T450" s="133"/>
      <c r="U450" s="133"/>
      <c r="V450" s="133"/>
      <c r="W450" s="133"/>
      <c r="X450" s="133"/>
      <c r="Y450" s="133"/>
      <c r="Z450" s="133"/>
    </row>
    <row r="451" spans="1:26" ht="12.75" customHeight="1" x14ac:dyDescent="0.3">
      <c r="A451" s="131"/>
      <c r="B451" s="131"/>
      <c r="C451" s="131"/>
      <c r="D451" s="131"/>
      <c r="E451" s="131"/>
      <c r="F451" s="132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3"/>
      <c r="S451" s="84">
        <f t="shared" si="65"/>
        <v>0</v>
      </c>
      <c r="T451" s="133"/>
      <c r="U451" s="133"/>
      <c r="V451" s="133"/>
      <c r="W451" s="133"/>
      <c r="X451" s="133"/>
      <c r="Y451" s="133"/>
      <c r="Z451" s="133"/>
    </row>
    <row r="452" spans="1:26" ht="12.75" customHeight="1" x14ac:dyDescent="0.3">
      <c r="A452" s="131"/>
      <c r="B452" s="131"/>
      <c r="C452" s="131"/>
      <c r="D452" s="131"/>
      <c r="E452" s="131"/>
      <c r="F452" s="132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3"/>
      <c r="S452" s="84">
        <f t="shared" si="65"/>
        <v>0</v>
      </c>
      <c r="T452" s="133"/>
      <c r="U452" s="133"/>
      <c r="V452" s="133"/>
      <c r="W452" s="133"/>
      <c r="X452" s="133"/>
      <c r="Y452" s="133"/>
      <c r="Z452" s="133"/>
    </row>
    <row r="453" spans="1:26" ht="12.75" customHeight="1" x14ac:dyDescent="0.3">
      <c r="A453" s="131"/>
      <c r="B453" s="131"/>
      <c r="C453" s="131"/>
      <c r="D453" s="131"/>
      <c r="E453" s="131"/>
      <c r="F453" s="132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3"/>
      <c r="S453" s="84">
        <f t="shared" si="65"/>
        <v>0</v>
      </c>
      <c r="T453" s="133"/>
      <c r="U453" s="133"/>
      <c r="V453" s="133"/>
      <c r="W453" s="133"/>
      <c r="X453" s="133"/>
      <c r="Y453" s="133"/>
      <c r="Z453" s="133"/>
    </row>
    <row r="454" spans="1:26" ht="12.75" customHeight="1" x14ac:dyDescent="0.3">
      <c r="A454" s="131"/>
      <c r="B454" s="131"/>
      <c r="C454" s="131"/>
      <c r="D454" s="131"/>
      <c r="E454" s="131"/>
      <c r="F454" s="132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3"/>
      <c r="S454" s="84">
        <f t="shared" si="65"/>
        <v>0</v>
      </c>
      <c r="T454" s="133"/>
      <c r="U454" s="133"/>
      <c r="V454" s="133"/>
      <c r="W454" s="133"/>
      <c r="X454" s="133"/>
      <c r="Y454" s="133"/>
      <c r="Z454" s="133"/>
    </row>
    <row r="455" spans="1:26" ht="12.75" customHeight="1" x14ac:dyDescent="0.3">
      <c r="A455" s="131"/>
      <c r="B455" s="131"/>
      <c r="C455" s="131"/>
      <c r="D455" s="131"/>
      <c r="E455" s="131"/>
      <c r="F455" s="132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3"/>
      <c r="S455" s="84">
        <f t="shared" si="65"/>
        <v>0</v>
      </c>
      <c r="T455" s="133"/>
      <c r="U455" s="133"/>
      <c r="V455" s="133"/>
      <c r="W455" s="133"/>
      <c r="X455" s="133"/>
      <c r="Y455" s="133"/>
      <c r="Z455" s="133"/>
    </row>
    <row r="456" spans="1:26" ht="12.75" customHeight="1" x14ac:dyDescent="0.3">
      <c r="A456" s="131"/>
      <c r="B456" s="131"/>
      <c r="C456" s="131"/>
      <c r="D456" s="131"/>
      <c r="E456" s="131"/>
      <c r="F456" s="132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3"/>
      <c r="S456" s="84">
        <f t="shared" si="65"/>
        <v>0</v>
      </c>
      <c r="T456" s="133"/>
      <c r="U456" s="133"/>
      <c r="V456" s="133"/>
      <c r="W456" s="133"/>
      <c r="X456" s="133"/>
      <c r="Y456" s="133"/>
      <c r="Z456" s="133"/>
    </row>
    <row r="457" spans="1:26" ht="12.75" customHeight="1" x14ac:dyDescent="0.3">
      <c r="A457" s="131"/>
      <c r="B457" s="131"/>
      <c r="C457" s="131"/>
      <c r="D457" s="131"/>
      <c r="E457" s="131"/>
      <c r="F457" s="132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3"/>
      <c r="S457" s="84">
        <f t="shared" si="65"/>
        <v>0</v>
      </c>
      <c r="T457" s="133"/>
      <c r="U457" s="133"/>
      <c r="V457" s="133"/>
      <c r="W457" s="133"/>
      <c r="X457" s="133"/>
      <c r="Y457" s="133"/>
      <c r="Z457" s="133"/>
    </row>
    <row r="458" spans="1:26" ht="12.75" customHeight="1" x14ac:dyDescent="0.3">
      <c r="A458" s="131"/>
      <c r="B458" s="131"/>
      <c r="C458" s="131"/>
      <c r="D458" s="131"/>
      <c r="E458" s="131"/>
      <c r="F458" s="132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3"/>
      <c r="S458" s="84">
        <f t="shared" si="65"/>
        <v>0</v>
      </c>
      <c r="T458" s="133"/>
      <c r="U458" s="133"/>
      <c r="V458" s="133"/>
      <c r="W458" s="133"/>
      <c r="X458" s="133"/>
      <c r="Y458" s="133"/>
      <c r="Z458" s="133"/>
    </row>
    <row r="459" spans="1:26" ht="12.75" customHeight="1" x14ac:dyDescent="0.3">
      <c r="A459" s="131"/>
      <c r="B459" s="131"/>
      <c r="C459" s="131"/>
      <c r="D459" s="131"/>
      <c r="E459" s="131"/>
      <c r="F459" s="132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3"/>
      <c r="S459" s="84">
        <f t="shared" si="65"/>
        <v>0</v>
      </c>
      <c r="T459" s="133"/>
      <c r="U459" s="133"/>
      <c r="V459" s="133"/>
      <c r="W459" s="133"/>
      <c r="X459" s="133"/>
      <c r="Y459" s="133"/>
      <c r="Z459" s="133"/>
    </row>
    <row r="460" spans="1:26" ht="12.75" customHeight="1" x14ac:dyDescent="0.3">
      <c r="A460" s="131"/>
      <c r="B460" s="131"/>
      <c r="C460" s="131"/>
      <c r="D460" s="131"/>
      <c r="E460" s="131"/>
      <c r="F460" s="132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3"/>
      <c r="S460" s="84">
        <f t="shared" si="65"/>
        <v>0</v>
      </c>
      <c r="T460" s="133"/>
      <c r="U460" s="133"/>
      <c r="V460" s="133"/>
      <c r="W460" s="133"/>
      <c r="X460" s="133"/>
      <c r="Y460" s="133"/>
      <c r="Z460" s="133"/>
    </row>
    <row r="461" spans="1:26" ht="12.75" customHeight="1" x14ac:dyDescent="0.3">
      <c r="A461" s="131"/>
      <c r="B461" s="131"/>
      <c r="C461" s="131"/>
      <c r="D461" s="131"/>
      <c r="E461" s="131"/>
      <c r="F461" s="132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3"/>
      <c r="S461" s="84">
        <f t="shared" si="65"/>
        <v>0</v>
      </c>
      <c r="T461" s="133"/>
      <c r="U461" s="133"/>
      <c r="V461" s="133"/>
      <c r="W461" s="133"/>
      <c r="X461" s="133"/>
      <c r="Y461" s="133"/>
      <c r="Z461" s="133"/>
    </row>
    <row r="462" spans="1:26" ht="12.75" customHeight="1" x14ac:dyDescent="0.3">
      <c r="A462" s="131"/>
      <c r="B462" s="131"/>
      <c r="C462" s="131"/>
      <c r="D462" s="131"/>
      <c r="E462" s="131"/>
      <c r="F462" s="132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3"/>
      <c r="S462" s="84">
        <f t="shared" si="65"/>
        <v>0</v>
      </c>
      <c r="T462" s="133"/>
      <c r="U462" s="133"/>
      <c r="V462" s="133"/>
      <c r="W462" s="133"/>
      <c r="X462" s="133"/>
      <c r="Y462" s="133"/>
      <c r="Z462" s="133"/>
    </row>
    <row r="463" spans="1:26" ht="12.75" customHeight="1" x14ac:dyDescent="0.3">
      <c r="A463" s="131"/>
      <c r="B463" s="131"/>
      <c r="C463" s="131"/>
      <c r="D463" s="131"/>
      <c r="E463" s="131"/>
      <c r="F463" s="132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3"/>
      <c r="S463" s="84">
        <f t="shared" si="65"/>
        <v>0</v>
      </c>
      <c r="T463" s="133"/>
      <c r="U463" s="133"/>
      <c r="V463" s="133"/>
      <c r="W463" s="133"/>
      <c r="X463" s="133"/>
      <c r="Y463" s="133"/>
      <c r="Z463" s="133"/>
    </row>
    <row r="464" spans="1:26" ht="12.75" customHeight="1" x14ac:dyDescent="0.3">
      <c r="A464" s="131"/>
      <c r="B464" s="131"/>
      <c r="C464" s="131"/>
      <c r="D464" s="131"/>
      <c r="E464" s="131"/>
      <c r="F464" s="132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3"/>
      <c r="S464" s="84">
        <f t="shared" si="65"/>
        <v>0</v>
      </c>
      <c r="T464" s="133"/>
      <c r="U464" s="133"/>
      <c r="V464" s="133"/>
      <c r="W464" s="133"/>
      <c r="X464" s="133"/>
      <c r="Y464" s="133"/>
      <c r="Z464" s="133"/>
    </row>
    <row r="465" spans="1:26" ht="12.75" customHeight="1" x14ac:dyDescent="0.3">
      <c r="A465" s="131"/>
      <c r="B465" s="131"/>
      <c r="C465" s="131"/>
      <c r="D465" s="131"/>
      <c r="E465" s="131"/>
      <c r="F465" s="132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3"/>
      <c r="S465" s="84">
        <f t="shared" si="65"/>
        <v>0</v>
      </c>
      <c r="T465" s="133"/>
      <c r="U465" s="133"/>
      <c r="V465" s="133"/>
      <c r="W465" s="133"/>
      <c r="X465" s="133"/>
      <c r="Y465" s="133"/>
      <c r="Z465" s="133"/>
    </row>
    <row r="466" spans="1:26" ht="12.75" customHeight="1" x14ac:dyDescent="0.3">
      <c r="A466" s="131"/>
      <c r="B466" s="131"/>
      <c r="C466" s="131"/>
      <c r="D466" s="131"/>
      <c r="E466" s="131"/>
      <c r="F466" s="132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3"/>
      <c r="S466" s="84">
        <f t="shared" si="65"/>
        <v>0</v>
      </c>
      <c r="T466" s="133"/>
      <c r="U466" s="133"/>
      <c r="V466" s="133"/>
      <c r="W466" s="133"/>
      <c r="X466" s="133"/>
      <c r="Y466" s="133"/>
      <c r="Z466" s="133"/>
    </row>
    <row r="467" spans="1:26" ht="12.75" customHeight="1" x14ac:dyDescent="0.3">
      <c r="A467" s="131"/>
      <c r="B467" s="131"/>
      <c r="C467" s="131"/>
      <c r="D467" s="131"/>
      <c r="E467" s="131"/>
      <c r="F467" s="132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3"/>
      <c r="S467" s="84">
        <f t="shared" si="65"/>
        <v>0</v>
      </c>
      <c r="T467" s="133"/>
      <c r="U467" s="133"/>
      <c r="V467" s="133"/>
      <c r="W467" s="133"/>
      <c r="X467" s="133"/>
      <c r="Y467" s="133"/>
      <c r="Z467" s="133"/>
    </row>
    <row r="468" spans="1:26" ht="12.75" customHeight="1" x14ac:dyDescent="0.3">
      <c r="A468" s="131"/>
      <c r="B468" s="131"/>
      <c r="C468" s="131"/>
      <c r="D468" s="131"/>
      <c r="E468" s="131"/>
      <c r="F468" s="132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3"/>
      <c r="S468" s="84">
        <f t="shared" si="65"/>
        <v>0</v>
      </c>
      <c r="T468" s="133"/>
      <c r="U468" s="133"/>
      <c r="V468" s="133"/>
      <c r="W468" s="133"/>
      <c r="X468" s="133"/>
      <c r="Y468" s="133"/>
      <c r="Z468" s="133"/>
    </row>
    <row r="469" spans="1:26" ht="12.75" customHeight="1" x14ac:dyDescent="0.3">
      <c r="A469" s="131"/>
      <c r="B469" s="131"/>
      <c r="C469" s="131"/>
      <c r="D469" s="131"/>
      <c r="E469" s="131"/>
      <c r="F469" s="132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3"/>
      <c r="S469" s="84">
        <f t="shared" si="65"/>
        <v>0</v>
      </c>
      <c r="T469" s="133"/>
      <c r="U469" s="133"/>
      <c r="V469" s="133"/>
      <c r="W469" s="133"/>
      <c r="X469" s="133"/>
      <c r="Y469" s="133"/>
      <c r="Z469" s="133"/>
    </row>
    <row r="470" spans="1:26" ht="12.75" customHeight="1" x14ac:dyDescent="0.3">
      <c r="A470" s="131"/>
      <c r="B470" s="131"/>
      <c r="C470" s="131"/>
      <c r="D470" s="131"/>
      <c r="E470" s="131"/>
      <c r="F470" s="132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3"/>
      <c r="S470" s="84">
        <f t="shared" si="65"/>
        <v>0</v>
      </c>
      <c r="T470" s="133"/>
      <c r="U470" s="133"/>
      <c r="V470" s="133"/>
      <c r="W470" s="133"/>
      <c r="X470" s="133"/>
      <c r="Y470" s="133"/>
      <c r="Z470" s="133"/>
    </row>
    <row r="471" spans="1:26" ht="12.75" customHeight="1" x14ac:dyDescent="0.3">
      <c r="A471" s="131"/>
      <c r="B471" s="131"/>
      <c r="C471" s="131"/>
      <c r="D471" s="131"/>
      <c r="E471" s="131"/>
      <c r="F471" s="132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3"/>
      <c r="S471" s="84">
        <f t="shared" si="65"/>
        <v>0</v>
      </c>
      <c r="T471" s="133"/>
      <c r="U471" s="133"/>
      <c r="V471" s="133"/>
      <c r="W471" s="133"/>
      <c r="X471" s="133"/>
      <c r="Y471" s="133"/>
      <c r="Z471" s="133"/>
    </row>
    <row r="472" spans="1:26" ht="12.75" customHeight="1" x14ac:dyDescent="0.3">
      <c r="A472" s="131"/>
      <c r="B472" s="131"/>
      <c r="C472" s="131"/>
      <c r="D472" s="131"/>
      <c r="E472" s="131"/>
      <c r="F472" s="132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3"/>
      <c r="S472" s="84">
        <f t="shared" si="65"/>
        <v>0</v>
      </c>
      <c r="T472" s="133"/>
      <c r="U472" s="133"/>
      <c r="V472" s="133"/>
      <c r="W472" s="133"/>
      <c r="X472" s="133"/>
      <c r="Y472" s="133"/>
      <c r="Z472" s="133"/>
    </row>
    <row r="473" spans="1:26" ht="12.75" customHeight="1" x14ac:dyDescent="0.3">
      <c r="A473" s="131"/>
      <c r="B473" s="131"/>
      <c r="C473" s="131"/>
      <c r="D473" s="131"/>
      <c r="E473" s="131"/>
      <c r="F473" s="132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3"/>
      <c r="S473" s="84">
        <f t="shared" si="65"/>
        <v>0</v>
      </c>
      <c r="T473" s="133"/>
      <c r="U473" s="133"/>
      <c r="V473" s="133"/>
      <c r="W473" s="133"/>
      <c r="X473" s="133"/>
      <c r="Y473" s="133"/>
      <c r="Z473" s="133"/>
    </row>
    <row r="474" spans="1:26" ht="12.75" customHeight="1" x14ac:dyDescent="0.3">
      <c r="A474" s="131"/>
      <c r="B474" s="131"/>
      <c r="C474" s="131"/>
      <c r="D474" s="131"/>
      <c r="E474" s="131"/>
      <c r="F474" s="132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3"/>
      <c r="S474" s="84">
        <f t="shared" si="65"/>
        <v>0</v>
      </c>
      <c r="T474" s="133"/>
      <c r="U474" s="133"/>
      <c r="V474" s="133"/>
      <c r="W474" s="133"/>
      <c r="X474" s="133"/>
      <c r="Y474" s="133"/>
      <c r="Z474" s="133"/>
    </row>
    <row r="475" spans="1:26" ht="12.75" customHeight="1" x14ac:dyDescent="0.3">
      <c r="A475" s="131"/>
      <c r="B475" s="131"/>
      <c r="C475" s="131"/>
      <c r="D475" s="131"/>
      <c r="E475" s="131"/>
      <c r="F475" s="132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3"/>
      <c r="S475" s="84">
        <f t="shared" si="65"/>
        <v>0</v>
      </c>
      <c r="T475" s="133"/>
      <c r="U475" s="133"/>
      <c r="V475" s="133"/>
      <c r="W475" s="133"/>
      <c r="X475" s="133"/>
      <c r="Y475" s="133"/>
      <c r="Z475" s="133"/>
    </row>
    <row r="476" spans="1:26" ht="12.75" customHeight="1" x14ac:dyDescent="0.3">
      <c r="A476" s="131"/>
      <c r="B476" s="131"/>
      <c r="C476" s="131"/>
      <c r="D476" s="131"/>
      <c r="E476" s="131"/>
      <c r="F476" s="132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3"/>
      <c r="S476" s="84">
        <f t="shared" si="65"/>
        <v>0</v>
      </c>
      <c r="T476" s="133"/>
      <c r="U476" s="133"/>
      <c r="V476" s="133"/>
      <c r="W476" s="133"/>
      <c r="X476" s="133"/>
      <c r="Y476" s="133"/>
      <c r="Z476" s="133"/>
    </row>
    <row r="477" spans="1:26" ht="12.75" customHeight="1" x14ac:dyDescent="0.3">
      <c r="A477" s="131"/>
      <c r="B477" s="131"/>
      <c r="C477" s="131"/>
      <c r="D477" s="131"/>
      <c r="E477" s="131"/>
      <c r="F477" s="132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3"/>
      <c r="S477" s="84">
        <f t="shared" si="65"/>
        <v>0</v>
      </c>
      <c r="T477" s="133"/>
      <c r="U477" s="133"/>
      <c r="V477" s="133"/>
      <c r="W477" s="133"/>
      <c r="X477" s="133"/>
      <c r="Y477" s="133"/>
      <c r="Z477" s="133"/>
    </row>
    <row r="478" spans="1:26" ht="12.75" customHeight="1" x14ac:dyDescent="0.3">
      <c r="A478" s="131"/>
      <c r="B478" s="131"/>
      <c r="C478" s="131"/>
      <c r="D478" s="131"/>
      <c r="E478" s="131"/>
      <c r="F478" s="132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3"/>
      <c r="S478" s="84">
        <f t="shared" si="65"/>
        <v>0</v>
      </c>
      <c r="T478" s="133"/>
      <c r="U478" s="133"/>
      <c r="V478" s="133"/>
      <c r="W478" s="133"/>
      <c r="X478" s="133"/>
      <c r="Y478" s="133"/>
      <c r="Z478" s="133"/>
    </row>
    <row r="479" spans="1:26" ht="12.75" customHeight="1" x14ac:dyDescent="0.3">
      <c r="A479" s="131"/>
      <c r="B479" s="131"/>
      <c r="C479" s="131"/>
      <c r="D479" s="131"/>
      <c r="E479" s="131"/>
      <c r="F479" s="132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3"/>
      <c r="S479" s="84">
        <f t="shared" si="65"/>
        <v>0</v>
      </c>
      <c r="T479" s="133"/>
      <c r="U479" s="133"/>
      <c r="V479" s="133"/>
      <c r="W479" s="133"/>
      <c r="X479" s="133"/>
      <c r="Y479" s="133"/>
      <c r="Z479" s="133"/>
    </row>
    <row r="480" spans="1:26" ht="12.75" customHeight="1" x14ac:dyDescent="0.3">
      <c r="A480" s="131"/>
      <c r="B480" s="131"/>
      <c r="C480" s="131"/>
      <c r="D480" s="131"/>
      <c r="E480" s="131"/>
      <c r="F480" s="132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3"/>
      <c r="S480" s="84">
        <f t="shared" si="65"/>
        <v>0</v>
      </c>
      <c r="T480" s="133"/>
      <c r="U480" s="133"/>
      <c r="V480" s="133"/>
      <c r="W480" s="133"/>
      <c r="X480" s="133"/>
      <c r="Y480" s="133"/>
      <c r="Z480" s="133"/>
    </row>
    <row r="481" spans="1:26" ht="12.75" customHeight="1" x14ac:dyDescent="0.3">
      <c r="A481" s="131"/>
      <c r="B481" s="131"/>
      <c r="C481" s="131"/>
      <c r="D481" s="131"/>
      <c r="E481" s="131"/>
      <c r="F481" s="132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3"/>
      <c r="S481" s="84">
        <f t="shared" si="65"/>
        <v>0</v>
      </c>
      <c r="T481" s="133"/>
      <c r="U481" s="133"/>
      <c r="V481" s="133"/>
      <c r="W481" s="133"/>
      <c r="X481" s="133"/>
      <c r="Y481" s="133"/>
      <c r="Z481" s="133"/>
    </row>
    <row r="482" spans="1:26" ht="12.75" customHeight="1" x14ac:dyDescent="0.3">
      <c r="A482" s="131"/>
      <c r="B482" s="131"/>
      <c r="C482" s="131"/>
      <c r="D482" s="131"/>
      <c r="E482" s="131"/>
      <c r="F482" s="132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3"/>
      <c r="S482" s="84">
        <f t="shared" si="65"/>
        <v>0</v>
      </c>
      <c r="T482" s="133"/>
      <c r="U482" s="133"/>
      <c r="V482" s="133"/>
      <c r="W482" s="133"/>
      <c r="X482" s="133"/>
      <c r="Y482" s="133"/>
      <c r="Z482" s="133"/>
    </row>
    <row r="483" spans="1:26" ht="12.75" customHeight="1" x14ac:dyDescent="0.3">
      <c r="A483" s="131"/>
      <c r="B483" s="131"/>
      <c r="C483" s="131"/>
      <c r="D483" s="131"/>
      <c r="E483" s="131"/>
      <c r="F483" s="132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3"/>
      <c r="S483" s="84">
        <f t="shared" si="65"/>
        <v>0</v>
      </c>
      <c r="T483" s="133"/>
      <c r="U483" s="133"/>
      <c r="V483" s="133"/>
      <c r="W483" s="133"/>
      <c r="X483" s="133"/>
      <c r="Y483" s="133"/>
      <c r="Z483" s="133"/>
    </row>
    <row r="484" spans="1:26" ht="12.75" customHeight="1" x14ac:dyDescent="0.3">
      <c r="A484" s="131"/>
      <c r="B484" s="131"/>
      <c r="C484" s="131"/>
      <c r="D484" s="131"/>
      <c r="E484" s="131"/>
      <c r="F484" s="132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3"/>
      <c r="S484" s="84">
        <f t="shared" si="65"/>
        <v>0</v>
      </c>
      <c r="T484" s="133"/>
      <c r="U484" s="133"/>
      <c r="V484" s="133"/>
      <c r="W484" s="133"/>
      <c r="X484" s="133"/>
      <c r="Y484" s="133"/>
      <c r="Z484" s="133"/>
    </row>
    <row r="485" spans="1:26" ht="12.75" customHeight="1" x14ac:dyDescent="0.3">
      <c r="A485" s="131"/>
      <c r="B485" s="131"/>
      <c r="C485" s="131"/>
      <c r="D485" s="131"/>
      <c r="E485" s="131"/>
      <c r="F485" s="132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3"/>
      <c r="S485" s="84">
        <f t="shared" si="65"/>
        <v>0</v>
      </c>
      <c r="T485" s="133"/>
      <c r="U485" s="133"/>
      <c r="V485" s="133"/>
      <c r="W485" s="133"/>
      <c r="X485" s="133"/>
      <c r="Y485" s="133"/>
      <c r="Z485" s="133"/>
    </row>
    <row r="486" spans="1:26" ht="12.75" customHeight="1" x14ac:dyDescent="0.3">
      <c r="A486" s="131"/>
      <c r="B486" s="131"/>
      <c r="C486" s="131"/>
      <c r="D486" s="131"/>
      <c r="E486" s="131"/>
      <c r="F486" s="132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3"/>
      <c r="S486" s="84">
        <f t="shared" si="65"/>
        <v>0</v>
      </c>
      <c r="T486" s="133"/>
      <c r="U486" s="133"/>
      <c r="V486" s="133"/>
      <c r="W486" s="133"/>
      <c r="X486" s="133"/>
      <c r="Y486" s="133"/>
      <c r="Z486" s="133"/>
    </row>
    <row r="487" spans="1:26" ht="12.75" customHeight="1" x14ac:dyDescent="0.3">
      <c r="A487" s="131"/>
      <c r="B487" s="131"/>
      <c r="C487" s="131"/>
      <c r="D487" s="131"/>
      <c r="E487" s="131"/>
      <c r="F487" s="132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3"/>
      <c r="S487" s="84">
        <f t="shared" si="65"/>
        <v>0</v>
      </c>
      <c r="T487" s="133"/>
      <c r="U487" s="133"/>
      <c r="V487" s="133"/>
      <c r="W487" s="133"/>
      <c r="X487" s="133"/>
      <c r="Y487" s="133"/>
      <c r="Z487" s="133"/>
    </row>
    <row r="488" spans="1:26" ht="12.75" customHeight="1" x14ac:dyDescent="0.3">
      <c r="A488" s="131"/>
      <c r="B488" s="131"/>
      <c r="C488" s="131"/>
      <c r="D488" s="131"/>
      <c r="E488" s="131"/>
      <c r="F488" s="132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3"/>
      <c r="S488" s="84">
        <f t="shared" si="65"/>
        <v>0</v>
      </c>
      <c r="T488" s="133"/>
      <c r="U488" s="133"/>
      <c r="V488" s="133"/>
      <c r="W488" s="133"/>
      <c r="X488" s="133"/>
      <c r="Y488" s="133"/>
      <c r="Z488" s="133"/>
    </row>
    <row r="489" spans="1:26" ht="12.75" customHeight="1" x14ac:dyDescent="0.3">
      <c r="A489" s="131"/>
      <c r="B489" s="131"/>
      <c r="C489" s="131"/>
      <c r="D489" s="131"/>
      <c r="E489" s="131"/>
      <c r="F489" s="132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3"/>
      <c r="S489" s="84">
        <f t="shared" si="65"/>
        <v>0</v>
      </c>
      <c r="T489" s="133"/>
      <c r="U489" s="133"/>
      <c r="V489" s="133"/>
      <c r="W489" s="133"/>
      <c r="X489" s="133"/>
      <c r="Y489" s="133"/>
      <c r="Z489" s="133"/>
    </row>
    <row r="490" spans="1:26" ht="12.75" customHeight="1" x14ac:dyDescent="0.3">
      <c r="A490" s="131"/>
      <c r="B490" s="131"/>
      <c r="C490" s="131"/>
      <c r="D490" s="131"/>
      <c r="E490" s="131"/>
      <c r="F490" s="132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3"/>
      <c r="S490" s="84">
        <f t="shared" si="65"/>
        <v>0</v>
      </c>
      <c r="T490" s="133"/>
      <c r="U490" s="133"/>
      <c r="V490" s="133"/>
      <c r="W490" s="133"/>
      <c r="X490" s="133"/>
      <c r="Y490" s="133"/>
      <c r="Z490" s="133"/>
    </row>
    <row r="491" spans="1:26" ht="12.75" customHeight="1" x14ac:dyDescent="0.3">
      <c r="A491" s="131"/>
      <c r="B491" s="131"/>
      <c r="C491" s="131"/>
      <c r="D491" s="131"/>
      <c r="E491" s="131"/>
      <c r="F491" s="132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3"/>
      <c r="S491" s="84">
        <f t="shared" si="65"/>
        <v>0</v>
      </c>
      <c r="T491" s="133"/>
      <c r="U491" s="133"/>
      <c r="V491" s="133"/>
      <c r="W491" s="133"/>
      <c r="X491" s="133"/>
      <c r="Y491" s="133"/>
      <c r="Z491" s="133"/>
    </row>
    <row r="492" spans="1:26" ht="12.75" customHeight="1" x14ac:dyDescent="0.3">
      <c r="A492" s="131"/>
      <c r="B492" s="131"/>
      <c r="C492" s="131"/>
      <c r="D492" s="131"/>
      <c r="E492" s="131"/>
      <c r="F492" s="132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3"/>
      <c r="S492" s="84">
        <f t="shared" si="65"/>
        <v>0</v>
      </c>
      <c r="T492" s="133"/>
      <c r="U492" s="133"/>
      <c r="V492" s="133"/>
      <c r="W492" s="133"/>
      <c r="X492" s="133"/>
      <c r="Y492" s="133"/>
      <c r="Z492" s="133"/>
    </row>
    <row r="493" spans="1:26" ht="12.75" customHeight="1" x14ac:dyDescent="0.3">
      <c r="A493" s="131"/>
      <c r="B493" s="131"/>
      <c r="C493" s="131"/>
      <c r="D493" s="131"/>
      <c r="E493" s="131"/>
      <c r="F493" s="132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3"/>
      <c r="S493" s="84">
        <f t="shared" si="65"/>
        <v>0</v>
      </c>
      <c r="T493" s="133"/>
      <c r="U493" s="133"/>
      <c r="V493" s="133"/>
      <c r="W493" s="133"/>
      <c r="X493" s="133"/>
      <c r="Y493" s="133"/>
      <c r="Z493" s="133"/>
    </row>
    <row r="494" spans="1:26" ht="12.75" customHeight="1" x14ac:dyDescent="0.3">
      <c r="A494" s="131"/>
      <c r="B494" s="131"/>
      <c r="C494" s="131"/>
      <c r="D494" s="131"/>
      <c r="E494" s="131"/>
      <c r="F494" s="132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3"/>
      <c r="S494" s="84">
        <f t="shared" si="65"/>
        <v>0</v>
      </c>
      <c r="T494" s="133"/>
      <c r="U494" s="133"/>
      <c r="V494" s="133"/>
      <c r="W494" s="133"/>
      <c r="X494" s="133"/>
      <c r="Y494" s="133"/>
      <c r="Z494" s="133"/>
    </row>
    <row r="495" spans="1:26" ht="12.75" customHeight="1" x14ac:dyDescent="0.3">
      <c r="A495" s="131"/>
      <c r="B495" s="131"/>
      <c r="C495" s="131"/>
      <c r="D495" s="131"/>
      <c r="E495" s="131"/>
      <c r="F495" s="132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3"/>
      <c r="S495" s="84">
        <f t="shared" si="65"/>
        <v>0</v>
      </c>
      <c r="T495" s="133"/>
      <c r="U495" s="133"/>
      <c r="V495" s="133"/>
      <c r="W495" s="133"/>
      <c r="X495" s="133"/>
      <c r="Y495" s="133"/>
      <c r="Z495" s="133"/>
    </row>
    <row r="496" spans="1:26" ht="12.75" customHeight="1" x14ac:dyDescent="0.3">
      <c r="A496" s="131"/>
      <c r="B496" s="131"/>
      <c r="C496" s="131"/>
      <c r="D496" s="131"/>
      <c r="E496" s="131"/>
      <c r="F496" s="132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3"/>
      <c r="S496" s="84">
        <f t="shared" si="65"/>
        <v>0</v>
      </c>
      <c r="T496" s="133"/>
      <c r="U496" s="133"/>
      <c r="V496" s="133"/>
      <c r="W496" s="133"/>
      <c r="X496" s="133"/>
      <c r="Y496" s="133"/>
      <c r="Z496" s="133"/>
    </row>
    <row r="497" spans="1:26" ht="12.75" customHeight="1" x14ac:dyDescent="0.3">
      <c r="A497" s="131"/>
      <c r="B497" s="131"/>
      <c r="C497" s="131"/>
      <c r="D497" s="131"/>
      <c r="E497" s="131"/>
      <c r="F497" s="132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3"/>
      <c r="S497" s="84">
        <f t="shared" si="65"/>
        <v>0</v>
      </c>
      <c r="T497" s="133"/>
      <c r="U497" s="133"/>
      <c r="V497" s="133"/>
      <c r="W497" s="133"/>
      <c r="X497" s="133"/>
      <c r="Y497" s="133"/>
      <c r="Z497" s="133"/>
    </row>
    <row r="498" spans="1:26" ht="12.75" customHeight="1" x14ac:dyDescent="0.3">
      <c r="A498" s="131"/>
      <c r="B498" s="131"/>
      <c r="C498" s="131"/>
      <c r="D498" s="131"/>
      <c r="E498" s="131"/>
      <c r="F498" s="132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3"/>
      <c r="S498" s="84">
        <f t="shared" si="65"/>
        <v>0</v>
      </c>
      <c r="T498" s="133"/>
      <c r="U498" s="133"/>
      <c r="V498" s="133"/>
      <c r="W498" s="133"/>
      <c r="X498" s="133"/>
      <c r="Y498" s="133"/>
      <c r="Z498" s="133"/>
    </row>
    <row r="499" spans="1:26" ht="12.75" customHeight="1" x14ac:dyDescent="0.3">
      <c r="A499" s="131"/>
      <c r="B499" s="131"/>
      <c r="C499" s="131"/>
      <c r="D499" s="131"/>
      <c r="E499" s="131"/>
      <c r="F499" s="132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3"/>
      <c r="S499" s="84">
        <f t="shared" si="65"/>
        <v>0</v>
      </c>
      <c r="T499" s="133"/>
      <c r="U499" s="133"/>
      <c r="V499" s="133"/>
      <c r="W499" s="133"/>
      <c r="X499" s="133"/>
      <c r="Y499" s="133"/>
      <c r="Z499" s="133"/>
    </row>
    <row r="500" spans="1:26" ht="12.75" customHeight="1" x14ac:dyDescent="0.3">
      <c r="A500" s="131"/>
      <c r="B500" s="131"/>
      <c r="C500" s="131"/>
      <c r="D500" s="131"/>
      <c r="E500" s="131"/>
      <c r="F500" s="132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3"/>
      <c r="S500" s="84">
        <f t="shared" si="65"/>
        <v>0</v>
      </c>
      <c r="T500" s="133"/>
      <c r="U500" s="133"/>
      <c r="V500" s="133"/>
      <c r="W500" s="133"/>
      <c r="X500" s="133"/>
      <c r="Y500" s="133"/>
      <c r="Z500" s="133"/>
    </row>
    <row r="501" spans="1:26" ht="12.75" customHeight="1" x14ac:dyDescent="0.3">
      <c r="A501" s="131"/>
      <c r="B501" s="131"/>
      <c r="C501" s="131"/>
      <c r="D501" s="131"/>
      <c r="E501" s="131"/>
      <c r="F501" s="132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3"/>
      <c r="S501" s="84">
        <f t="shared" si="65"/>
        <v>0</v>
      </c>
      <c r="T501" s="133"/>
      <c r="U501" s="133"/>
      <c r="V501" s="133"/>
      <c r="W501" s="133"/>
      <c r="X501" s="133"/>
      <c r="Y501" s="133"/>
      <c r="Z501" s="133"/>
    </row>
    <row r="502" spans="1:26" ht="12.75" customHeight="1" x14ac:dyDescent="0.3">
      <c r="A502" s="131"/>
      <c r="B502" s="131"/>
      <c r="C502" s="131"/>
      <c r="D502" s="131"/>
      <c r="E502" s="131"/>
      <c r="F502" s="132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3"/>
      <c r="S502" s="84">
        <f t="shared" si="65"/>
        <v>0</v>
      </c>
      <c r="T502" s="133"/>
      <c r="U502" s="133"/>
      <c r="V502" s="133"/>
      <c r="W502" s="133"/>
      <c r="X502" s="133"/>
      <c r="Y502" s="133"/>
      <c r="Z502" s="133"/>
    </row>
    <row r="503" spans="1:26" ht="12.75" customHeight="1" x14ac:dyDescent="0.3">
      <c r="A503" s="131"/>
      <c r="B503" s="131"/>
      <c r="C503" s="131"/>
      <c r="D503" s="131"/>
      <c r="E503" s="131"/>
      <c r="F503" s="132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3"/>
      <c r="S503" s="84">
        <f t="shared" si="65"/>
        <v>0</v>
      </c>
      <c r="T503" s="133"/>
      <c r="U503" s="133"/>
      <c r="V503" s="133"/>
      <c r="W503" s="133"/>
      <c r="X503" s="133"/>
      <c r="Y503" s="133"/>
      <c r="Z503" s="133"/>
    </row>
    <row r="504" spans="1:26" ht="12.75" customHeight="1" x14ac:dyDescent="0.3">
      <c r="A504" s="131"/>
      <c r="B504" s="131"/>
      <c r="C504" s="131"/>
      <c r="D504" s="131"/>
      <c r="E504" s="131"/>
      <c r="F504" s="132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3"/>
      <c r="S504" s="84">
        <f t="shared" si="65"/>
        <v>0</v>
      </c>
      <c r="T504" s="133"/>
      <c r="U504" s="133"/>
      <c r="V504" s="133"/>
      <c r="W504" s="133"/>
      <c r="X504" s="133"/>
      <c r="Y504" s="133"/>
      <c r="Z504" s="133"/>
    </row>
    <row r="505" spans="1:26" ht="12.75" customHeight="1" x14ac:dyDescent="0.3">
      <c r="A505" s="131"/>
      <c r="B505" s="131"/>
      <c r="C505" s="131"/>
      <c r="D505" s="131"/>
      <c r="E505" s="131"/>
      <c r="F505" s="132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3"/>
      <c r="S505" s="84">
        <f t="shared" si="65"/>
        <v>0</v>
      </c>
      <c r="T505" s="133"/>
      <c r="U505" s="133"/>
      <c r="V505" s="133"/>
      <c r="W505" s="133"/>
      <c r="X505" s="133"/>
      <c r="Y505" s="133"/>
      <c r="Z505" s="133"/>
    </row>
    <row r="506" spans="1:26" ht="12.75" customHeight="1" x14ac:dyDescent="0.3">
      <c r="A506" s="131"/>
      <c r="B506" s="131"/>
      <c r="C506" s="131"/>
      <c r="D506" s="131"/>
      <c r="E506" s="131"/>
      <c r="F506" s="132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3"/>
      <c r="S506" s="84">
        <f t="shared" si="65"/>
        <v>0</v>
      </c>
      <c r="T506" s="133"/>
      <c r="U506" s="133"/>
      <c r="V506" s="133"/>
      <c r="W506" s="133"/>
      <c r="X506" s="133"/>
      <c r="Y506" s="133"/>
      <c r="Z506" s="133"/>
    </row>
    <row r="507" spans="1:26" ht="12.75" customHeight="1" x14ac:dyDescent="0.3">
      <c r="A507" s="131"/>
      <c r="B507" s="131"/>
      <c r="C507" s="131"/>
      <c r="D507" s="131"/>
      <c r="E507" s="131"/>
      <c r="F507" s="132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3"/>
      <c r="S507" s="84">
        <f t="shared" si="65"/>
        <v>0</v>
      </c>
      <c r="T507" s="133"/>
      <c r="U507" s="133"/>
      <c r="V507" s="133"/>
      <c r="W507" s="133"/>
      <c r="X507" s="133"/>
      <c r="Y507" s="133"/>
      <c r="Z507" s="133"/>
    </row>
    <row r="508" spans="1:26" ht="12.75" customHeight="1" x14ac:dyDescent="0.3">
      <c r="A508" s="131"/>
      <c r="B508" s="131"/>
      <c r="C508" s="131"/>
      <c r="D508" s="131"/>
      <c r="E508" s="131"/>
      <c r="F508" s="132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3"/>
      <c r="S508" s="84">
        <f t="shared" si="65"/>
        <v>0</v>
      </c>
      <c r="T508" s="133"/>
      <c r="U508" s="133"/>
      <c r="V508" s="133"/>
      <c r="W508" s="133"/>
      <c r="X508" s="133"/>
      <c r="Y508" s="133"/>
      <c r="Z508" s="133"/>
    </row>
    <row r="509" spans="1:26" ht="12.75" customHeight="1" x14ac:dyDescent="0.3">
      <c r="A509" s="131"/>
      <c r="B509" s="131"/>
      <c r="C509" s="131"/>
      <c r="D509" s="131"/>
      <c r="E509" s="131"/>
      <c r="F509" s="132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3"/>
      <c r="S509" s="84">
        <f t="shared" si="65"/>
        <v>0</v>
      </c>
      <c r="T509" s="133"/>
      <c r="U509" s="133"/>
      <c r="V509" s="133"/>
      <c r="W509" s="133"/>
      <c r="X509" s="133"/>
      <c r="Y509" s="133"/>
      <c r="Z509" s="133"/>
    </row>
    <row r="510" spans="1:26" ht="12.75" customHeight="1" x14ac:dyDescent="0.3">
      <c r="A510" s="131"/>
      <c r="B510" s="131"/>
      <c r="C510" s="131"/>
      <c r="D510" s="131"/>
      <c r="E510" s="131"/>
      <c r="F510" s="132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3"/>
      <c r="S510" s="84">
        <f t="shared" si="65"/>
        <v>0</v>
      </c>
      <c r="T510" s="133"/>
      <c r="U510" s="133"/>
      <c r="V510" s="133"/>
      <c r="W510" s="133"/>
      <c r="X510" s="133"/>
      <c r="Y510" s="133"/>
      <c r="Z510" s="133"/>
    </row>
    <row r="511" spans="1:26" ht="12.75" customHeight="1" x14ac:dyDescent="0.3">
      <c r="A511" s="131"/>
      <c r="B511" s="131"/>
      <c r="C511" s="131"/>
      <c r="D511" s="131"/>
      <c r="E511" s="131"/>
      <c r="F511" s="132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3"/>
      <c r="S511" s="84">
        <f t="shared" si="65"/>
        <v>0</v>
      </c>
      <c r="T511" s="133"/>
      <c r="U511" s="133"/>
      <c r="V511" s="133"/>
      <c r="W511" s="133"/>
      <c r="X511" s="133"/>
      <c r="Y511" s="133"/>
      <c r="Z511" s="133"/>
    </row>
    <row r="512" spans="1:26" ht="12.75" customHeight="1" x14ac:dyDescent="0.3">
      <c r="A512" s="131"/>
      <c r="B512" s="131"/>
      <c r="C512" s="131"/>
      <c r="D512" s="131"/>
      <c r="E512" s="131"/>
      <c r="F512" s="132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3"/>
      <c r="S512" s="84">
        <f t="shared" si="65"/>
        <v>0</v>
      </c>
      <c r="T512" s="133"/>
      <c r="U512" s="133"/>
      <c r="V512" s="133"/>
      <c r="W512" s="133"/>
      <c r="X512" s="133"/>
      <c r="Y512" s="133"/>
      <c r="Z512" s="133"/>
    </row>
    <row r="513" spans="1:26" ht="12.75" customHeight="1" x14ac:dyDescent="0.3">
      <c r="A513" s="131"/>
      <c r="B513" s="131"/>
      <c r="C513" s="131"/>
      <c r="D513" s="131"/>
      <c r="E513" s="131"/>
      <c r="F513" s="132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3"/>
      <c r="S513" s="84">
        <f t="shared" si="65"/>
        <v>0</v>
      </c>
      <c r="T513" s="133"/>
      <c r="U513" s="133"/>
      <c r="V513" s="133"/>
      <c r="W513" s="133"/>
      <c r="X513" s="133"/>
      <c r="Y513" s="133"/>
      <c r="Z513" s="133"/>
    </row>
    <row r="514" spans="1:26" ht="12.75" customHeight="1" x14ac:dyDescent="0.3">
      <c r="A514" s="131"/>
      <c r="B514" s="131"/>
      <c r="C514" s="131"/>
      <c r="D514" s="131"/>
      <c r="E514" s="131"/>
      <c r="F514" s="132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3"/>
      <c r="S514" s="84">
        <f t="shared" si="65"/>
        <v>0</v>
      </c>
      <c r="T514" s="133"/>
      <c r="U514" s="133"/>
      <c r="V514" s="133"/>
      <c r="W514" s="133"/>
      <c r="X514" s="133"/>
      <c r="Y514" s="133"/>
      <c r="Z514" s="133"/>
    </row>
    <row r="515" spans="1:26" ht="12.75" customHeight="1" x14ac:dyDescent="0.3">
      <c r="A515" s="131"/>
      <c r="B515" s="131"/>
      <c r="C515" s="131"/>
      <c r="D515" s="131"/>
      <c r="E515" s="131"/>
      <c r="F515" s="132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3"/>
      <c r="S515" s="84">
        <f t="shared" si="65"/>
        <v>0</v>
      </c>
      <c r="T515" s="133"/>
      <c r="U515" s="133"/>
      <c r="V515" s="133"/>
      <c r="W515" s="133"/>
      <c r="X515" s="133"/>
      <c r="Y515" s="133"/>
      <c r="Z515" s="133"/>
    </row>
    <row r="516" spans="1:26" ht="12.75" customHeight="1" x14ac:dyDescent="0.3">
      <c r="A516" s="131"/>
      <c r="B516" s="131"/>
      <c r="C516" s="131"/>
      <c r="D516" s="131"/>
      <c r="E516" s="131"/>
      <c r="F516" s="132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3"/>
      <c r="S516" s="84">
        <f t="shared" si="65"/>
        <v>0</v>
      </c>
      <c r="T516" s="133"/>
      <c r="U516" s="133"/>
      <c r="V516" s="133"/>
      <c r="W516" s="133"/>
      <c r="X516" s="133"/>
      <c r="Y516" s="133"/>
      <c r="Z516" s="133"/>
    </row>
    <row r="517" spans="1:26" ht="12.75" customHeight="1" x14ac:dyDescent="0.3">
      <c r="A517" s="131"/>
      <c r="B517" s="131"/>
      <c r="C517" s="131"/>
      <c r="D517" s="131"/>
      <c r="E517" s="131"/>
      <c r="F517" s="132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3"/>
      <c r="S517" s="84">
        <f t="shared" si="65"/>
        <v>0</v>
      </c>
      <c r="T517" s="133"/>
      <c r="U517" s="133"/>
      <c r="V517" s="133"/>
      <c r="W517" s="133"/>
      <c r="X517" s="133"/>
      <c r="Y517" s="133"/>
      <c r="Z517" s="133"/>
    </row>
    <row r="518" spans="1:26" ht="12.75" customHeight="1" x14ac:dyDescent="0.3">
      <c r="A518" s="131"/>
      <c r="B518" s="131"/>
      <c r="C518" s="131"/>
      <c r="D518" s="131"/>
      <c r="E518" s="131"/>
      <c r="F518" s="132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3"/>
      <c r="S518" s="84">
        <f t="shared" si="65"/>
        <v>0</v>
      </c>
      <c r="T518" s="133"/>
      <c r="U518" s="133"/>
      <c r="V518" s="133"/>
      <c r="W518" s="133"/>
      <c r="X518" s="133"/>
      <c r="Y518" s="133"/>
      <c r="Z518" s="133"/>
    </row>
    <row r="519" spans="1:26" ht="12.75" customHeight="1" x14ac:dyDescent="0.3">
      <c r="A519" s="131"/>
      <c r="B519" s="131"/>
      <c r="C519" s="131"/>
      <c r="D519" s="131"/>
      <c r="E519" s="131"/>
      <c r="F519" s="132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3"/>
      <c r="S519" s="84">
        <f t="shared" si="65"/>
        <v>0</v>
      </c>
      <c r="T519" s="133"/>
      <c r="U519" s="133"/>
      <c r="V519" s="133"/>
      <c r="W519" s="133"/>
      <c r="X519" s="133"/>
      <c r="Y519" s="133"/>
      <c r="Z519" s="133"/>
    </row>
    <row r="520" spans="1:26" ht="12.75" customHeight="1" x14ac:dyDescent="0.3">
      <c r="A520" s="131"/>
      <c r="B520" s="131"/>
      <c r="C520" s="131"/>
      <c r="D520" s="131"/>
      <c r="E520" s="131"/>
      <c r="F520" s="132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3"/>
      <c r="S520" s="84">
        <f t="shared" si="65"/>
        <v>0</v>
      </c>
      <c r="T520" s="133"/>
      <c r="U520" s="133"/>
      <c r="V520" s="133"/>
      <c r="W520" s="133"/>
      <c r="X520" s="133"/>
      <c r="Y520" s="133"/>
      <c r="Z520" s="133"/>
    </row>
    <row r="521" spans="1:26" ht="12.75" customHeight="1" x14ac:dyDescent="0.3">
      <c r="A521" s="131"/>
      <c r="B521" s="131"/>
      <c r="C521" s="131"/>
      <c r="D521" s="131"/>
      <c r="E521" s="131"/>
      <c r="F521" s="132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3"/>
      <c r="S521" s="84">
        <f t="shared" si="65"/>
        <v>0</v>
      </c>
      <c r="T521" s="133"/>
      <c r="U521" s="133"/>
      <c r="V521" s="133"/>
      <c r="W521" s="133"/>
      <c r="X521" s="133"/>
      <c r="Y521" s="133"/>
      <c r="Z521" s="133"/>
    </row>
    <row r="522" spans="1:26" ht="12.75" customHeight="1" x14ac:dyDescent="0.3">
      <c r="A522" s="131"/>
      <c r="B522" s="131"/>
      <c r="C522" s="131"/>
      <c r="D522" s="131"/>
      <c r="E522" s="131"/>
      <c r="F522" s="132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3"/>
      <c r="S522" s="84">
        <f t="shared" si="65"/>
        <v>0</v>
      </c>
      <c r="T522" s="133"/>
      <c r="U522" s="133"/>
      <c r="V522" s="133"/>
      <c r="W522" s="133"/>
      <c r="X522" s="133"/>
      <c r="Y522" s="133"/>
      <c r="Z522" s="133"/>
    </row>
    <row r="523" spans="1:26" ht="12.75" customHeight="1" x14ac:dyDescent="0.3">
      <c r="A523" s="131"/>
      <c r="B523" s="131"/>
      <c r="C523" s="131"/>
      <c r="D523" s="131"/>
      <c r="E523" s="131"/>
      <c r="F523" s="132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3"/>
      <c r="S523" s="84">
        <f t="shared" si="65"/>
        <v>0</v>
      </c>
      <c r="T523" s="133"/>
      <c r="U523" s="133"/>
      <c r="V523" s="133"/>
      <c r="W523" s="133"/>
      <c r="X523" s="133"/>
      <c r="Y523" s="133"/>
      <c r="Z523" s="133"/>
    </row>
    <row r="524" spans="1:26" ht="12.75" customHeight="1" x14ac:dyDescent="0.3">
      <c r="A524" s="131"/>
      <c r="B524" s="131"/>
      <c r="C524" s="131"/>
      <c r="D524" s="131"/>
      <c r="E524" s="131"/>
      <c r="F524" s="132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3"/>
      <c r="S524" s="84">
        <f t="shared" si="65"/>
        <v>0</v>
      </c>
      <c r="T524" s="133"/>
      <c r="U524" s="133"/>
      <c r="V524" s="133"/>
      <c r="W524" s="133"/>
      <c r="X524" s="133"/>
      <c r="Y524" s="133"/>
      <c r="Z524" s="133"/>
    </row>
    <row r="525" spans="1:26" ht="12.75" customHeight="1" x14ac:dyDescent="0.3">
      <c r="A525" s="131"/>
      <c r="B525" s="131"/>
      <c r="C525" s="131"/>
      <c r="D525" s="131"/>
      <c r="E525" s="131"/>
      <c r="F525" s="132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3"/>
      <c r="S525" s="84">
        <f t="shared" si="65"/>
        <v>0</v>
      </c>
      <c r="T525" s="133"/>
      <c r="U525" s="133"/>
      <c r="V525" s="133"/>
      <c r="W525" s="133"/>
      <c r="X525" s="133"/>
      <c r="Y525" s="133"/>
      <c r="Z525" s="133"/>
    </row>
    <row r="526" spans="1:26" ht="12.75" customHeight="1" x14ac:dyDescent="0.3">
      <c r="A526" s="131"/>
      <c r="B526" s="131"/>
      <c r="C526" s="131"/>
      <c r="D526" s="131"/>
      <c r="E526" s="131"/>
      <c r="F526" s="132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3"/>
      <c r="S526" s="84">
        <f t="shared" si="65"/>
        <v>0</v>
      </c>
      <c r="T526" s="133"/>
      <c r="U526" s="133"/>
      <c r="V526" s="133"/>
      <c r="W526" s="133"/>
      <c r="X526" s="133"/>
      <c r="Y526" s="133"/>
      <c r="Z526" s="133"/>
    </row>
    <row r="527" spans="1:26" ht="12.75" customHeight="1" x14ac:dyDescent="0.3">
      <c r="A527" s="131"/>
      <c r="B527" s="131"/>
      <c r="C527" s="131"/>
      <c r="D527" s="131"/>
      <c r="E527" s="131"/>
      <c r="F527" s="132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3"/>
      <c r="S527" s="84">
        <f t="shared" si="65"/>
        <v>0</v>
      </c>
      <c r="T527" s="133"/>
      <c r="U527" s="133"/>
      <c r="V527" s="133"/>
      <c r="W527" s="133"/>
      <c r="X527" s="133"/>
      <c r="Y527" s="133"/>
      <c r="Z527" s="133"/>
    </row>
    <row r="528" spans="1:26" ht="12.75" customHeight="1" x14ac:dyDescent="0.3">
      <c r="A528" s="131"/>
      <c r="B528" s="131"/>
      <c r="C528" s="131"/>
      <c r="D528" s="131"/>
      <c r="E528" s="131"/>
      <c r="F528" s="132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3"/>
      <c r="S528" s="84">
        <f t="shared" si="65"/>
        <v>0</v>
      </c>
      <c r="T528" s="133"/>
      <c r="U528" s="133"/>
      <c r="V528" s="133"/>
      <c r="W528" s="133"/>
      <c r="X528" s="133"/>
      <c r="Y528" s="133"/>
      <c r="Z528" s="133"/>
    </row>
    <row r="529" spans="1:26" ht="12.75" customHeight="1" x14ac:dyDescent="0.3">
      <c r="A529" s="131"/>
      <c r="B529" s="131"/>
      <c r="C529" s="131"/>
      <c r="D529" s="131"/>
      <c r="E529" s="131"/>
      <c r="F529" s="132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3"/>
      <c r="S529" s="84">
        <f t="shared" si="65"/>
        <v>0</v>
      </c>
      <c r="T529" s="133"/>
      <c r="U529" s="133"/>
      <c r="V529" s="133"/>
      <c r="W529" s="133"/>
      <c r="X529" s="133"/>
      <c r="Y529" s="133"/>
      <c r="Z529" s="133"/>
    </row>
    <row r="530" spans="1:26" ht="12.75" customHeight="1" x14ac:dyDescent="0.3">
      <c r="A530" s="131"/>
      <c r="B530" s="131"/>
      <c r="C530" s="131"/>
      <c r="D530" s="131"/>
      <c r="E530" s="131"/>
      <c r="F530" s="132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3"/>
      <c r="S530" s="84">
        <f t="shared" si="65"/>
        <v>0</v>
      </c>
      <c r="T530" s="133"/>
      <c r="U530" s="133"/>
      <c r="V530" s="133"/>
      <c r="W530" s="133"/>
      <c r="X530" s="133"/>
      <c r="Y530" s="133"/>
      <c r="Z530" s="133"/>
    </row>
    <row r="531" spans="1:26" ht="12.75" customHeight="1" x14ac:dyDescent="0.3">
      <c r="A531" s="131"/>
      <c r="B531" s="131"/>
      <c r="C531" s="131"/>
      <c r="D531" s="131"/>
      <c r="E531" s="131"/>
      <c r="F531" s="132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3"/>
      <c r="S531" s="84">
        <f t="shared" si="65"/>
        <v>0</v>
      </c>
      <c r="T531" s="133"/>
      <c r="U531" s="133"/>
      <c r="V531" s="133"/>
      <c r="W531" s="133"/>
      <c r="X531" s="133"/>
      <c r="Y531" s="133"/>
      <c r="Z531" s="133"/>
    </row>
    <row r="532" spans="1:26" ht="12.75" customHeight="1" x14ac:dyDescent="0.3">
      <c r="A532" s="131"/>
      <c r="B532" s="131"/>
      <c r="C532" s="131"/>
      <c r="D532" s="131"/>
      <c r="E532" s="131"/>
      <c r="F532" s="132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3"/>
      <c r="S532" s="84">
        <f t="shared" si="65"/>
        <v>0</v>
      </c>
      <c r="T532" s="133"/>
      <c r="U532" s="133"/>
      <c r="V532" s="133"/>
      <c r="W532" s="133"/>
      <c r="X532" s="133"/>
      <c r="Y532" s="133"/>
      <c r="Z532" s="133"/>
    </row>
    <row r="533" spans="1:26" ht="12.75" customHeight="1" x14ac:dyDescent="0.3">
      <c r="A533" s="131"/>
      <c r="B533" s="131"/>
      <c r="C533" s="131"/>
      <c r="D533" s="131"/>
      <c r="E533" s="131"/>
      <c r="F533" s="132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3"/>
      <c r="S533" s="84">
        <f t="shared" si="65"/>
        <v>0</v>
      </c>
      <c r="T533" s="133"/>
      <c r="U533" s="133"/>
      <c r="V533" s="133"/>
      <c r="W533" s="133"/>
      <c r="X533" s="133"/>
      <c r="Y533" s="133"/>
      <c r="Z533" s="133"/>
    </row>
    <row r="534" spans="1:26" ht="12.75" customHeight="1" x14ac:dyDescent="0.3">
      <c r="A534" s="131"/>
      <c r="B534" s="131"/>
      <c r="C534" s="131"/>
      <c r="D534" s="131"/>
      <c r="E534" s="131"/>
      <c r="F534" s="132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3"/>
      <c r="S534" s="84">
        <f t="shared" si="65"/>
        <v>0</v>
      </c>
      <c r="T534" s="133"/>
      <c r="U534" s="133"/>
      <c r="V534" s="133"/>
      <c r="W534" s="133"/>
      <c r="X534" s="133"/>
      <c r="Y534" s="133"/>
      <c r="Z534" s="133"/>
    </row>
    <row r="535" spans="1:26" ht="12.75" customHeight="1" x14ac:dyDescent="0.3">
      <c r="A535" s="131"/>
      <c r="B535" s="131"/>
      <c r="C535" s="131"/>
      <c r="D535" s="131"/>
      <c r="E535" s="131"/>
      <c r="F535" s="132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3"/>
      <c r="S535" s="84">
        <f t="shared" si="65"/>
        <v>0</v>
      </c>
      <c r="T535" s="133"/>
      <c r="U535" s="133"/>
      <c r="V535" s="133"/>
      <c r="W535" s="133"/>
      <c r="X535" s="133"/>
      <c r="Y535" s="133"/>
      <c r="Z535" s="133"/>
    </row>
    <row r="536" spans="1:26" ht="12.75" customHeight="1" x14ac:dyDescent="0.3">
      <c r="A536" s="131"/>
      <c r="B536" s="131"/>
      <c r="C536" s="131"/>
      <c r="D536" s="131"/>
      <c r="E536" s="131"/>
      <c r="F536" s="132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3"/>
      <c r="S536" s="84">
        <f t="shared" si="65"/>
        <v>0</v>
      </c>
      <c r="T536" s="133"/>
      <c r="U536" s="133"/>
      <c r="V536" s="133"/>
      <c r="W536" s="133"/>
      <c r="X536" s="133"/>
      <c r="Y536" s="133"/>
      <c r="Z536" s="133"/>
    </row>
    <row r="537" spans="1:26" ht="12.75" customHeight="1" x14ac:dyDescent="0.3">
      <c r="A537" s="131"/>
      <c r="B537" s="131"/>
      <c r="C537" s="131"/>
      <c r="D537" s="131"/>
      <c r="E537" s="131"/>
      <c r="F537" s="132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3"/>
      <c r="S537" s="84">
        <f t="shared" si="65"/>
        <v>0</v>
      </c>
      <c r="T537" s="133"/>
      <c r="U537" s="133"/>
      <c r="V537" s="133"/>
      <c r="W537" s="133"/>
      <c r="X537" s="133"/>
      <c r="Y537" s="133"/>
      <c r="Z537" s="133"/>
    </row>
    <row r="538" spans="1:26" ht="12.75" customHeight="1" x14ac:dyDescent="0.3">
      <c r="A538" s="131"/>
      <c r="B538" s="131"/>
      <c r="C538" s="131"/>
      <c r="D538" s="131"/>
      <c r="E538" s="131"/>
      <c r="F538" s="132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3"/>
      <c r="S538" s="84">
        <f t="shared" si="65"/>
        <v>0</v>
      </c>
      <c r="T538" s="133"/>
      <c r="U538" s="133"/>
      <c r="V538" s="133"/>
      <c r="W538" s="133"/>
      <c r="X538" s="133"/>
      <c r="Y538" s="133"/>
      <c r="Z538" s="133"/>
    </row>
    <row r="539" spans="1:26" ht="12.75" customHeight="1" x14ac:dyDescent="0.3">
      <c r="A539" s="131"/>
      <c r="B539" s="131"/>
      <c r="C539" s="131"/>
      <c r="D539" s="131"/>
      <c r="E539" s="131"/>
      <c r="F539" s="132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3"/>
      <c r="S539" s="84">
        <f t="shared" si="65"/>
        <v>0</v>
      </c>
      <c r="T539" s="133"/>
      <c r="U539" s="133"/>
      <c r="V539" s="133"/>
      <c r="W539" s="133"/>
      <c r="X539" s="133"/>
      <c r="Y539" s="133"/>
      <c r="Z539" s="133"/>
    </row>
    <row r="540" spans="1:26" ht="12.75" customHeight="1" x14ac:dyDescent="0.3">
      <c r="A540" s="131"/>
      <c r="B540" s="131"/>
      <c r="C540" s="131"/>
      <c r="D540" s="131"/>
      <c r="E540" s="131"/>
      <c r="F540" s="132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3"/>
      <c r="S540" s="84">
        <f t="shared" si="65"/>
        <v>0</v>
      </c>
      <c r="T540" s="133"/>
      <c r="U540" s="133"/>
      <c r="V540" s="133"/>
      <c r="W540" s="133"/>
      <c r="X540" s="133"/>
      <c r="Y540" s="133"/>
      <c r="Z540" s="133"/>
    </row>
    <row r="541" spans="1:26" ht="12.75" customHeight="1" x14ac:dyDescent="0.3">
      <c r="A541" s="131"/>
      <c r="B541" s="131"/>
      <c r="C541" s="131"/>
      <c r="D541" s="131"/>
      <c r="E541" s="131"/>
      <c r="F541" s="132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3"/>
      <c r="S541" s="84">
        <f t="shared" si="65"/>
        <v>0</v>
      </c>
      <c r="T541" s="133"/>
      <c r="U541" s="133"/>
      <c r="V541" s="133"/>
      <c r="W541" s="133"/>
      <c r="X541" s="133"/>
      <c r="Y541" s="133"/>
      <c r="Z541" s="133"/>
    </row>
    <row r="542" spans="1:26" ht="12.75" customHeight="1" x14ac:dyDescent="0.3">
      <c r="A542" s="131"/>
      <c r="B542" s="131"/>
      <c r="C542" s="131"/>
      <c r="D542" s="131"/>
      <c r="E542" s="131"/>
      <c r="F542" s="132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3"/>
      <c r="S542" s="84">
        <f t="shared" si="65"/>
        <v>0</v>
      </c>
      <c r="T542" s="133"/>
      <c r="U542" s="133"/>
      <c r="V542" s="133"/>
      <c r="W542" s="133"/>
      <c r="X542" s="133"/>
      <c r="Y542" s="133"/>
      <c r="Z542" s="133"/>
    </row>
    <row r="543" spans="1:26" ht="12.75" customHeight="1" x14ac:dyDescent="0.3">
      <c r="A543" s="131"/>
      <c r="B543" s="131"/>
      <c r="C543" s="131"/>
      <c r="D543" s="131"/>
      <c r="E543" s="131"/>
      <c r="F543" s="132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3"/>
      <c r="S543" s="84">
        <f t="shared" si="65"/>
        <v>0</v>
      </c>
      <c r="T543" s="133"/>
      <c r="U543" s="133"/>
      <c r="V543" s="133"/>
      <c r="W543" s="133"/>
      <c r="X543" s="133"/>
      <c r="Y543" s="133"/>
      <c r="Z543" s="133"/>
    </row>
    <row r="544" spans="1:26" ht="12.75" customHeight="1" x14ac:dyDescent="0.3">
      <c r="A544" s="131"/>
      <c r="B544" s="131"/>
      <c r="C544" s="131"/>
      <c r="D544" s="131"/>
      <c r="E544" s="131"/>
      <c r="F544" s="132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3"/>
      <c r="S544" s="84">
        <f t="shared" si="65"/>
        <v>0</v>
      </c>
      <c r="T544" s="133"/>
      <c r="U544" s="133"/>
      <c r="V544" s="133"/>
      <c r="W544" s="133"/>
      <c r="X544" s="133"/>
      <c r="Y544" s="133"/>
      <c r="Z544" s="133"/>
    </row>
    <row r="545" spans="1:26" ht="12.75" customHeight="1" x14ac:dyDescent="0.3">
      <c r="A545" s="131"/>
      <c r="B545" s="131"/>
      <c r="C545" s="131"/>
      <c r="D545" s="131"/>
      <c r="E545" s="131"/>
      <c r="F545" s="132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3"/>
      <c r="S545" s="84">
        <f t="shared" si="65"/>
        <v>0</v>
      </c>
      <c r="T545" s="133"/>
      <c r="U545" s="133"/>
      <c r="V545" s="133"/>
      <c r="W545" s="133"/>
      <c r="X545" s="133"/>
      <c r="Y545" s="133"/>
      <c r="Z545" s="133"/>
    </row>
    <row r="546" spans="1:26" ht="12.75" customHeight="1" x14ac:dyDescent="0.3">
      <c r="A546" s="131"/>
      <c r="B546" s="131"/>
      <c r="C546" s="131"/>
      <c r="D546" s="131"/>
      <c r="E546" s="131"/>
      <c r="F546" s="132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3"/>
      <c r="S546" s="84">
        <f t="shared" si="65"/>
        <v>0</v>
      </c>
      <c r="T546" s="133"/>
      <c r="U546" s="133"/>
      <c r="V546" s="133"/>
      <c r="W546" s="133"/>
      <c r="X546" s="133"/>
      <c r="Y546" s="133"/>
      <c r="Z546" s="133"/>
    </row>
    <row r="547" spans="1:26" ht="12.75" customHeight="1" x14ac:dyDescent="0.3">
      <c r="A547" s="131"/>
      <c r="B547" s="131"/>
      <c r="C547" s="131"/>
      <c r="D547" s="131"/>
      <c r="E547" s="131"/>
      <c r="F547" s="132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3"/>
      <c r="S547" s="84">
        <f t="shared" si="65"/>
        <v>0</v>
      </c>
      <c r="T547" s="133"/>
      <c r="U547" s="133"/>
      <c r="V547" s="133"/>
      <c r="W547" s="133"/>
      <c r="X547" s="133"/>
      <c r="Y547" s="133"/>
      <c r="Z547" s="133"/>
    </row>
    <row r="548" spans="1:26" ht="12.75" customHeight="1" x14ac:dyDescent="0.3">
      <c r="A548" s="131"/>
      <c r="B548" s="131"/>
      <c r="C548" s="131"/>
      <c r="D548" s="131"/>
      <c r="E548" s="131"/>
      <c r="F548" s="132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3"/>
      <c r="S548" s="84">
        <f t="shared" si="65"/>
        <v>0</v>
      </c>
      <c r="T548" s="133"/>
      <c r="U548" s="133"/>
      <c r="V548" s="133"/>
      <c r="W548" s="133"/>
      <c r="X548" s="133"/>
      <c r="Y548" s="133"/>
      <c r="Z548" s="133"/>
    </row>
    <row r="549" spans="1:26" ht="12.75" customHeight="1" x14ac:dyDescent="0.3">
      <c r="A549" s="131"/>
      <c r="B549" s="131"/>
      <c r="C549" s="131"/>
      <c r="D549" s="131"/>
      <c r="E549" s="131"/>
      <c r="F549" s="132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3"/>
      <c r="S549" s="84">
        <f t="shared" si="65"/>
        <v>0</v>
      </c>
      <c r="T549" s="133"/>
      <c r="U549" s="133"/>
      <c r="V549" s="133"/>
      <c r="W549" s="133"/>
      <c r="X549" s="133"/>
      <c r="Y549" s="133"/>
      <c r="Z549" s="133"/>
    </row>
    <row r="550" spans="1:26" ht="12.75" customHeight="1" x14ac:dyDescent="0.3">
      <c r="A550" s="131"/>
      <c r="B550" s="131"/>
      <c r="C550" s="131"/>
      <c r="D550" s="131"/>
      <c r="E550" s="131"/>
      <c r="F550" s="132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3"/>
      <c r="S550" s="84">
        <f t="shared" si="65"/>
        <v>0</v>
      </c>
      <c r="T550" s="133"/>
      <c r="U550" s="133"/>
      <c r="V550" s="133"/>
      <c r="W550" s="133"/>
      <c r="X550" s="133"/>
      <c r="Y550" s="133"/>
      <c r="Z550" s="133"/>
    </row>
    <row r="551" spans="1:26" ht="12.75" customHeight="1" x14ac:dyDescent="0.3">
      <c r="A551" s="131"/>
      <c r="B551" s="131"/>
      <c r="C551" s="131"/>
      <c r="D551" s="131"/>
      <c r="E551" s="131"/>
      <c r="F551" s="132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3"/>
      <c r="S551" s="84">
        <f t="shared" si="65"/>
        <v>0</v>
      </c>
      <c r="T551" s="133"/>
      <c r="U551" s="133"/>
      <c r="V551" s="133"/>
      <c r="W551" s="133"/>
      <c r="X551" s="133"/>
      <c r="Y551" s="133"/>
      <c r="Z551" s="133"/>
    </row>
    <row r="552" spans="1:26" ht="12.75" customHeight="1" x14ac:dyDescent="0.3">
      <c r="A552" s="131"/>
      <c r="B552" s="131"/>
      <c r="C552" s="131"/>
      <c r="D552" s="131"/>
      <c r="E552" s="131"/>
      <c r="F552" s="132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3"/>
      <c r="S552" s="84">
        <f t="shared" si="65"/>
        <v>0</v>
      </c>
      <c r="T552" s="133"/>
      <c r="U552" s="133"/>
      <c r="V552" s="133"/>
      <c r="W552" s="133"/>
      <c r="X552" s="133"/>
      <c r="Y552" s="133"/>
      <c r="Z552" s="133"/>
    </row>
    <row r="553" spans="1:26" ht="12.75" customHeight="1" x14ac:dyDescent="0.3">
      <c r="A553" s="131"/>
      <c r="B553" s="131"/>
      <c r="C553" s="131"/>
      <c r="D553" s="131"/>
      <c r="E553" s="131"/>
      <c r="F553" s="132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3"/>
      <c r="S553" s="84">
        <f t="shared" si="65"/>
        <v>0</v>
      </c>
      <c r="T553" s="133"/>
      <c r="U553" s="133"/>
      <c r="V553" s="133"/>
      <c r="W553" s="133"/>
      <c r="X553" s="133"/>
      <c r="Y553" s="133"/>
      <c r="Z553" s="133"/>
    </row>
    <row r="554" spans="1:26" ht="12.75" customHeight="1" x14ac:dyDescent="0.3">
      <c r="A554" s="131"/>
      <c r="B554" s="131"/>
      <c r="C554" s="131"/>
      <c r="D554" s="131"/>
      <c r="E554" s="131"/>
      <c r="F554" s="132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3"/>
      <c r="S554" s="84">
        <f t="shared" si="65"/>
        <v>0</v>
      </c>
      <c r="T554" s="133"/>
      <c r="U554" s="133"/>
      <c r="V554" s="133"/>
      <c r="W554" s="133"/>
      <c r="X554" s="133"/>
      <c r="Y554" s="133"/>
      <c r="Z554" s="133"/>
    </row>
    <row r="555" spans="1:26" ht="12.75" customHeight="1" x14ac:dyDescent="0.3">
      <c r="A555" s="131"/>
      <c r="B555" s="131"/>
      <c r="C555" s="131"/>
      <c r="D555" s="131"/>
      <c r="E555" s="131"/>
      <c r="F555" s="132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3"/>
      <c r="S555" s="84">
        <f t="shared" si="65"/>
        <v>0</v>
      </c>
      <c r="T555" s="133"/>
      <c r="U555" s="133"/>
      <c r="V555" s="133"/>
      <c r="W555" s="133"/>
      <c r="X555" s="133"/>
      <c r="Y555" s="133"/>
      <c r="Z555" s="133"/>
    </row>
    <row r="556" spans="1:26" ht="12.75" customHeight="1" x14ac:dyDescent="0.3">
      <c r="A556" s="131"/>
      <c r="B556" s="131"/>
      <c r="C556" s="131"/>
      <c r="D556" s="131"/>
      <c r="E556" s="131"/>
      <c r="F556" s="132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3"/>
      <c r="S556" s="84">
        <f t="shared" si="65"/>
        <v>0</v>
      </c>
      <c r="T556" s="133"/>
      <c r="U556" s="133"/>
      <c r="V556" s="133"/>
      <c r="W556" s="133"/>
      <c r="X556" s="133"/>
      <c r="Y556" s="133"/>
      <c r="Z556" s="133"/>
    </row>
    <row r="557" spans="1:26" ht="12.75" customHeight="1" x14ac:dyDescent="0.3">
      <c r="A557" s="131"/>
      <c r="B557" s="131"/>
      <c r="C557" s="131"/>
      <c r="D557" s="131"/>
      <c r="E557" s="131"/>
      <c r="F557" s="132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3"/>
      <c r="S557" s="84">
        <f t="shared" si="65"/>
        <v>0</v>
      </c>
      <c r="T557" s="133"/>
      <c r="U557" s="133"/>
      <c r="V557" s="133"/>
      <c r="W557" s="133"/>
      <c r="X557" s="133"/>
      <c r="Y557" s="133"/>
      <c r="Z557" s="133"/>
    </row>
    <row r="558" spans="1:26" ht="12.75" customHeight="1" x14ac:dyDescent="0.3">
      <c r="A558" s="131"/>
      <c r="B558" s="131"/>
      <c r="C558" s="131"/>
      <c r="D558" s="131"/>
      <c r="E558" s="131"/>
      <c r="F558" s="132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3"/>
      <c r="S558" s="84">
        <f t="shared" si="65"/>
        <v>0</v>
      </c>
      <c r="T558" s="133"/>
      <c r="U558" s="133"/>
      <c r="V558" s="133"/>
      <c r="W558" s="133"/>
      <c r="X558" s="133"/>
      <c r="Y558" s="133"/>
      <c r="Z558" s="133"/>
    </row>
    <row r="559" spans="1:26" ht="12.75" customHeight="1" x14ac:dyDescent="0.3">
      <c r="A559" s="131"/>
      <c r="B559" s="131"/>
      <c r="C559" s="131"/>
      <c r="D559" s="131"/>
      <c r="E559" s="131"/>
      <c r="F559" s="132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3"/>
      <c r="S559" s="84">
        <f t="shared" si="65"/>
        <v>0</v>
      </c>
      <c r="T559" s="133"/>
      <c r="U559" s="133"/>
      <c r="V559" s="133"/>
      <c r="W559" s="133"/>
      <c r="X559" s="133"/>
      <c r="Y559" s="133"/>
      <c r="Z559" s="133"/>
    </row>
    <row r="560" spans="1:26" ht="12.75" customHeight="1" x14ac:dyDescent="0.3">
      <c r="A560" s="131"/>
      <c r="B560" s="131"/>
      <c r="C560" s="131"/>
      <c r="D560" s="131"/>
      <c r="E560" s="131"/>
      <c r="F560" s="132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3"/>
      <c r="S560" s="84">
        <f t="shared" si="65"/>
        <v>0</v>
      </c>
      <c r="T560" s="133"/>
      <c r="U560" s="133"/>
      <c r="V560" s="133"/>
      <c r="W560" s="133"/>
      <c r="X560" s="133"/>
      <c r="Y560" s="133"/>
      <c r="Z560" s="133"/>
    </row>
    <row r="561" spans="1:26" ht="12.75" customHeight="1" x14ac:dyDescent="0.3">
      <c r="A561" s="131"/>
      <c r="B561" s="131"/>
      <c r="C561" s="131"/>
      <c r="D561" s="131"/>
      <c r="E561" s="131"/>
      <c r="F561" s="132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3"/>
      <c r="S561" s="84">
        <f t="shared" si="65"/>
        <v>0</v>
      </c>
      <c r="T561" s="133"/>
      <c r="U561" s="133"/>
      <c r="V561" s="133"/>
      <c r="W561" s="133"/>
      <c r="X561" s="133"/>
      <c r="Y561" s="133"/>
      <c r="Z561" s="133"/>
    </row>
    <row r="562" spans="1:26" ht="12.75" customHeight="1" x14ac:dyDescent="0.3">
      <c r="A562" s="131"/>
      <c r="B562" s="131"/>
      <c r="C562" s="131"/>
      <c r="D562" s="131"/>
      <c r="E562" s="131"/>
      <c r="F562" s="132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3"/>
      <c r="S562" s="84">
        <f t="shared" si="65"/>
        <v>0</v>
      </c>
      <c r="T562" s="133"/>
      <c r="U562" s="133"/>
      <c r="V562" s="133"/>
      <c r="W562" s="133"/>
      <c r="X562" s="133"/>
      <c r="Y562" s="133"/>
      <c r="Z562" s="133"/>
    </row>
    <row r="563" spans="1:26" ht="12.75" customHeight="1" x14ac:dyDescent="0.3">
      <c r="A563" s="131"/>
      <c r="B563" s="131"/>
      <c r="C563" s="131"/>
      <c r="D563" s="131"/>
      <c r="E563" s="131"/>
      <c r="F563" s="132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3"/>
      <c r="S563" s="84">
        <f t="shared" si="65"/>
        <v>0</v>
      </c>
      <c r="T563" s="133"/>
      <c r="U563" s="133"/>
      <c r="V563" s="133"/>
      <c r="W563" s="133"/>
      <c r="X563" s="133"/>
      <c r="Y563" s="133"/>
      <c r="Z563" s="133"/>
    </row>
    <row r="564" spans="1:26" ht="12.75" customHeight="1" x14ac:dyDescent="0.3">
      <c r="A564" s="131"/>
      <c r="B564" s="131"/>
      <c r="C564" s="131"/>
      <c r="D564" s="131"/>
      <c r="E564" s="131"/>
      <c r="F564" s="132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3"/>
      <c r="S564" s="84">
        <f t="shared" si="65"/>
        <v>0</v>
      </c>
      <c r="T564" s="133"/>
      <c r="U564" s="133"/>
      <c r="V564" s="133"/>
      <c r="W564" s="133"/>
      <c r="X564" s="133"/>
      <c r="Y564" s="133"/>
      <c r="Z564" s="133"/>
    </row>
    <row r="565" spans="1:26" ht="12.75" customHeight="1" x14ac:dyDescent="0.3">
      <c r="A565" s="131"/>
      <c r="B565" s="131"/>
      <c r="C565" s="131"/>
      <c r="D565" s="131"/>
      <c r="E565" s="131"/>
      <c r="F565" s="132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3"/>
      <c r="S565" s="84">
        <f t="shared" si="65"/>
        <v>0</v>
      </c>
      <c r="T565" s="133"/>
      <c r="U565" s="133"/>
      <c r="V565" s="133"/>
      <c r="W565" s="133"/>
      <c r="X565" s="133"/>
      <c r="Y565" s="133"/>
      <c r="Z565" s="133"/>
    </row>
    <row r="566" spans="1:26" ht="12.75" customHeight="1" x14ac:dyDescent="0.3">
      <c r="A566" s="131"/>
      <c r="B566" s="131"/>
      <c r="C566" s="131"/>
      <c r="D566" s="131"/>
      <c r="E566" s="131"/>
      <c r="F566" s="132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3"/>
      <c r="S566" s="84">
        <f t="shared" si="65"/>
        <v>0</v>
      </c>
      <c r="T566" s="133"/>
      <c r="U566" s="133"/>
      <c r="V566" s="133"/>
      <c r="W566" s="133"/>
      <c r="X566" s="133"/>
      <c r="Y566" s="133"/>
      <c r="Z566" s="133"/>
    </row>
    <row r="567" spans="1:26" ht="12.75" customHeight="1" x14ac:dyDescent="0.3">
      <c r="A567" s="131"/>
      <c r="B567" s="131"/>
      <c r="C567" s="131"/>
      <c r="D567" s="131"/>
      <c r="E567" s="131"/>
      <c r="F567" s="132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3"/>
      <c r="S567" s="84">
        <f t="shared" si="65"/>
        <v>0</v>
      </c>
      <c r="T567" s="133"/>
      <c r="U567" s="133"/>
      <c r="V567" s="133"/>
      <c r="W567" s="133"/>
      <c r="X567" s="133"/>
      <c r="Y567" s="133"/>
      <c r="Z567" s="133"/>
    </row>
    <row r="568" spans="1:26" ht="12.75" customHeight="1" x14ac:dyDescent="0.3">
      <c r="A568" s="131"/>
      <c r="B568" s="131"/>
      <c r="C568" s="131"/>
      <c r="D568" s="131"/>
      <c r="E568" s="131"/>
      <c r="F568" s="132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3"/>
      <c r="S568" s="84">
        <f t="shared" si="65"/>
        <v>0</v>
      </c>
      <c r="T568" s="133"/>
      <c r="U568" s="133"/>
      <c r="V568" s="133"/>
      <c r="W568" s="133"/>
      <c r="X568" s="133"/>
      <c r="Y568" s="133"/>
      <c r="Z568" s="133"/>
    </row>
    <row r="569" spans="1:26" ht="12.75" customHeight="1" x14ac:dyDescent="0.3">
      <c r="A569" s="131"/>
      <c r="B569" s="131"/>
      <c r="C569" s="131"/>
      <c r="D569" s="131"/>
      <c r="E569" s="131"/>
      <c r="F569" s="132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3"/>
      <c r="S569" s="84">
        <f t="shared" si="65"/>
        <v>0</v>
      </c>
      <c r="T569" s="133"/>
      <c r="U569" s="133"/>
      <c r="V569" s="133"/>
      <c r="W569" s="133"/>
      <c r="X569" s="133"/>
      <c r="Y569" s="133"/>
      <c r="Z569" s="133"/>
    </row>
    <row r="570" spans="1:26" ht="12.75" customHeight="1" x14ac:dyDescent="0.3">
      <c r="A570" s="131"/>
      <c r="B570" s="131"/>
      <c r="C570" s="131"/>
      <c r="D570" s="131"/>
      <c r="E570" s="131"/>
      <c r="F570" s="132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3"/>
      <c r="S570" s="84">
        <f t="shared" si="65"/>
        <v>0</v>
      </c>
      <c r="T570" s="133"/>
      <c r="U570" s="133"/>
      <c r="V570" s="133"/>
      <c r="W570" s="133"/>
      <c r="X570" s="133"/>
      <c r="Y570" s="133"/>
      <c r="Z570" s="133"/>
    </row>
    <row r="571" spans="1:26" ht="12.75" customHeight="1" x14ac:dyDescent="0.3">
      <c r="A571" s="131"/>
      <c r="B571" s="131"/>
      <c r="C571" s="131"/>
      <c r="D571" s="131"/>
      <c r="E571" s="131"/>
      <c r="F571" s="132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3"/>
      <c r="S571" s="84">
        <f t="shared" si="65"/>
        <v>0</v>
      </c>
      <c r="T571" s="133"/>
      <c r="U571" s="133"/>
      <c r="V571" s="133"/>
      <c r="W571" s="133"/>
      <c r="X571" s="133"/>
      <c r="Y571" s="133"/>
      <c r="Z571" s="133"/>
    </row>
    <row r="572" spans="1:26" ht="12.75" customHeight="1" x14ac:dyDescent="0.3">
      <c r="A572" s="131"/>
      <c r="B572" s="131"/>
      <c r="C572" s="131"/>
      <c r="D572" s="131"/>
      <c r="E572" s="131"/>
      <c r="F572" s="132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3"/>
      <c r="S572" s="84">
        <f t="shared" si="65"/>
        <v>0</v>
      </c>
      <c r="T572" s="133"/>
      <c r="U572" s="133"/>
      <c r="V572" s="133"/>
      <c r="W572" s="133"/>
      <c r="X572" s="133"/>
      <c r="Y572" s="133"/>
      <c r="Z572" s="133"/>
    </row>
    <row r="573" spans="1:26" ht="12.75" customHeight="1" x14ac:dyDescent="0.3">
      <c r="A573" s="131"/>
      <c r="B573" s="131"/>
      <c r="C573" s="131"/>
      <c r="D573" s="131"/>
      <c r="E573" s="131"/>
      <c r="F573" s="132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3"/>
      <c r="S573" s="84">
        <f t="shared" si="65"/>
        <v>0</v>
      </c>
      <c r="T573" s="133"/>
      <c r="U573" s="133"/>
      <c r="V573" s="133"/>
      <c r="W573" s="133"/>
      <c r="X573" s="133"/>
      <c r="Y573" s="133"/>
      <c r="Z573" s="133"/>
    </row>
    <row r="574" spans="1:26" ht="12.75" customHeight="1" x14ac:dyDescent="0.3">
      <c r="A574" s="131"/>
      <c r="B574" s="131"/>
      <c r="C574" s="131"/>
      <c r="D574" s="131"/>
      <c r="E574" s="131"/>
      <c r="F574" s="132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3"/>
      <c r="S574" s="84">
        <f t="shared" si="65"/>
        <v>0</v>
      </c>
      <c r="T574" s="133"/>
      <c r="U574" s="133"/>
      <c r="V574" s="133"/>
      <c r="W574" s="133"/>
      <c r="X574" s="133"/>
      <c r="Y574" s="133"/>
      <c r="Z574" s="133"/>
    </row>
    <row r="575" spans="1:26" ht="12.75" customHeight="1" x14ac:dyDescent="0.3">
      <c r="A575" s="131"/>
      <c r="B575" s="131"/>
      <c r="C575" s="131"/>
      <c r="D575" s="131"/>
      <c r="E575" s="131"/>
      <c r="F575" s="132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3"/>
      <c r="S575" s="84">
        <f t="shared" si="65"/>
        <v>0</v>
      </c>
      <c r="T575" s="133"/>
      <c r="U575" s="133"/>
      <c r="V575" s="133"/>
      <c r="W575" s="133"/>
      <c r="X575" s="133"/>
      <c r="Y575" s="133"/>
      <c r="Z575" s="133"/>
    </row>
    <row r="576" spans="1:26" ht="12.75" customHeight="1" x14ac:dyDescent="0.3">
      <c r="A576" s="131"/>
      <c r="B576" s="131"/>
      <c r="C576" s="131"/>
      <c r="D576" s="131"/>
      <c r="E576" s="131"/>
      <c r="F576" s="132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3"/>
      <c r="S576" s="84">
        <f t="shared" si="65"/>
        <v>0</v>
      </c>
      <c r="T576" s="133"/>
      <c r="U576" s="133"/>
      <c r="V576" s="133"/>
      <c r="W576" s="133"/>
      <c r="X576" s="133"/>
      <c r="Y576" s="133"/>
      <c r="Z576" s="133"/>
    </row>
    <row r="577" spans="1:26" ht="12.75" customHeight="1" x14ac:dyDescent="0.3">
      <c r="A577" s="131"/>
      <c r="B577" s="131"/>
      <c r="C577" s="131"/>
      <c r="D577" s="131"/>
      <c r="E577" s="131"/>
      <c r="F577" s="132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3"/>
      <c r="S577" s="84">
        <f t="shared" si="65"/>
        <v>0</v>
      </c>
      <c r="T577" s="133"/>
      <c r="U577" s="133"/>
      <c r="V577" s="133"/>
      <c r="W577" s="133"/>
      <c r="X577" s="133"/>
      <c r="Y577" s="133"/>
      <c r="Z577" s="133"/>
    </row>
    <row r="578" spans="1:26" ht="12.75" customHeight="1" x14ac:dyDescent="0.3">
      <c r="A578" s="131"/>
      <c r="B578" s="131"/>
      <c r="C578" s="131"/>
      <c r="D578" s="131"/>
      <c r="E578" s="131"/>
      <c r="F578" s="132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3"/>
      <c r="S578" s="84">
        <f t="shared" si="65"/>
        <v>0</v>
      </c>
      <c r="T578" s="133"/>
      <c r="U578" s="133"/>
      <c r="V578" s="133"/>
      <c r="W578" s="133"/>
      <c r="X578" s="133"/>
      <c r="Y578" s="133"/>
      <c r="Z578" s="133"/>
    </row>
    <row r="579" spans="1:26" ht="12.75" customHeight="1" x14ac:dyDescent="0.3">
      <c r="A579" s="131"/>
      <c r="B579" s="131"/>
      <c r="C579" s="131"/>
      <c r="D579" s="131"/>
      <c r="E579" s="131"/>
      <c r="F579" s="132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3"/>
      <c r="S579" s="84">
        <f t="shared" si="65"/>
        <v>0</v>
      </c>
      <c r="T579" s="133"/>
      <c r="U579" s="133"/>
      <c r="V579" s="133"/>
      <c r="W579" s="133"/>
      <c r="X579" s="133"/>
      <c r="Y579" s="133"/>
      <c r="Z579" s="133"/>
    </row>
    <row r="580" spans="1:26" ht="12.75" customHeight="1" x14ac:dyDescent="0.3">
      <c r="A580" s="131"/>
      <c r="B580" s="131"/>
      <c r="C580" s="131"/>
      <c r="D580" s="131"/>
      <c r="E580" s="131"/>
      <c r="F580" s="132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3"/>
      <c r="S580" s="84">
        <f t="shared" si="65"/>
        <v>0</v>
      </c>
      <c r="T580" s="133"/>
      <c r="U580" s="133"/>
      <c r="V580" s="133"/>
      <c r="W580" s="133"/>
      <c r="X580" s="133"/>
      <c r="Y580" s="133"/>
      <c r="Z580" s="133"/>
    </row>
    <row r="581" spans="1:26" ht="12.75" customHeight="1" x14ac:dyDescent="0.3">
      <c r="A581" s="131"/>
      <c r="B581" s="131"/>
      <c r="C581" s="131"/>
      <c r="D581" s="131"/>
      <c r="E581" s="131"/>
      <c r="F581" s="132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3"/>
      <c r="S581" s="84">
        <f t="shared" si="65"/>
        <v>0</v>
      </c>
      <c r="T581" s="133"/>
      <c r="U581" s="133"/>
      <c r="V581" s="133"/>
      <c r="W581" s="133"/>
      <c r="X581" s="133"/>
      <c r="Y581" s="133"/>
      <c r="Z581" s="133"/>
    </row>
    <row r="582" spans="1:26" ht="12.75" customHeight="1" x14ac:dyDescent="0.3">
      <c r="A582" s="131"/>
      <c r="B582" s="131"/>
      <c r="C582" s="131"/>
      <c r="D582" s="131"/>
      <c r="E582" s="131"/>
      <c r="F582" s="132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3"/>
      <c r="S582" s="84">
        <f t="shared" si="65"/>
        <v>0</v>
      </c>
      <c r="T582" s="133"/>
      <c r="U582" s="133"/>
      <c r="V582" s="133"/>
      <c r="W582" s="133"/>
      <c r="X582" s="133"/>
      <c r="Y582" s="133"/>
      <c r="Z582" s="133"/>
    </row>
    <row r="583" spans="1:26" ht="12.75" customHeight="1" x14ac:dyDescent="0.3">
      <c r="A583" s="131"/>
      <c r="B583" s="131"/>
      <c r="C583" s="131"/>
      <c r="D583" s="131"/>
      <c r="E583" s="131"/>
      <c r="F583" s="132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3"/>
      <c r="S583" s="84">
        <f t="shared" si="65"/>
        <v>0</v>
      </c>
      <c r="T583" s="133"/>
      <c r="U583" s="133"/>
      <c r="V583" s="133"/>
      <c r="W583" s="133"/>
      <c r="X583" s="133"/>
      <c r="Y583" s="133"/>
      <c r="Z583" s="133"/>
    </row>
    <row r="584" spans="1:26" ht="12.75" customHeight="1" x14ac:dyDescent="0.3">
      <c r="A584" s="131"/>
      <c r="B584" s="131"/>
      <c r="C584" s="131"/>
      <c r="D584" s="131"/>
      <c r="E584" s="131"/>
      <c r="F584" s="132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3"/>
      <c r="S584" s="84">
        <f t="shared" si="65"/>
        <v>0</v>
      </c>
      <c r="T584" s="133"/>
      <c r="U584" s="133"/>
      <c r="V584" s="133"/>
      <c r="W584" s="133"/>
      <c r="X584" s="133"/>
      <c r="Y584" s="133"/>
      <c r="Z584" s="133"/>
    </row>
    <row r="585" spans="1:26" ht="12.75" customHeight="1" x14ac:dyDescent="0.3">
      <c r="A585" s="131"/>
      <c r="B585" s="131"/>
      <c r="C585" s="131"/>
      <c r="D585" s="131"/>
      <c r="E585" s="131"/>
      <c r="F585" s="132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3"/>
      <c r="S585" s="84">
        <f t="shared" si="65"/>
        <v>0</v>
      </c>
      <c r="T585" s="133"/>
      <c r="U585" s="133"/>
      <c r="V585" s="133"/>
      <c r="W585" s="133"/>
      <c r="X585" s="133"/>
      <c r="Y585" s="133"/>
      <c r="Z585" s="133"/>
    </row>
    <row r="586" spans="1:26" ht="12.75" customHeight="1" x14ac:dyDescent="0.3">
      <c r="A586" s="131"/>
      <c r="B586" s="131"/>
      <c r="C586" s="131"/>
      <c r="D586" s="131"/>
      <c r="E586" s="131"/>
      <c r="F586" s="132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3"/>
      <c r="S586" s="84">
        <f t="shared" si="65"/>
        <v>0</v>
      </c>
      <c r="T586" s="133"/>
      <c r="U586" s="133"/>
      <c r="V586" s="133"/>
      <c r="W586" s="133"/>
      <c r="X586" s="133"/>
      <c r="Y586" s="133"/>
      <c r="Z586" s="133"/>
    </row>
    <row r="587" spans="1:26" ht="12.75" customHeight="1" x14ac:dyDescent="0.3">
      <c r="A587" s="131"/>
      <c r="B587" s="131"/>
      <c r="C587" s="131"/>
      <c r="D587" s="131"/>
      <c r="E587" s="131"/>
      <c r="F587" s="132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3"/>
      <c r="S587" s="84">
        <f t="shared" si="65"/>
        <v>0</v>
      </c>
      <c r="T587" s="133"/>
      <c r="U587" s="133"/>
      <c r="V587" s="133"/>
      <c r="W587" s="133"/>
      <c r="X587" s="133"/>
      <c r="Y587" s="133"/>
      <c r="Z587" s="133"/>
    </row>
    <row r="588" spans="1:26" ht="12.75" customHeight="1" x14ac:dyDescent="0.3">
      <c r="A588" s="131"/>
      <c r="B588" s="131"/>
      <c r="C588" s="131"/>
      <c r="D588" s="131"/>
      <c r="E588" s="131"/>
      <c r="F588" s="132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3"/>
      <c r="S588" s="84">
        <f t="shared" si="65"/>
        <v>0</v>
      </c>
      <c r="T588" s="133"/>
      <c r="U588" s="133"/>
      <c r="V588" s="133"/>
      <c r="W588" s="133"/>
      <c r="X588" s="133"/>
      <c r="Y588" s="133"/>
      <c r="Z588" s="133"/>
    </row>
    <row r="589" spans="1:26" ht="12.75" customHeight="1" x14ac:dyDescent="0.3">
      <c r="A589" s="131"/>
      <c r="B589" s="131"/>
      <c r="C589" s="131"/>
      <c r="D589" s="131"/>
      <c r="E589" s="131"/>
      <c r="F589" s="132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3"/>
      <c r="S589" s="84">
        <f t="shared" si="65"/>
        <v>0</v>
      </c>
      <c r="T589" s="133"/>
      <c r="U589" s="133"/>
      <c r="V589" s="133"/>
      <c r="W589" s="133"/>
      <c r="X589" s="133"/>
      <c r="Y589" s="133"/>
      <c r="Z589" s="133"/>
    </row>
    <row r="590" spans="1:26" ht="12.75" customHeight="1" x14ac:dyDescent="0.3">
      <c r="A590" s="131"/>
      <c r="B590" s="131"/>
      <c r="C590" s="131"/>
      <c r="D590" s="131"/>
      <c r="E590" s="131"/>
      <c r="F590" s="132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3"/>
      <c r="S590" s="84">
        <f t="shared" si="65"/>
        <v>0</v>
      </c>
      <c r="T590" s="133"/>
      <c r="U590" s="133"/>
      <c r="V590" s="133"/>
      <c r="W590" s="133"/>
      <c r="X590" s="133"/>
      <c r="Y590" s="133"/>
      <c r="Z590" s="133"/>
    </row>
    <row r="591" spans="1:26" ht="12.75" customHeight="1" x14ac:dyDescent="0.3">
      <c r="A591" s="131"/>
      <c r="B591" s="131"/>
      <c r="C591" s="131"/>
      <c r="D591" s="131"/>
      <c r="E591" s="131"/>
      <c r="F591" s="132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3"/>
      <c r="S591" s="84">
        <f t="shared" si="65"/>
        <v>0</v>
      </c>
      <c r="T591" s="133"/>
      <c r="U591" s="133"/>
      <c r="V591" s="133"/>
      <c r="W591" s="133"/>
      <c r="X591" s="133"/>
      <c r="Y591" s="133"/>
      <c r="Z591" s="133"/>
    </row>
    <row r="592" spans="1:26" ht="12.75" customHeight="1" x14ac:dyDescent="0.3">
      <c r="A592" s="131"/>
      <c r="B592" s="131"/>
      <c r="C592" s="131"/>
      <c r="D592" s="131"/>
      <c r="E592" s="131"/>
      <c r="F592" s="132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3"/>
      <c r="S592" s="84">
        <f t="shared" si="65"/>
        <v>0</v>
      </c>
      <c r="T592" s="133"/>
      <c r="U592" s="133"/>
      <c r="V592" s="133"/>
      <c r="W592" s="133"/>
      <c r="X592" s="133"/>
      <c r="Y592" s="133"/>
      <c r="Z592" s="133"/>
    </row>
    <row r="593" spans="1:26" ht="12.75" customHeight="1" x14ac:dyDescent="0.3">
      <c r="A593" s="131"/>
      <c r="B593" s="131"/>
      <c r="C593" s="131"/>
      <c r="D593" s="131"/>
      <c r="E593" s="131"/>
      <c r="F593" s="132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3"/>
      <c r="S593" s="84">
        <f t="shared" si="65"/>
        <v>0</v>
      </c>
      <c r="T593" s="133"/>
      <c r="U593" s="133"/>
      <c r="V593" s="133"/>
      <c r="W593" s="133"/>
      <c r="X593" s="133"/>
      <c r="Y593" s="133"/>
      <c r="Z593" s="133"/>
    </row>
    <row r="594" spans="1:26" ht="12.75" customHeight="1" x14ac:dyDescent="0.3">
      <c r="A594" s="131"/>
      <c r="B594" s="131"/>
      <c r="C594" s="131"/>
      <c r="D594" s="131"/>
      <c r="E594" s="131"/>
      <c r="F594" s="132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3"/>
      <c r="S594" s="84">
        <f t="shared" si="65"/>
        <v>0</v>
      </c>
      <c r="T594" s="133"/>
      <c r="U594" s="133"/>
      <c r="V594" s="133"/>
      <c r="W594" s="133"/>
      <c r="X594" s="133"/>
      <c r="Y594" s="133"/>
      <c r="Z594" s="133"/>
    </row>
    <row r="595" spans="1:26" ht="12.75" customHeight="1" x14ac:dyDescent="0.3">
      <c r="A595" s="131"/>
      <c r="B595" s="131"/>
      <c r="C595" s="131"/>
      <c r="D595" s="131"/>
      <c r="E595" s="131"/>
      <c r="F595" s="132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3"/>
      <c r="S595" s="84">
        <f t="shared" si="65"/>
        <v>0</v>
      </c>
      <c r="T595" s="133"/>
      <c r="U595" s="133"/>
      <c r="V595" s="133"/>
      <c r="W595" s="133"/>
      <c r="X595" s="133"/>
      <c r="Y595" s="133"/>
      <c r="Z595" s="133"/>
    </row>
    <row r="596" spans="1:26" ht="12.75" customHeight="1" x14ac:dyDescent="0.3">
      <c r="A596" s="131"/>
      <c r="B596" s="131"/>
      <c r="C596" s="131"/>
      <c r="D596" s="131"/>
      <c r="E596" s="131"/>
      <c r="F596" s="132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3"/>
      <c r="S596" s="84">
        <f t="shared" si="65"/>
        <v>0</v>
      </c>
      <c r="T596" s="133"/>
      <c r="U596" s="133"/>
      <c r="V596" s="133"/>
      <c r="W596" s="133"/>
      <c r="X596" s="133"/>
      <c r="Y596" s="133"/>
      <c r="Z596" s="133"/>
    </row>
    <row r="597" spans="1:26" ht="12.75" customHeight="1" x14ac:dyDescent="0.3">
      <c r="A597" s="131"/>
      <c r="B597" s="131"/>
      <c r="C597" s="131"/>
      <c r="D597" s="131"/>
      <c r="E597" s="131"/>
      <c r="F597" s="132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3"/>
      <c r="S597" s="84">
        <f t="shared" si="65"/>
        <v>0</v>
      </c>
      <c r="T597" s="133"/>
      <c r="U597" s="133"/>
      <c r="V597" s="133"/>
      <c r="W597" s="133"/>
      <c r="X597" s="133"/>
      <c r="Y597" s="133"/>
      <c r="Z597" s="133"/>
    </row>
    <row r="598" spans="1:26" ht="12.75" customHeight="1" x14ac:dyDescent="0.3">
      <c r="A598" s="131"/>
      <c r="B598" s="131"/>
      <c r="C598" s="131"/>
      <c r="D598" s="131"/>
      <c r="E598" s="131"/>
      <c r="F598" s="132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3"/>
      <c r="S598" s="84">
        <f t="shared" si="65"/>
        <v>0</v>
      </c>
      <c r="T598" s="133"/>
      <c r="U598" s="133"/>
      <c r="V598" s="133"/>
      <c r="W598" s="133"/>
      <c r="X598" s="133"/>
      <c r="Y598" s="133"/>
      <c r="Z598" s="133"/>
    </row>
    <row r="599" spans="1:26" ht="12.75" customHeight="1" x14ac:dyDescent="0.3">
      <c r="A599" s="131"/>
      <c r="B599" s="131"/>
      <c r="C599" s="131"/>
      <c r="D599" s="131"/>
      <c r="E599" s="131"/>
      <c r="F599" s="132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3"/>
      <c r="S599" s="84">
        <f t="shared" si="65"/>
        <v>0</v>
      </c>
      <c r="T599" s="133"/>
      <c r="U599" s="133"/>
      <c r="V599" s="133"/>
      <c r="W599" s="133"/>
      <c r="X599" s="133"/>
      <c r="Y599" s="133"/>
      <c r="Z599" s="133"/>
    </row>
    <row r="600" spans="1:26" ht="12.75" customHeight="1" x14ac:dyDescent="0.3">
      <c r="A600" s="131"/>
      <c r="B600" s="131"/>
      <c r="C600" s="131"/>
      <c r="D600" s="131"/>
      <c r="E600" s="131"/>
      <c r="F600" s="132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3"/>
      <c r="S600" s="84">
        <f t="shared" si="65"/>
        <v>0</v>
      </c>
      <c r="T600" s="133"/>
      <c r="U600" s="133"/>
      <c r="V600" s="133"/>
      <c r="W600" s="133"/>
      <c r="X600" s="133"/>
      <c r="Y600" s="133"/>
      <c r="Z600" s="133"/>
    </row>
    <row r="601" spans="1:26" ht="12.75" customHeight="1" x14ac:dyDescent="0.3">
      <c r="A601" s="131"/>
      <c r="B601" s="131"/>
      <c r="C601" s="131"/>
      <c r="D601" s="131"/>
      <c r="E601" s="131"/>
      <c r="F601" s="132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3"/>
      <c r="S601" s="84">
        <f t="shared" si="65"/>
        <v>0</v>
      </c>
      <c r="T601" s="133"/>
      <c r="U601" s="133"/>
      <c r="V601" s="133"/>
      <c r="W601" s="133"/>
      <c r="X601" s="133"/>
      <c r="Y601" s="133"/>
      <c r="Z601" s="133"/>
    </row>
    <row r="602" spans="1:26" ht="12.75" customHeight="1" x14ac:dyDescent="0.3">
      <c r="A602" s="131"/>
      <c r="B602" s="131"/>
      <c r="C602" s="131"/>
      <c r="D602" s="131"/>
      <c r="E602" s="131"/>
      <c r="F602" s="132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3"/>
      <c r="S602" s="84">
        <f t="shared" si="65"/>
        <v>0</v>
      </c>
      <c r="T602" s="133"/>
      <c r="U602" s="133"/>
      <c r="V602" s="133"/>
      <c r="W602" s="133"/>
      <c r="X602" s="133"/>
      <c r="Y602" s="133"/>
      <c r="Z602" s="133"/>
    </row>
    <row r="603" spans="1:26" ht="12.75" customHeight="1" x14ac:dyDescent="0.3">
      <c r="A603" s="131"/>
      <c r="B603" s="131"/>
      <c r="C603" s="131"/>
      <c r="D603" s="131"/>
      <c r="E603" s="131"/>
      <c r="F603" s="132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3"/>
      <c r="S603" s="84">
        <f t="shared" si="65"/>
        <v>0</v>
      </c>
      <c r="T603" s="133"/>
      <c r="U603" s="133"/>
      <c r="V603" s="133"/>
      <c r="W603" s="133"/>
      <c r="X603" s="133"/>
      <c r="Y603" s="133"/>
      <c r="Z603" s="133"/>
    </row>
    <row r="604" spans="1:26" ht="12.75" customHeight="1" x14ac:dyDescent="0.3">
      <c r="A604" s="131"/>
      <c r="B604" s="131"/>
      <c r="C604" s="131"/>
      <c r="D604" s="131"/>
      <c r="E604" s="131"/>
      <c r="F604" s="132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3"/>
      <c r="S604" s="84">
        <f t="shared" si="65"/>
        <v>0</v>
      </c>
      <c r="T604" s="133"/>
      <c r="U604" s="133"/>
      <c r="V604" s="133"/>
      <c r="W604" s="133"/>
      <c r="X604" s="133"/>
      <c r="Y604" s="133"/>
      <c r="Z604" s="133"/>
    </row>
    <row r="605" spans="1:26" ht="12.75" customHeight="1" x14ac:dyDescent="0.3">
      <c r="A605" s="131"/>
      <c r="B605" s="131"/>
      <c r="C605" s="131"/>
      <c r="D605" s="131"/>
      <c r="E605" s="131"/>
      <c r="F605" s="132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3"/>
      <c r="S605" s="84">
        <f t="shared" si="65"/>
        <v>0</v>
      </c>
      <c r="T605" s="133"/>
      <c r="U605" s="133"/>
      <c r="V605" s="133"/>
      <c r="W605" s="133"/>
      <c r="X605" s="133"/>
      <c r="Y605" s="133"/>
      <c r="Z605" s="133"/>
    </row>
    <row r="606" spans="1:26" ht="12.75" customHeight="1" x14ac:dyDescent="0.3">
      <c r="A606" s="131"/>
      <c r="B606" s="131"/>
      <c r="C606" s="131"/>
      <c r="D606" s="131"/>
      <c r="E606" s="131"/>
      <c r="F606" s="132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3"/>
      <c r="S606" s="84">
        <f t="shared" si="65"/>
        <v>0</v>
      </c>
      <c r="T606" s="133"/>
      <c r="U606" s="133"/>
      <c r="V606" s="133"/>
      <c r="W606" s="133"/>
      <c r="X606" s="133"/>
      <c r="Y606" s="133"/>
      <c r="Z606" s="133"/>
    </row>
    <row r="607" spans="1:26" ht="12.75" customHeight="1" x14ac:dyDescent="0.3">
      <c r="A607" s="131"/>
      <c r="B607" s="131"/>
      <c r="C607" s="131"/>
      <c r="D607" s="131"/>
      <c r="E607" s="131"/>
      <c r="F607" s="132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3"/>
      <c r="S607" s="84">
        <f t="shared" si="65"/>
        <v>0</v>
      </c>
      <c r="T607" s="133"/>
      <c r="U607" s="133"/>
      <c r="V607" s="133"/>
      <c r="W607" s="133"/>
      <c r="X607" s="133"/>
      <c r="Y607" s="133"/>
      <c r="Z607" s="133"/>
    </row>
    <row r="608" spans="1:26" ht="12.75" customHeight="1" x14ac:dyDescent="0.3">
      <c r="A608" s="131"/>
      <c r="B608" s="131"/>
      <c r="C608" s="131"/>
      <c r="D608" s="131"/>
      <c r="E608" s="131"/>
      <c r="F608" s="132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3"/>
      <c r="S608" s="84">
        <f t="shared" si="65"/>
        <v>0</v>
      </c>
      <c r="T608" s="133"/>
      <c r="U608" s="133"/>
      <c r="V608" s="133"/>
      <c r="W608" s="133"/>
      <c r="X608" s="133"/>
      <c r="Y608" s="133"/>
      <c r="Z608" s="133"/>
    </row>
    <row r="609" spans="1:26" ht="12.75" customHeight="1" x14ac:dyDescent="0.3">
      <c r="A609" s="131"/>
      <c r="B609" s="131"/>
      <c r="C609" s="131"/>
      <c r="D609" s="131"/>
      <c r="E609" s="131"/>
      <c r="F609" s="132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3"/>
      <c r="S609" s="84">
        <f t="shared" si="65"/>
        <v>0</v>
      </c>
      <c r="T609" s="133"/>
      <c r="U609" s="133"/>
      <c r="V609" s="133"/>
      <c r="W609" s="133"/>
      <c r="X609" s="133"/>
      <c r="Y609" s="133"/>
      <c r="Z609" s="133"/>
    </row>
    <row r="610" spans="1:26" ht="12.75" customHeight="1" x14ac:dyDescent="0.3">
      <c r="A610" s="131"/>
      <c r="B610" s="131"/>
      <c r="C610" s="131"/>
      <c r="D610" s="131"/>
      <c r="E610" s="131"/>
      <c r="F610" s="132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3"/>
      <c r="S610" s="84">
        <f t="shared" si="65"/>
        <v>0</v>
      </c>
      <c r="T610" s="133"/>
      <c r="U610" s="133"/>
      <c r="V610" s="133"/>
      <c r="W610" s="133"/>
      <c r="X610" s="133"/>
      <c r="Y610" s="133"/>
      <c r="Z610" s="133"/>
    </row>
    <row r="611" spans="1:26" ht="12.75" customHeight="1" x14ac:dyDescent="0.3">
      <c r="A611" s="131"/>
      <c r="B611" s="131"/>
      <c r="C611" s="131"/>
      <c r="D611" s="131"/>
      <c r="E611" s="131"/>
      <c r="F611" s="132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3"/>
      <c r="S611" s="84">
        <f t="shared" si="65"/>
        <v>0</v>
      </c>
      <c r="T611" s="133"/>
      <c r="U611" s="133"/>
      <c r="V611" s="133"/>
      <c r="W611" s="133"/>
      <c r="X611" s="133"/>
      <c r="Y611" s="133"/>
      <c r="Z611" s="133"/>
    </row>
    <row r="612" spans="1:26" ht="12.75" customHeight="1" x14ac:dyDescent="0.3">
      <c r="A612" s="131"/>
      <c r="B612" s="131"/>
      <c r="C612" s="131"/>
      <c r="D612" s="131"/>
      <c r="E612" s="131"/>
      <c r="F612" s="132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3"/>
      <c r="S612" s="84">
        <f t="shared" si="65"/>
        <v>0</v>
      </c>
      <c r="T612" s="133"/>
      <c r="U612" s="133"/>
      <c r="V612" s="133"/>
      <c r="W612" s="133"/>
      <c r="X612" s="133"/>
      <c r="Y612" s="133"/>
      <c r="Z612" s="133"/>
    </row>
    <row r="613" spans="1:26" ht="12.75" customHeight="1" x14ac:dyDescent="0.3">
      <c r="A613" s="131"/>
      <c r="B613" s="131"/>
      <c r="C613" s="131"/>
      <c r="D613" s="131"/>
      <c r="E613" s="131"/>
      <c r="F613" s="132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3"/>
      <c r="S613" s="84">
        <f t="shared" si="65"/>
        <v>0</v>
      </c>
      <c r="T613" s="133"/>
      <c r="U613" s="133"/>
      <c r="V613" s="133"/>
      <c r="W613" s="133"/>
      <c r="X613" s="133"/>
      <c r="Y613" s="133"/>
      <c r="Z613" s="133"/>
    </row>
    <row r="614" spans="1:26" ht="12.75" customHeight="1" x14ac:dyDescent="0.3">
      <c r="A614" s="131"/>
      <c r="B614" s="131"/>
      <c r="C614" s="131"/>
      <c r="D614" s="131"/>
      <c r="E614" s="131"/>
      <c r="F614" s="132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3"/>
      <c r="S614" s="84">
        <f t="shared" si="65"/>
        <v>0</v>
      </c>
      <c r="T614" s="133"/>
      <c r="U614" s="133"/>
      <c r="V614" s="133"/>
      <c r="W614" s="133"/>
      <c r="X614" s="133"/>
      <c r="Y614" s="133"/>
      <c r="Z614" s="133"/>
    </row>
    <row r="615" spans="1:26" ht="12.75" customHeight="1" x14ac:dyDescent="0.3">
      <c r="A615" s="131"/>
      <c r="B615" s="131"/>
      <c r="C615" s="131"/>
      <c r="D615" s="131"/>
      <c r="E615" s="131"/>
      <c r="F615" s="132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3"/>
      <c r="S615" s="84">
        <f t="shared" si="65"/>
        <v>0</v>
      </c>
      <c r="T615" s="133"/>
      <c r="U615" s="133"/>
      <c r="V615" s="133"/>
      <c r="W615" s="133"/>
      <c r="X615" s="133"/>
      <c r="Y615" s="133"/>
      <c r="Z615" s="133"/>
    </row>
    <row r="616" spans="1:26" ht="12.75" customHeight="1" x14ac:dyDescent="0.3">
      <c r="A616" s="131"/>
      <c r="B616" s="131"/>
      <c r="C616" s="131"/>
      <c r="D616" s="131"/>
      <c r="E616" s="131"/>
      <c r="F616" s="132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3"/>
      <c r="S616" s="84">
        <f t="shared" si="65"/>
        <v>0</v>
      </c>
      <c r="T616" s="133"/>
      <c r="U616" s="133"/>
      <c r="V616" s="133"/>
      <c r="W616" s="133"/>
      <c r="X616" s="133"/>
      <c r="Y616" s="133"/>
      <c r="Z616" s="133"/>
    </row>
    <row r="617" spans="1:26" ht="12.75" customHeight="1" x14ac:dyDescent="0.3">
      <c r="A617" s="131"/>
      <c r="B617" s="131"/>
      <c r="C617" s="131"/>
      <c r="D617" s="131"/>
      <c r="E617" s="131"/>
      <c r="F617" s="132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3"/>
      <c r="S617" s="84">
        <f t="shared" si="65"/>
        <v>0</v>
      </c>
      <c r="T617" s="133"/>
      <c r="U617" s="133"/>
      <c r="V617" s="133"/>
      <c r="W617" s="133"/>
      <c r="X617" s="133"/>
      <c r="Y617" s="133"/>
      <c r="Z617" s="133"/>
    </row>
    <row r="618" spans="1:26" ht="12.75" customHeight="1" x14ac:dyDescent="0.3">
      <c r="A618" s="131"/>
      <c r="B618" s="131"/>
      <c r="C618" s="131"/>
      <c r="D618" s="131"/>
      <c r="E618" s="131"/>
      <c r="F618" s="132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3"/>
      <c r="S618" s="84">
        <f t="shared" si="65"/>
        <v>0</v>
      </c>
      <c r="T618" s="133"/>
      <c r="U618" s="133"/>
      <c r="V618" s="133"/>
      <c r="W618" s="133"/>
      <c r="X618" s="133"/>
      <c r="Y618" s="133"/>
      <c r="Z618" s="133"/>
    </row>
    <row r="619" spans="1:26" ht="12.75" customHeight="1" x14ac:dyDescent="0.3">
      <c r="A619" s="131"/>
      <c r="B619" s="131"/>
      <c r="C619" s="131"/>
      <c r="D619" s="131"/>
      <c r="E619" s="131"/>
      <c r="F619" s="132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3"/>
      <c r="S619" s="84">
        <f t="shared" si="65"/>
        <v>0</v>
      </c>
      <c r="T619" s="133"/>
      <c r="U619" s="133"/>
      <c r="V619" s="133"/>
      <c r="W619" s="133"/>
      <c r="X619" s="133"/>
      <c r="Y619" s="133"/>
      <c r="Z619" s="133"/>
    </row>
    <row r="620" spans="1:26" ht="12.75" customHeight="1" x14ac:dyDescent="0.3">
      <c r="A620" s="131"/>
      <c r="B620" s="131"/>
      <c r="C620" s="131"/>
      <c r="D620" s="131"/>
      <c r="E620" s="131"/>
      <c r="F620" s="132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3"/>
      <c r="S620" s="84">
        <f t="shared" si="65"/>
        <v>0</v>
      </c>
      <c r="T620" s="133"/>
      <c r="U620" s="133"/>
      <c r="V620" s="133"/>
      <c r="W620" s="133"/>
      <c r="X620" s="133"/>
      <c r="Y620" s="133"/>
      <c r="Z620" s="133"/>
    </row>
    <row r="621" spans="1:26" ht="12.75" customHeight="1" x14ac:dyDescent="0.3">
      <c r="A621" s="131"/>
      <c r="B621" s="131"/>
      <c r="C621" s="131"/>
      <c r="D621" s="131"/>
      <c r="E621" s="131"/>
      <c r="F621" s="132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3"/>
      <c r="S621" s="84">
        <f t="shared" si="65"/>
        <v>0</v>
      </c>
      <c r="T621" s="133"/>
      <c r="U621" s="133"/>
      <c r="V621" s="133"/>
      <c r="W621" s="133"/>
      <c r="X621" s="133"/>
      <c r="Y621" s="133"/>
      <c r="Z621" s="133"/>
    </row>
    <row r="622" spans="1:26" ht="12.75" customHeight="1" x14ac:dyDescent="0.3">
      <c r="A622" s="131"/>
      <c r="B622" s="131"/>
      <c r="C622" s="131"/>
      <c r="D622" s="131"/>
      <c r="E622" s="131"/>
      <c r="F622" s="132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3"/>
      <c r="S622" s="84">
        <f t="shared" si="65"/>
        <v>0</v>
      </c>
      <c r="T622" s="133"/>
      <c r="U622" s="133"/>
      <c r="V622" s="133"/>
      <c r="W622" s="133"/>
      <c r="X622" s="133"/>
      <c r="Y622" s="133"/>
      <c r="Z622" s="133"/>
    </row>
    <row r="623" spans="1:26" ht="12.75" customHeight="1" x14ac:dyDescent="0.3">
      <c r="A623" s="131"/>
      <c r="B623" s="131"/>
      <c r="C623" s="131"/>
      <c r="D623" s="131"/>
      <c r="E623" s="131"/>
      <c r="F623" s="132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3"/>
      <c r="S623" s="84">
        <f t="shared" si="65"/>
        <v>0</v>
      </c>
      <c r="T623" s="133"/>
      <c r="U623" s="133"/>
      <c r="V623" s="133"/>
      <c r="W623" s="133"/>
      <c r="X623" s="133"/>
      <c r="Y623" s="133"/>
      <c r="Z623" s="133"/>
    </row>
    <row r="624" spans="1:26" ht="12.75" customHeight="1" x14ac:dyDescent="0.3">
      <c r="A624" s="131"/>
      <c r="B624" s="131"/>
      <c r="C624" s="131"/>
      <c r="D624" s="131"/>
      <c r="E624" s="131"/>
      <c r="F624" s="132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3"/>
      <c r="S624" s="84">
        <f t="shared" si="65"/>
        <v>0</v>
      </c>
      <c r="T624" s="133"/>
      <c r="U624" s="133"/>
      <c r="V624" s="133"/>
      <c r="W624" s="133"/>
      <c r="X624" s="133"/>
      <c r="Y624" s="133"/>
      <c r="Z624" s="133"/>
    </row>
    <row r="625" spans="1:26" ht="12.75" customHeight="1" x14ac:dyDescent="0.3">
      <c r="A625" s="131"/>
      <c r="B625" s="131"/>
      <c r="C625" s="131"/>
      <c r="D625" s="131"/>
      <c r="E625" s="131"/>
      <c r="F625" s="132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3"/>
      <c r="S625" s="84">
        <f t="shared" si="65"/>
        <v>0</v>
      </c>
      <c r="T625" s="133"/>
      <c r="U625" s="133"/>
      <c r="V625" s="133"/>
      <c r="W625" s="133"/>
      <c r="X625" s="133"/>
      <c r="Y625" s="133"/>
      <c r="Z625" s="133"/>
    </row>
    <row r="626" spans="1:26" ht="12.75" customHeight="1" x14ac:dyDescent="0.3">
      <c r="A626" s="131"/>
      <c r="B626" s="131"/>
      <c r="C626" s="131"/>
      <c r="D626" s="131"/>
      <c r="E626" s="131"/>
      <c r="F626" s="132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3"/>
      <c r="S626" s="84">
        <f t="shared" si="65"/>
        <v>0</v>
      </c>
      <c r="T626" s="133"/>
      <c r="U626" s="133"/>
      <c r="V626" s="133"/>
      <c r="W626" s="133"/>
      <c r="X626" s="133"/>
      <c r="Y626" s="133"/>
      <c r="Z626" s="133"/>
    </row>
    <row r="627" spans="1:26" ht="12.75" customHeight="1" x14ac:dyDescent="0.3">
      <c r="A627" s="131"/>
      <c r="B627" s="131"/>
      <c r="C627" s="131"/>
      <c r="D627" s="131"/>
      <c r="E627" s="131"/>
      <c r="F627" s="132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3"/>
      <c r="S627" s="84">
        <f t="shared" si="65"/>
        <v>0</v>
      </c>
      <c r="T627" s="133"/>
      <c r="U627" s="133"/>
      <c r="V627" s="133"/>
      <c r="W627" s="133"/>
      <c r="X627" s="133"/>
      <c r="Y627" s="133"/>
      <c r="Z627" s="133"/>
    </row>
    <row r="628" spans="1:26" ht="12.75" customHeight="1" x14ac:dyDescent="0.3">
      <c r="A628" s="131"/>
      <c r="B628" s="131"/>
      <c r="C628" s="131"/>
      <c r="D628" s="131"/>
      <c r="E628" s="131"/>
      <c r="F628" s="132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3"/>
      <c r="S628" s="84">
        <f t="shared" si="65"/>
        <v>0</v>
      </c>
      <c r="T628" s="133"/>
      <c r="U628" s="133"/>
      <c r="V628" s="133"/>
      <c r="W628" s="133"/>
      <c r="X628" s="133"/>
      <c r="Y628" s="133"/>
      <c r="Z628" s="133"/>
    </row>
    <row r="629" spans="1:26" ht="12.75" customHeight="1" x14ac:dyDescent="0.3">
      <c r="A629" s="131"/>
      <c r="B629" s="131"/>
      <c r="C629" s="131"/>
      <c r="D629" s="131"/>
      <c r="E629" s="131"/>
      <c r="F629" s="132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3"/>
      <c r="S629" s="84">
        <f t="shared" si="65"/>
        <v>0</v>
      </c>
      <c r="T629" s="133"/>
      <c r="U629" s="133"/>
      <c r="V629" s="133"/>
      <c r="W629" s="133"/>
      <c r="X629" s="133"/>
      <c r="Y629" s="133"/>
      <c r="Z629" s="133"/>
    </row>
    <row r="630" spans="1:26" ht="12.75" customHeight="1" x14ac:dyDescent="0.3">
      <c r="A630" s="131"/>
      <c r="B630" s="131"/>
      <c r="C630" s="131"/>
      <c r="D630" s="131"/>
      <c r="E630" s="131"/>
      <c r="F630" s="132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3"/>
      <c r="S630" s="84">
        <f t="shared" si="65"/>
        <v>0</v>
      </c>
      <c r="T630" s="133"/>
      <c r="U630" s="133"/>
      <c r="V630" s="133"/>
      <c r="W630" s="133"/>
      <c r="X630" s="133"/>
      <c r="Y630" s="133"/>
      <c r="Z630" s="133"/>
    </row>
    <row r="631" spans="1:26" ht="12.75" customHeight="1" x14ac:dyDescent="0.3">
      <c r="A631" s="131"/>
      <c r="B631" s="131"/>
      <c r="C631" s="131"/>
      <c r="D631" s="131"/>
      <c r="E631" s="131"/>
      <c r="F631" s="132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3"/>
      <c r="S631" s="84">
        <f t="shared" si="65"/>
        <v>0</v>
      </c>
      <c r="T631" s="133"/>
      <c r="U631" s="133"/>
      <c r="V631" s="133"/>
      <c r="W631" s="133"/>
      <c r="X631" s="133"/>
      <c r="Y631" s="133"/>
      <c r="Z631" s="133"/>
    </row>
    <row r="632" spans="1:26" ht="12.75" customHeight="1" x14ac:dyDescent="0.3">
      <c r="A632" s="131"/>
      <c r="B632" s="131"/>
      <c r="C632" s="131"/>
      <c r="D632" s="131"/>
      <c r="E632" s="131"/>
      <c r="F632" s="132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3"/>
      <c r="S632" s="84">
        <f t="shared" si="65"/>
        <v>0</v>
      </c>
      <c r="T632" s="133"/>
      <c r="U632" s="133"/>
      <c r="V632" s="133"/>
      <c r="W632" s="133"/>
      <c r="X632" s="133"/>
      <c r="Y632" s="133"/>
      <c r="Z632" s="133"/>
    </row>
    <row r="633" spans="1:26" ht="12.75" customHeight="1" x14ac:dyDescent="0.3">
      <c r="A633" s="131"/>
      <c r="B633" s="131"/>
      <c r="C633" s="131"/>
      <c r="D633" s="131"/>
      <c r="E633" s="131"/>
      <c r="F633" s="132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3"/>
      <c r="S633" s="84">
        <f t="shared" si="65"/>
        <v>0</v>
      </c>
      <c r="T633" s="133"/>
      <c r="U633" s="133"/>
      <c r="V633" s="133"/>
      <c r="W633" s="133"/>
      <c r="X633" s="133"/>
      <c r="Y633" s="133"/>
      <c r="Z633" s="133"/>
    </row>
    <row r="634" spans="1:26" ht="12.75" customHeight="1" x14ac:dyDescent="0.3">
      <c r="A634" s="131"/>
      <c r="B634" s="131"/>
      <c r="C634" s="131"/>
      <c r="D634" s="131"/>
      <c r="E634" s="131"/>
      <c r="F634" s="132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3"/>
      <c r="S634" s="84">
        <f t="shared" si="65"/>
        <v>0</v>
      </c>
      <c r="T634" s="133"/>
      <c r="U634" s="133"/>
      <c r="V634" s="133"/>
      <c r="W634" s="133"/>
      <c r="X634" s="133"/>
      <c r="Y634" s="133"/>
      <c r="Z634" s="133"/>
    </row>
    <row r="635" spans="1:26" ht="12.75" customHeight="1" x14ac:dyDescent="0.3">
      <c r="A635" s="131"/>
      <c r="B635" s="131"/>
      <c r="C635" s="131"/>
      <c r="D635" s="131"/>
      <c r="E635" s="131"/>
      <c r="F635" s="132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3"/>
      <c r="S635" s="84">
        <f t="shared" si="65"/>
        <v>0</v>
      </c>
      <c r="T635" s="133"/>
      <c r="U635" s="133"/>
      <c r="V635" s="133"/>
      <c r="W635" s="133"/>
      <c r="X635" s="133"/>
      <c r="Y635" s="133"/>
      <c r="Z635" s="133"/>
    </row>
    <row r="636" spans="1:26" ht="12.75" customHeight="1" x14ac:dyDescent="0.3">
      <c r="A636" s="131"/>
      <c r="B636" s="131"/>
      <c r="C636" s="131"/>
      <c r="D636" s="131"/>
      <c r="E636" s="131"/>
      <c r="F636" s="132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3"/>
      <c r="S636" s="84">
        <f t="shared" si="65"/>
        <v>0</v>
      </c>
      <c r="T636" s="133"/>
      <c r="U636" s="133"/>
      <c r="V636" s="133"/>
      <c r="W636" s="133"/>
      <c r="X636" s="133"/>
      <c r="Y636" s="133"/>
      <c r="Z636" s="133"/>
    </row>
    <row r="637" spans="1:26" ht="12.75" customHeight="1" x14ac:dyDescent="0.3">
      <c r="A637" s="131"/>
      <c r="B637" s="131"/>
      <c r="C637" s="131"/>
      <c r="D637" s="131"/>
      <c r="E637" s="131"/>
      <c r="F637" s="132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3"/>
      <c r="S637" s="84">
        <f t="shared" si="65"/>
        <v>0</v>
      </c>
      <c r="T637" s="133"/>
      <c r="U637" s="133"/>
      <c r="V637" s="133"/>
      <c r="W637" s="133"/>
      <c r="X637" s="133"/>
      <c r="Y637" s="133"/>
      <c r="Z637" s="133"/>
    </row>
    <row r="638" spans="1:26" ht="12.75" customHeight="1" x14ac:dyDescent="0.3">
      <c r="A638" s="131"/>
      <c r="B638" s="131"/>
      <c r="C638" s="131"/>
      <c r="D638" s="131"/>
      <c r="E638" s="131"/>
      <c r="F638" s="132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3"/>
      <c r="S638" s="84">
        <f t="shared" si="65"/>
        <v>0</v>
      </c>
      <c r="T638" s="133"/>
      <c r="U638" s="133"/>
      <c r="V638" s="133"/>
      <c r="W638" s="133"/>
      <c r="X638" s="133"/>
      <c r="Y638" s="133"/>
      <c r="Z638" s="133"/>
    </row>
    <row r="639" spans="1:26" ht="12.75" customHeight="1" x14ac:dyDescent="0.3">
      <c r="A639" s="131"/>
      <c r="B639" s="131"/>
      <c r="C639" s="131"/>
      <c r="D639" s="131"/>
      <c r="E639" s="131"/>
      <c r="F639" s="132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3"/>
      <c r="S639" s="84">
        <f t="shared" si="65"/>
        <v>0</v>
      </c>
      <c r="T639" s="133"/>
      <c r="U639" s="133"/>
      <c r="V639" s="133"/>
      <c r="W639" s="133"/>
      <c r="X639" s="133"/>
      <c r="Y639" s="133"/>
      <c r="Z639" s="133"/>
    </row>
    <row r="640" spans="1:26" ht="12.75" customHeight="1" x14ac:dyDescent="0.3">
      <c r="A640" s="131"/>
      <c r="B640" s="131"/>
      <c r="C640" s="131"/>
      <c r="D640" s="131"/>
      <c r="E640" s="131"/>
      <c r="F640" s="132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3"/>
      <c r="S640" s="84">
        <f t="shared" si="65"/>
        <v>0</v>
      </c>
      <c r="T640" s="133"/>
      <c r="U640" s="133"/>
      <c r="V640" s="133"/>
      <c r="W640" s="133"/>
      <c r="X640" s="133"/>
      <c r="Y640" s="133"/>
      <c r="Z640" s="133"/>
    </row>
    <row r="641" spans="1:26" ht="12.75" customHeight="1" x14ac:dyDescent="0.3">
      <c r="A641" s="131"/>
      <c r="B641" s="131"/>
      <c r="C641" s="131"/>
      <c r="D641" s="131"/>
      <c r="E641" s="131"/>
      <c r="F641" s="132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3"/>
      <c r="S641" s="84">
        <f t="shared" si="65"/>
        <v>0</v>
      </c>
      <c r="T641" s="133"/>
      <c r="U641" s="133"/>
      <c r="V641" s="133"/>
      <c r="W641" s="133"/>
      <c r="X641" s="133"/>
      <c r="Y641" s="133"/>
      <c r="Z641" s="133"/>
    </row>
    <row r="642" spans="1:26" ht="12.75" customHeight="1" x14ac:dyDescent="0.3">
      <c r="A642" s="131"/>
      <c r="B642" s="131"/>
      <c r="C642" s="131"/>
      <c r="D642" s="131"/>
      <c r="E642" s="131"/>
      <c r="F642" s="132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3"/>
      <c r="S642" s="84">
        <f t="shared" si="65"/>
        <v>0</v>
      </c>
      <c r="T642" s="133"/>
      <c r="U642" s="133"/>
      <c r="V642" s="133"/>
      <c r="W642" s="133"/>
      <c r="X642" s="133"/>
      <c r="Y642" s="133"/>
      <c r="Z642" s="133"/>
    </row>
    <row r="643" spans="1:26" ht="12.75" customHeight="1" x14ac:dyDescent="0.3">
      <c r="A643" s="131"/>
      <c r="B643" s="131"/>
      <c r="C643" s="131"/>
      <c r="D643" s="131"/>
      <c r="E643" s="131"/>
      <c r="F643" s="132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3"/>
      <c r="S643" s="84">
        <f t="shared" si="65"/>
        <v>0</v>
      </c>
      <c r="T643" s="133"/>
      <c r="U643" s="133"/>
      <c r="V643" s="133"/>
      <c r="W643" s="133"/>
      <c r="X643" s="133"/>
      <c r="Y643" s="133"/>
      <c r="Z643" s="133"/>
    </row>
    <row r="644" spans="1:26" ht="12.75" customHeight="1" x14ac:dyDescent="0.3">
      <c r="A644" s="131"/>
      <c r="B644" s="131"/>
      <c r="C644" s="131"/>
      <c r="D644" s="131"/>
      <c r="E644" s="131"/>
      <c r="F644" s="132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3"/>
      <c r="S644" s="84">
        <f t="shared" si="65"/>
        <v>0</v>
      </c>
      <c r="T644" s="133"/>
      <c r="U644" s="133"/>
      <c r="V644" s="133"/>
      <c r="W644" s="133"/>
      <c r="X644" s="133"/>
      <c r="Y644" s="133"/>
      <c r="Z644" s="133"/>
    </row>
    <row r="645" spans="1:26" ht="12.75" customHeight="1" x14ac:dyDescent="0.3">
      <c r="A645" s="131"/>
      <c r="B645" s="131"/>
      <c r="C645" s="131"/>
      <c r="D645" s="131"/>
      <c r="E645" s="131"/>
      <c r="F645" s="132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3"/>
      <c r="S645" s="84">
        <f t="shared" si="65"/>
        <v>0</v>
      </c>
      <c r="T645" s="133"/>
      <c r="U645" s="133"/>
      <c r="V645" s="133"/>
      <c r="W645" s="133"/>
      <c r="X645" s="133"/>
      <c r="Y645" s="133"/>
      <c r="Z645" s="133"/>
    </row>
    <row r="646" spans="1:26" ht="12.75" customHeight="1" x14ac:dyDescent="0.3">
      <c r="A646" s="131"/>
      <c r="B646" s="131"/>
      <c r="C646" s="131"/>
      <c r="D646" s="131"/>
      <c r="E646" s="131"/>
      <c r="F646" s="132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3"/>
      <c r="S646" s="84">
        <f t="shared" si="65"/>
        <v>0</v>
      </c>
      <c r="T646" s="133"/>
      <c r="U646" s="133"/>
      <c r="V646" s="133"/>
      <c r="W646" s="133"/>
      <c r="X646" s="133"/>
      <c r="Y646" s="133"/>
      <c r="Z646" s="133"/>
    </row>
    <row r="647" spans="1:26" ht="12.75" customHeight="1" x14ac:dyDescent="0.3">
      <c r="A647" s="131"/>
      <c r="B647" s="131"/>
      <c r="C647" s="131"/>
      <c r="D647" s="131"/>
      <c r="E647" s="131"/>
      <c r="F647" s="132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3"/>
      <c r="S647" s="84">
        <f t="shared" si="65"/>
        <v>0</v>
      </c>
      <c r="T647" s="133"/>
      <c r="U647" s="133"/>
      <c r="V647" s="133"/>
      <c r="W647" s="133"/>
      <c r="X647" s="133"/>
      <c r="Y647" s="133"/>
      <c r="Z647" s="133"/>
    </row>
    <row r="648" spans="1:26" ht="12.75" customHeight="1" x14ac:dyDescent="0.3">
      <c r="A648" s="131"/>
      <c r="B648" s="131"/>
      <c r="C648" s="131"/>
      <c r="D648" s="131"/>
      <c r="E648" s="131"/>
      <c r="F648" s="132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3"/>
      <c r="S648" s="84">
        <f t="shared" si="65"/>
        <v>0</v>
      </c>
      <c r="T648" s="133"/>
      <c r="U648" s="133"/>
      <c r="V648" s="133"/>
      <c r="W648" s="133"/>
      <c r="X648" s="133"/>
      <c r="Y648" s="133"/>
      <c r="Z648" s="133"/>
    </row>
    <row r="649" spans="1:26" ht="12.75" customHeight="1" x14ac:dyDescent="0.3">
      <c r="A649" s="131"/>
      <c r="B649" s="131"/>
      <c r="C649" s="131"/>
      <c r="D649" s="131"/>
      <c r="E649" s="131"/>
      <c r="F649" s="132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3"/>
      <c r="S649" s="84">
        <f t="shared" si="65"/>
        <v>0</v>
      </c>
      <c r="T649" s="133"/>
      <c r="U649" s="133"/>
      <c r="V649" s="133"/>
      <c r="W649" s="133"/>
      <c r="X649" s="133"/>
      <c r="Y649" s="133"/>
      <c r="Z649" s="133"/>
    </row>
    <row r="650" spans="1:26" ht="12.75" customHeight="1" x14ac:dyDescent="0.3">
      <c r="A650" s="131"/>
      <c r="B650" s="131"/>
      <c r="C650" s="131"/>
      <c r="D650" s="131"/>
      <c r="E650" s="131"/>
      <c r="F650" s="132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3"/>
      <c r="S650" s="84">
        <f t="shared" si="65"/>
        <v>0</v>
      </c>
      <c r="T650" s="133"/>
      <c r="U650" s="133"/>
      <c r="V650" s="133"/>
      <c r="W650" s="133"/>
      <c r="X650" s="133"/>
      <c r="Y650" s="133"/>
      <c r="Z650" s="133"/>
    </row>
    <row r="651" spans="1:26" ht="12.75" customHeight="1" x14ac:dyDescent="0.3">
      <c r="A651" s="131"/>
      <c r="B651" s="131"/>
      <c r="C651" s="131"/>
      <c r="D651" s="131"/>
      <c r="E651" s="131"/>
      <c r="F651" s="132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3"/>
      <c r="S651" s="84">
        <f t="shared" si="65"/>
        <v>0</v>
      </c>
      <c r="T651" s="133"/>
      <c r="U651" s="133"/>
      <c r="V651" s="133"/>
      <c r="W651" s="133"/>
      <c r="X651" s="133"/>
      <c r="Y651" s="133"/>
      <c r="Z651" s="133"/>
    </row>
    <row r="652" spans="1:26" ht="12.75" customHeight="1" x14ac:dyDescent="0.3">
      <c r="A652" s="131"/>
      <c r="B652" s="131"/>
      <c r="C652" s="131"/>
      <c r="D652" s="131"/>
      <c r="E652" s="131"/>
      <c r="F652" s="132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3"/>
      <c r="S652" s="84">
        <f t="shared" si="65"/>
        <v>0</v>
      </c>
      <c r="T652" s="133"/>
      <c r="U652" s="133"/>
      <c r="V652" s="133"/>
      <c r="W652" s="133"/>
      <c r="X652" s="133"/>
      <c r="Y652" s="133"/>
      <c r="Z652" s="133"/>
    </row>
    <row r="653" spans="1:26" ht="12.75" customHeight="1" x14ac:dyDescent="0.3">
      <c r="A653" s="131"/>
      <c r="B653" s="131"/>
      <c r="C653" s="131"/>
      <c r="D653" s="131"/>
      <c r="E653" s="131"/>
      <c r="F653" s="132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3"/>
      <c r="S653" s="84">
        <f t="shared" si="65"/>
        <v>0</v>
      </c>
      <c r="T653" s="133"/>
      <c r="U653" s="133"/>
      <c r="V653" s="133"/>
      <c r="W653" s="133"/>
      <c r="X653" s="133"/>
      <c r="Y653" s="133"/>
      <c r="Z653" s="133"/>
    </row>
    <row r="654" spans="1:26" ht="12.75" customHeight="1" x14ac:dyDescent="0.3">
      <c r="A654" s="131"/>
      <c r="B654" s="131"/>
      <c r="C654" s="131"/>
      <c r="D654" s="131"/>
      <c r="E654" s="131"/>
      <c r="F654" s="132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3"/>
      <c r="S654" s="84">
        <f t="shared" si="65"/>
        <v>0</v>
      </c>
      <c r="T654" s="133"/>
      <c r="U654" s="133"/>
      <c r="V654" s="133"/>
      <c r="W654" s="133"/>
      <c r="X654" s="133"/>
      <c r="Y654" s="133"/>
      <c r="Z654" s="133"/>
    </row>
    <row r="655" spans="1:26" ht="12.75" customHeight="1" x14ac:dyDescent="0.3">
      <c r="A655" s="131"/>
      <c r="B655" s="131"/>
      <c r="C655" s="131"/>
      <c r="D655" s="131"/>
      <c r="E655" s="131"/>
      <c r="F655" s="132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3"/>
      <c r="S655" s="84">
        <f t="shared" si="65"/>
        <v>0</v>
      </c>
      <c r="T655" s="133"/>
      <c r="U655" s="133"/>
      <c r="V655" s="133"/>
      <c r="W655" s="133"/>
      <c r="X655" s="133"/>
      <c r="Y655" s="133"/>
      <c r="Z655" s="133"/>
    </row>
    <row r="656" spans="1:26" ht="12.75" customHeight="1" x14ac:dyDescent="0.3">
      <c r="A656" s="131"/>
      <c r="B656" s="131"/>
      <c r="C656" s="131"/>
      <c r="D656" s="131"/>
      <c r="E656" s="131"/>
      <c r="F656" s="132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3"/>
      <c r="S656" s="84">
        <f t="shared" si="65"/>
        <v>0</v>
      </c>
      <c r="T656" s="133"/>
      <c r="U656" s="133"/>
      <c r="V656" s="133"/>
      <c r="W656" s="133"/>
      <c r="X656" s="133"/>
      <c r="Y656" s="133"/>
      <c r="Z656" s="133"/>
    </row>
    <row r="657" spans="1:26" ht="12.75" customHeight="1" x14ac:dyDescent="0.3">
      <c r="A657" s="131"/>
      <c r="B657" s="131"/>
      <c r="C657" s="131"/>
      <c r="D657" s="131"/>
      <c r="E657" s="131"/>
      <c r="F657" s="132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3"/>
      <c r="S657" s="84">
        <f t="shared" si="65"/>
        <v>0</v>
      </c>
      <c r="T657" s="133"/>
      <c r="U657" s="133"/>
      <c r="V657" s="133"/>
      <c r="W657" s="133"/>
      <c r="X657" s="133"/>
      <c r="Y657" s="133"/>
      <c r="Z657" s="133"/>
    </row>
    <row r="658" spans="1:26" ht="12.75" customHeight="1" x14ac:dyDescent="0.3">
      <c r="A658" s="131"/>
      <c r="B658" s="131"/>
      <c r="C658" s="131"/>
      <c r="D658" s="131"/>
      <c r="E658" s="131"/>
      <c r="F658" s="132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3"/>
      <c r="S658" s="84">
        <f t="shared" si="65"/>
        <v>0</v>
      </c>
      <c r="T658" s="133"/>
      <c r="U658" s="133"/>
      <c r="V658" s="133"/>
      <c r="W658" s="133"/>
      <c r="X658" s="133"/>
      <c r="Y658" s="133"/>
      <c r="Z658" s="133"/>
    </row>
    <row r="659" spans="1:26" ht="12.75" customHeight="1" x14ac:dyDescent="0.3">
      <c r="A659" s="131"/>
      <c r="B659" s="131"/>
      <c r="C659" s="131"/>
      <c r="D659" s="131"/>
      <c r="E659" s="131"/>
      <c r="F659" s="132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3"/>
      <c r="S659" s="84">
        <f t="shared" si="65"/>
        <v>0</v>
      </c>
      <c r="T659" s="133"/>
      <c r="U659" s="133"/>
      <c r="V659" s="133"/>
      <c r="W659" s="133"/>
      <c r="X659" s="133"/>
      <c r="Y659" s="133"/>
      <c r="Z659" s="133"/>
    </row>
    <row r="660" spans="1:26" ht="12.75" customHeight="1" x14ac:dyDescent="0.3">
      <c r="A660" s="131"/>
      <c r="B660" s="131"/>
      <c r="C660" s="131"/>
      <c r="D660" s="131"/>
      <c r="E660" s="131"/>
      <c r="F660" s="132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3"/>
      <c r="S660" s="84">
        <f t="shared" si="65"/>
        <v>0</v>
      </c>
      <c r="T660" s="133"/>
      <c r="U660" s="133"/>
      <c r="V660" s="133"/>
      <c r="W660" s="133"/>
      <c r="X660" s="133"/>
      <c r="Y660" s="133"/>
      <c r="Z660" s="133"/>
    </row>
    <row r="661" spans="1:26" ht="12.75" customHeight="1" x14ac:dyDescent="0.3">
      <c r="A661" s="131"/>
      <c r="B661" s="131"/>
      <c r="C661" s="131"/>
      <c r="D661" s="131"/>
      <c r="E661" s="131"/>
      <c r="F661" s="132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3"/>
      <c r="S661" s="84">
        <f t="shared" si="65"/>
        <v>0</v>
      </c>
      <c r="T661" s="133"/>
      <c r="U661" s="133"/>
      <c r="V661" s="133"/>
      <c r="W661" s="133"/>
      <c r="X661" s="133"/>
      <c r="Y661" s="133"/>
      <c r="Z661" s="133"/>
    </row>
    <row r="662" spans="1:26" ht="12.75" customHeight="1" x14ac:dyDescent="0.3">
      <c r="A662" s="131"/>
      <c r="B662" s="131"/>
      <c r="C662" s="131"/>
      <c r="D662" s="131"/>
      <c r="E662" s="131"/>
      <c r="F662" s="132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3"/>
      <c r="S662" s="84">
        <f t="shared" si="65"/>
        <v>0</v>
      </c>
      <c r="T662" s="133"/>
      <c r="U662" s="133"/>
      <c r="V662" s="133"/>
      <c r="W662" s="133"/>
      <c r="X662" s="133"/>
      <c r="Y662" s="133"/>
      <c r="Z662" s="133"/>
    </row>
    <row r="663" spans="1:26" ht="12.75" customHeight="1" x14ac:dyDescent="0.3">
      <c r="A663" s="131"/>
      <c r="B663" s="131"/>
      <c r="C663" s="131"/>
      <c r="D663" s="131"/>
      <c r="E663" s="131"/>
      <c r="F663" s="132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3"/>
      <c r="S663" s="84">
        <f t="shared" si="65"/>
        <v>0</v>
      </c>
      <c r="T663" s="133"/>
      <c r="U663" s="133"/>
      <c r="V663" s="133"/>
      <c r="W663" s="133"/>
      <c r="X663" s="133"/>
      <c r="Y663" s="133"/>
      <c r="Z663" s="133"/>
    </row>
    <row r="664" spans="1:26" ht="12.75" customHeight="1" x14ac:dyDescent="0.3">
      <c r="A664" s="131"/>
      <c r="B664" s="131"/>
      <c r="C664" s="131"/>
      <c r="D664" s="131"/>
      <c r="E664" s="131"/>
      <c r="F664" s="132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3"/>
      <c r="S664" s="84">
        <f t="shared" si="65"/>
        <v>0</v>
      </c>
      <c r="T664" s="133"/>
      <c r="U664" s="133"/>
      <c r="V664" s="133"/>
      <c r="W664" s="133"/>
      <c r="X664" s="133"/>
      <c r="Y664" s="133"/>
      <c r="Z664" s="133"/>
    </row>
    <row r="665" spans="1:26" ht="12.75" customHeight="1" x14ac:dyDescent="0.3">
      <c r="A665" s="131"/>
      <c r="B665" s="131"/>
      <c r="C665" s="131"/>
      <c r="D665" s="131"/>
      <c r="E665" s="131"/>
      <c r="F665" s="132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3"/>
      <c r="S665" s="84">
        <f t="shared" si="65"/>
        <v>0</v>
      </c>
      <c r="T665" s="133"/>
      <c r="U665" s="133"/>
      <c r="V665" s="133"/>
      <c r="W665" s="133"/>
      <c r="X665" s="133"/>
      <c r="Y665" s="133"/>
      <c r="Z665" s="133"/>
    </row>
    <row r="666" spans="1:26" ht="12.75" customHeight="1" x14ac:dyDescent="0.3">
      <c r="A666" s="131"/>
      <c r="B666" s="131"/>
      <c r="C666" s="131"/>
      <c r="D666" s="131"/>
      <c r="E666" s="131"/>
      <c r="F666" s="132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3"/>
      <c r="S666" s="84">
        <f t="shared" si="65"/>
        <v>0</v>
      </c>
      <c r="T666" s="133"/>
      <c r="U666" s="133"/>
      <c r="V666" s="133"/>
      <c r="W666" s="133"/>
      <c r="X666" s="133"/>
      <c r="Y666" s="133"/>
      <c r="Z666" s="133"/>
    </row>
    <row r="667" spans="1:26" ht="12.75" customHeight="1" x14ac:dyDescent="0.3">
      <c r="A667" s="131"/>
      <c r="B667" s="131"/>
      <c r="C667" s="131"/>
      <c r="D667" s="131"/>
      <c r="E667" s="131"/>
      <c r="F667" s="132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3"/>
      <c r="S667" s="84">
        <f t="shared" si="65"/>
        <v>0</v>
      </c>
      <c r="T667" s="133"/>
      <c r="U667" s="133"/>
      <c r="V667" s="133"/>
      <c r="W667" s="133"/>
      <c r="X667" s="133"/>
      <c r="Y667" s="133"/>
      <c r="Z667" s="133"/>
    </row>
    <row r="668" spans="1:26" ht="12.75" customHeight="1" x14ac:dyDescent="0.3">
      <c r="A668" s="131"/>
      <c r="B668" s="131"/>
      <c r="C668" s="131"/>
      <c r="D668" s="131"/>
      <c r="E668" s="131"/>
      <c r="F668" s="132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3"/>
      <c r="S668" s="84">
        <f t="shared" si="65"/>
        <v>0</v>
      </c>
      <c r="T668" s="133"/>
      <c r="U668" s="133"/>
      <c r="V668" s="133"/>
      <c r="W668" s="133"/>
      <c r="X668" s="133"/>
      <c r="Y668" s="133"/>
      <c r="Z668" s="133"/>
    </row>
    <row r="669" spans="1:26" ht="12.75" customHeight="1" x14ac:dyDescent="0.3">
      <c r="A669" s="131"/>
      <c r="B669" s="131"/>
      <c r="C669" s="131"/>
      <c r="D669" s="131"/>
      <c r="E669" s="131"/>
      <c r="F669" s="132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3"/>
      <c r="S669" s="84">
        <f t="shared" si="65"/>
        <v>0</v>
      </c>
      <c r="T669" s="133"/>
      <c r="U669" s="133"/>
      <c r="V669" s="133"/>
      <c r="W669" s="133"/>
      <c r="X669" s="133"/>
      <c r="Y669" s="133"/>
      <c r="Z669" s="133"/>
    </row>
    <row r="670" spans="1:26" ht="12.75" customHeight="1" x14ac:dyDescent="0.3">
      <c r="A670" s="131"/>
      <c r="B670" s="131"/>
      <c r="C670" s="131"/>
      <c r="D670" s="131"/>
      <c r="E670" s="131"/>
      <c r="F670" s="132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3"/>
      <c r="S670" s="84">
        <f t="shared" si="65"/>
        <v>0</v>
      </c>
      <c r="T670" s="133"/>
      <c r="U670" s="133"/>
      <c r="V670" s="133"/>
      <c r="W670" s="133"/>
      <c r="X670" s="133"/>
      <c r="Y670" s="133"/>
      <c r="Z670" s="133"/>
    </row>
    <row r="671" spans="1:26" ht="12.75" customHeight="1" x14ac:dyDescent="0.3">
      <c r="A671" s="131"/>
      <c r="B671" s="131"/>
      <c r="C671" s="131"/>
      <c r="D671" s="131"/>
      <c r="E671" s="131"/>
      <c r="F671" s="132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3"/>
      <c r="S671" s="84">
        <f t="shared" si="65"/>
        <v>0</v>
      </c>
      <c r="T671" s="133"/>
      <c r="U671" s="133"/>
      <c r="V671" s="133"/>
      <c r="W671" s="133"/>
      <c r="X671" s="133"/>
      <c r="Y671" s="133"/>
      <c r="Z671" s="133"/>
    </row>
    <row r="672" spans="1:26" ht="12.75" customHeight="1" x14ac:dyDescent="0.3">
      <c r="A672" s="131"/>
      <c r="B672" s="131"/>
      <c r="C672" s="131"/>
      <c r="D672" s="131"/>
      <c r="E672" s="131"/>
      <c r="F672" s="132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3"/>
      <c r="S672" s="84">
        <f t="shared" si="65"/>
        <v>0</v>
      </c>
      <c r="T672" s="133"/>
      <c r="U672" s="133"/>
      <c r="V672" s="133"/>
      <c r="W672" s="133"/>
      <c r="X672" s="133"/>
      <c r="Y672" s="133"/>
      <c r="Z672" s="133"/>
    </row>
    <row r="673" spans="1:26" ht="12.75" customHeight="1" x14ac:dyDescent="0.3">
      <c r="A673" s="131"/>
      <c r="B673" s="131"/>
      <c r="C673" s="131"/>
      <c r="D673" s="131"/>
      <c r="E673" s="131"/>
      <c r="F673" s="132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3"/>
      <c r="S673" s="84">
        <f t="shared" si="65"/>
        <v>0</v>
      </c>
      <c r="T673" s="133"/>
      <c r="U673" s="133"/>
      <c r="V673" s="133"/>
      <c r="W673" s="133"/>
      <c r="X673" s="133"/>
      <c r="Y673" s="133"/>
      <c r="Z673" s="133"/>
    </row>
    <row r="674" spans="1:26" ht="12.75" customHeight="1" x14ac:dyDescent="0.3">
      <c r="A674" s="131"/>
      <c r="B674" s="131"/>
      <c r="C674" s="131"/>
      <c r="D674" s="131"/>
      <c r="E674" s="131"/>
      <c r="F674" s="132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3"/>
      <c r="S674" s="84">
        <f t="shared" si="65"/>
        <v>0</v>
      </c>
      <c r="T674" s="133"/>
      <c r="U674" s="133"/>
      <c r="V674" s="133"/>
      <c r="W674" s="133"/>
      <c r="X674" s="133"/>
      <c r="Y674" s="133"/>
      <c r="Z674" s="133"/>
    </row>
    <row r="675" spans="1:26" ht="12.75" customHeight="1" x14ac:dyDescent="0.3">
      <c r="A675" s="131"/>
      <c r="B675" s="131"/>
      <c r="C675" s="131"/>
      <c r="D675" s="131"/>
      <c r="E675" s="131"/>
      <c r="F675" s="132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3"/>
      <c r="S675" s="84">
        <f t="shared" si="65"/>
        <v>0</v>
      </c>
      <c r="T675" s="133"/>
      <c r="U675" s="133"/>
      <c r="V675" s="133"/>
      <c r="W675" s="133"/>
      <c r="X675" s="133"/>
      <c r="Y675" s="133"/>
      <c r="Z675" s="133"/>
    </row>
    <row r="676" spans="1:26" ht="12.75" customHeight="1" x14ac:dyDescent="0.3">
      <c r="A676" s="131"/>
      <c r="B676" s="131"/>
      <c r="C676" s="131"/>
      <c r="D676" s="131"/>
      <c r="E676" s="131"/>
      <c r="F676" s="132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3"/>
      <c r="S676" s="84">
        <f t="shared" si="65"/>
        <v>0</v>
      </c>
      <c r="T676" s="133"/>
      <c r="U676" s="133"/>
      <c r="V676" s="133"/>
      <c r="W676" s="133"/>
      <c r="X676" s="133"/>
      <c r="Y676" s="133"/>
      <c r="Z676" s="133"/>
    </row>
    <row r="677" spans="1:26" ht="12.75" customHeight="1" x14ac:dyDescent="0.3">
      <c r="A677" s="131"/>
      <c r="B677" s="131"/>
      <c r="C677" s="131"/>
      <c r="D677" s="131"/>
      <c r="E677" s="131"/>
      <c r="F677" s="132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3"/>
      <c r="S677" s="84">
        <f t="shared" si="65"/>
        <v>0</v>
      </c>
      <c r="T677" s="133"/>
      <c r="U677" s="133"/>
      <c r="V677" s="133"/>
      <c r="W677" s="133"/>
      <c r="X677" s="133"/>
      <c r="Y677" s="133"/>
      <c r="Z677" s="133"/>
    </row>
    <row r="678" spans="1:26" ht="12.75" customHeight="1" x14ac:dyDescent="0.3">
      <c r="A678" s="131"/>
      <c r="B678" s="131"/>
      <c r="C678" s="131"/>
      <c r="D678" s="131"/>
      <c r="E678" s="131"/>
      <c r="F678" s="132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3"/>
      <c r="S678" s="84">
        <f t="shared" si="65"/>
        <v>0</v>
      </c>
      <c r="T678" s="133"/>
      <c r="U678" s="133"/>
      <c r="V678" s="133"/>
      <c r="W678" s="133"/>
      <c r="X678" s="133"/>
      <c r="Y678" s="133"/>
      <c r="Z678" s="133"/>
    </row>
    <row r="679" spans="1:26" ht="12.75" customHeight="1" x14ac:dyDescent="0.3">
      <c r="A679" s="131"/>
      <c r="B679" s="131"/>
      <c r="C679" s="131"/>
      <c r="D679" s="131"/>
      <c r="E679" s="131"/>
      <c r="F679" s="132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3"/>
      <c r="S679" s="84">
        <f t="shared" si="65"/>
        <v>0</v>
      </c>
      <c r="T679" s="133"/>
      <c r="U679" s="133"/>
      <c r="V679" s="133"/>
      <c r="W679" s="133"/>
      <c r="X679" s="133"/>
      <c r="Y679" s="133"/>
      <c r="Z679" s="133"/>
    </row>
    <row r="680" spans="1:26" ht="12.75" customHeight="1" x14ac:dyDescent="0.3">
      <c r="A680" s="131"/>
      <c r="B680" s="131"/>
      <c r="C680" s="131"/>
      <c r="D680" s="131"/>
      <c r="E680" s="131"/>
      <c r="F680" s="132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3"/>
      <c r="S680" s="84">
        <f t="shared" si="65"/>
        <v>0</v>
      </c>
      <c r="T680" s="133"/>
      <c r="U680" s="133"/>
      <c r="V680" s="133"/>
      <c r="W680" s="133"/>
      <c r="X680" s="133"/>
      <c r="Y680" s="133"/>
      <c r="Z680" s="133"/>
    </row>
    <row r="681" spans="1:26" ht="12.75" customHeight="1" x14ac:dyDescent="0.3">
      <c r="A681" s="131"/>
      <c r="B681" s="131"/>
      <c r="C681" s="131"/>
      <c r="D681" s="131"/>
      <c r="E681" s="131"/>
      <c r="F681" s="132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3"/>
      <c r="S681" s="84">
        <f t="shared" si="65"/>
        <v>0</v>
      </c>
      <c r="T681" s="133"/>
      <c r="U681" s="133"/>
      <c r="V681" s="133"/>
      <c r="W681" s="133"/>
      <c r="X681" s="133"/>
      <c r="Y681" s="133"/>
      <c r="Z681" s="133"/>
    </row>
    <row r="682" spans="1:26" ht="12.75" customHeight="1" x14ac:dyDescent="0.3">
      <c r="A682" s="131"/>
      <c r="B682" s="131"/>
      <c r="C682" s="131"/>
      <c r="D682" s="131"/>
      <c r="E682" s="131"/>
      <c r="F682" s="132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3"/>
      <c r="S682" s="84">
        <f t="shared" si="65"/>
        <v>0</v>
      </c>
      <c r="T682" s="133"/>
      <c r="U682" s="133"/>
      <c r="V682" s="133"/>
      <c r="W682" s="133"/>
      <c r="X682" s="133"/>
      <c r="Y682" s="133"/>
      <c r="Z682" s="133"/>
    </row>
    <row r="683" spans="1:26" ht="12.75" customHeight="1" x14ac:dyDescent="0.3">
      <c r="A683" s="131"/>
      <c r="B683" s="131"/>
      <c r="C683" s="131"/>
      <c r="D683" s="131"/>
      <c r="E683" s="131"/>
      <c r="F683" s="132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3"/>
      <c r="S683" s="84">
        <f t="shared" si="65"/>
        <v>0</v>
      </c>
      <c r="T683" s="133"/>
      <c r="U683" s="133"/>
      <c r="V683" s="133"/>
      <c r="W683" s="133"/>
      <c r="X683" s="133"/>
      <c r="Y683" s="133"/>
      <c r="Z683" s="133"/>
    </row>
    <row r="684" spans="1:26" ht="12.75" customHeight="1" x14ac:dyDescent="0.3">
      <c r="A684" s="131"/>
      <c r="B684" s="131"/>
      <c r="C684" s="131"/>
      <c r="D684" s="131"/>
      <c r="E684" s="131"/>
      <c r="F684" s="132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3"/>
      <c r="S684" s="84">
        <f t="shared" si="65"/>
        <v>0</v>
      </c>
      <c r="T684" s="133"/>
      <c r="U684" s="133"/>
      <c r="V684" s="133"/>
      <c r="W684" s="133"/>
      <c r="X684" s="133"/>
      <c r="Y684" s="133"/>
      <c r="Z684" s="133"/>
    </row>
    <row r="685" spans="1:26" ht="12.75" customHeight="1" x14ac:dyDescent="0.3">
      <c r="A685" s="131"/>
      <c r="B685" s="131"/>
      <c r="C685" s="131"/>
      <c r="D685" s="131"/>
      <c r="E685" s="131"/>
      <c r="F685" s="132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3"/>
      <c r="S685" s="84">
        <f t="shared" si="65"/>
        <v>0</v>
      </c>
      <c r="T685" s="133"/>
      <c r="U685" s="133"/>
      <c r="V685" s="133"/>
      <c r="W685" s="133"/>
      <c r="X685" s="133"/>
      <c r="Y685" s="133"/>
      <c r="Z685" s="133"/>
    </row>
    <row r="686" spans="1:26" ht="12.75" customHeight="1" x14ac:dyDescent="0.3">
      <c r="A686" s="131"/>
      <c r="B686" s="131"/>
      <c r="C686" s="131"/>
      <c r="D686" s="131"/>
      <c r="E686" s="131"/>
      <c r="F686" s="132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3"/>
      <c r="S686" s="84">
        <f t="shared" si="65"/>
        <v>0</v>
      </c>
      <c r="T686" s="133"/>
      <c r="U686" s="133"/>
      <c r="V686" s="133"/>
      <c r="W686" s="133"/>
      <c r="X686" s="133"/>
      <c r="Y686" s="133"/>
      <c r="Z686" s="133"/>
    </row>
    <row r="687" spans="1:26" ht="12.75" customHeight="1" x14ac:dyDescent="0.3">
      <c r="A687" s="131"/>
      <c r="B687" s="131"/>
      <c r="C687" s="131"/>
      <c r="D687" s="131"/>
      <c r="E687" s="131"/>
      <c r="F687" s="132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3"/>
      <c r="S687" s="84">
        <f t="shared" ref="S687:S941" si="66">SUM(T687:Z687)</f>
        <v>0</v>
      </c>
      <c r="T687" s="133"/>
      <c r="U687" s="133"/>
      <c r="V687" s="133"/>
      <c r="W687" s="133"/>
      <c r="X687" s="133"/>
      <c r="Y687" s="133"/>
      <c r="Z687" s="133"/>
    </row>
    <row r="688" spans="1:26" ht="12.75" customHeight="1" x14ac:dyDescent="0.3">
      <c r="A688" s="131"/>
      <c r="B688" s="131"/>
      <c r="C688" s="131"/>
      <c r="D688" s="131"/>
      <c r="E688" s="131"/>
      <c r="F688" s="132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3"/>
      <c r="S688" s="84">
        <f t="shared" si="66"/>
        <v>0</v>
      </c>
      <c r="T688" s="133"/>
      <c r="U688" s="133"/>
      <c r="V688" s="133"/>
      <c r="W688" s="133"/>
      <c r="X688" s="133"/>
      <c r="Y688" s="133"/>
      <c r="Z688" s="133"/>
    </row>
    <row r="689" spans="1:26" ht="12.75" customHeight="1" x14ac:dyDescent="0.3">
      <c r="A689" s="131"/>
      <c r="B689" s="131"/>
      <c r="C689" s="131"/>
      <c r="D689" s="131"/>
      <c r="E689" s="131"/>
      <c r="F689" s="132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3"/>
      <c r="S689" s="84">
        <f t="shared" si="66"/>
        <v>0</v>
      </c>
      <c r="T689" s="133"/>
      <c r="U689" s="133"/>
      <c r="V689" s="133"/>
      <c r="W689" s="133"/>
      <c r="X689" s="133"/>
      <c r="Y689" s="133"/>
      <c r="Z689" s="133"/>
    </row>
    <row r="690" spans="1:26" ht="12.75" customHeight="1" x14ac:dyDescent="0.3">
      <c r="A690" s="131"/>
      <c r="B690" s="131"/>
      <c r="C690" s="131"/>
      <c r="D690" s="131"/>
      <c r="E690" s="131"/>
      <c r="F690" s="132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3"/>
      <c r="S690" s="84">
        <f t="shared" si="66"/>
        <v>0</v>
      </c>
      <c r="T690" s="133"/>
      <c r="U690" s="133"/>
      <c r="V690" s="133"/>
      <c r="W690" s="133"/>
      <c r="X690" s="133"/>
      <c r="Y690" s="133"/>
      <c r="Z690" s="133"/>
    </row>
    <row r="691" spans="1:26" ht="12.75" customHeight="1" x14ac:dyDescent="0.3">
      <c r="A691" s="131"/>
      <c r="B691" s="131"/>
      <c r="C691" s="131"/>
      <c r="D691" s="131"/>
      <c r="E691" s="131"/>
      <c r="F691" s="132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3"/>
      <c r="S691" s="84">
        <f t="shared" si="66"/>
        <v>0</v>
      </c>
      <c r="T691" s="133"/>
      <c r="U691" s="133"/>
      <c r="V691" s="133"/>
      <c r="W691" s="133"/>
      <c r="X691" s="133"/>
      <c r="Y691" s="133"/>
      <c r="Z691" s="133"/>
    </row>
    <row r="692" spans="1:26" ht="12.75" customHeight="1" x14ac:dyDescent="0.3">
      <c r="A692" s="131"/>
      <c r="B692" s="131"/>
      <c r="C692" s="131"/>
      <c r="D692" s="131"/>
      <c r="E692" s="131"/>
      <c r="F692" s="132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3"/>
      <c r="S692" s="84">
        <f t="shared" si="66"/>
        <v>0</v>
      </c>
      <c r="T692" s="133"/>
      <c r="U692" s="133"/>
      <c r="V692" s="133"/>
      <c r="W692" s="133"/>
      <c r="X692" s="133"/>
      <c r="Y692" s="133"/>
      <c r="Z692" s="133"/>
    </row>
    <row r="693" spans="1:26" ht="12.75" customHeight="1" x14ac:dyDescent="0.3">
      <c r="A693" s="131"/>
      <c r="B693" s="131"/>
      <c r="C693" s="131"/>
      <c r="D693" s="131"/>
      <c r="E693" s="131"/>
      <c r="F693" s="132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3"/>
      <c r="S693" s="84">
        <f t="shared" si="66"/>
        <v>0</v>
      </c>
      <c r="T693" s="133"/>
      <c r="U693" s="133"/>
      <c r="V693" s="133"/>
      <c r="W693" s="133"/>
      <c r="X693" s="133"/>
      <c r="Y693" s="133"/>
      <c r="Z693" s="133"/>
    </row>
    <row r="694" spans="1:26" ht="12.75" customHeight="1" x14ac:dyDescent="0.3">
      <c r="A694" s="131"/>
      <c r="B694" s="131"/>
      <c r="C694" s="131"/>
      <c r="D694" s="131"/>
      <c r="E694" s="131"/>
      <c r="F694" s="132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3"/>
      <c r="S694" s="84">
        <f t="shared" si="66"/>
        <v>0</v>
      </c>
      <c r="T694" s="133"/>
      <c r="U694" s="133"/>
      <c r="V694" s="133"/>
      <c r="W694" s="133"/>
      <c r="X694" s="133"/>
      <c r="Y694" s="133"/>
      <c r="Z694" s="133"/>
    </row>
    <row r="695" spans="1:26" ht="12.75" customHeight="1" x14ac:dyDescent="0.3">
      <c r="A695" s="131"/>
      <c r="B695" s="131"/>
      <c r="C695" s="131"/>
      <c r="D695" s="131"/>
      <c r="E695" s="131"/>
      <c r="F695" s="132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3"/>
      <c r="S695" s="84">
        <f t="shared" si="66"/>
        <v>0</v>
      </c>
      <c r="T695" s="133"/>
      <c r="U695" s="133"/>
      <c r="V695" s="133"/>
      <c r="W695" s="133"/>
      <c r="X695" s="133"/>
      <c r="Y695" s="133"/>
      <c r="Z695" s="133"/>
    </row>
    <row r="696" spans="1:26" ht="12.75" customHeight="1" x14ac:dyDescent="0.3">
      <c r="A696" s="131"/>
      <c r="B696" s="131"/>
      <c r="C696" s="131"/>
      <c r="D696" s="131"/>
      <c r="E696" s="131"/>
      <c r="F696" s="132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3"/>
      <c r="S696" s="84">
        <f t="shared" si="66"/>
        <v>0</v>
      </c>
      <c r="T696" s="133"/>
      <c r="U696" s="133"/>
      <c r="V696" s="133"/>
      <c r="W696" s="133"/>
      <c r="X696" s="133"/>
      <c r="Y696" s="133"/>
      <c r="Z696" s="133"/>
    </row>
    <row r="697" spans="1:26" ht="12.75" customHeight="1" x14ac:dyDescent="0.3">
      <c r="A697" s="131"/>
      <c r="B697" s="131"/>
      <c r="C697" s="131"/>
      <c r="D697" s="131"/>
      <c r="E697" s="131"/>
      <c r="F697" s="132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3"/>
      <c r="S697" s="84">
        <f t="shared" si="66"/>
        <v>0</v>
      </c>
      <c r="T697" s="133"/>
      <c r="U697" s="133"/>
      <c r="V697" s="133"/>
      <c r="W697" s="133"/>
      <c r="X697" s="133"/>
      <c r="Y697" s="133"/>
      <c r="Z697" s="133"/>
    </row>
    <row r="698" spans="1:26" ht="12.75" customHeight="1" x14ac:dyDescent="0.3">
      <c r="A698" s="131"/>
      <c r="B698" s="131"/>
      <c r="C698" s="131"/>
      <c r="D698" s="131"/>
      <c r="E698" s="131"/>
      <c r="F698" s="132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3"/>
      <c r="S698" s="84">
        <f t="shared" si="66"/>
        <v>0</v>
      </c>
      <c r="T698" s="133"/>
      <c r="U698" s="133"/>
      <c r="V698" s="133"/>
      <c r="W698" s="133"/>
      <c r="X698" s="133"/>
      <c r="Y698" s="133"/>
      <c r="Z698" s="133"/>
    </row>
    <row r="699" spans="1:26" ht="12.75" customHeight="1" x14ac:dyDescent="0.3">
      <c r="A699" s="131"/>
      <c r="B699" s="131"/>
      <c r="C699" s="131"/>
      <c r="D699" s="131"/>
      <c r="E699" s="131"/>
      <c r="F699" s="132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3"/>
      <c r="S699" s="84">
        <f t="shared" si="66"/>
        <v>0</v>
      </c>
      <c r="T699" s="133"/>
      <c r="U699" s="133"/>
      <c r="V699" s="133"/>
      <c r="W699" s="133"/>
      <c r="X699" s="133"/>
      <c r="Y699" s="133"/>
      <c r="Z699" s="133"/>
    </row>
    <row r="700" spans="1:26" ht="12.75" customHeight="1" x14ac:dyDescent="0.3">
      <c r="A700" s="131"/>
      <c r="B700" s="131"/>
      <c r="C700" s="131"/>
      <c r="D700" s="131"/>
      <c r="E700" s="131"/>
      <c r="F700" s="132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3"/>
      <c r="S700" s="84">
        <f t="shared" si="66"/>
        <v>0</v>
      </c>
      <c r="T700" s="133"/>
      <c r="U700" s="133"/>
      <c r="V700" s="133"/>
      <c r="W700" s="133"/>
      <c r="X700" s="133"/>
      <c r="Y700" s="133"/>
      <c r="Z700" s="133"/>
    </row>
    <row r="701" spans="1:26" ht="12.75" customHeight="1" x14ac:dyDescent="0.3">
      <c r="A701" s="131"/>
      <c r="B701" s="131"/>
      <c r="C701" s="131"/>
      <c r="D701" s="131"/>
      <c r="E701" s="131"/>
      <c r="F701" s="132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3"/>
      <c r="S701" s="84">
        <f t="shared" si="66"/>
        <v>0</v>
      </c>
      <c r="T701" s="133"/>
      <c r="U701" s="133"/>
      <c r="V701" s="133"/>
      <c r="W701" s="133"/>
      <c r="X701" s="133"/>
      <c r="Y701" s="133"/>
      <c r="Z701" s="133"/>
    </row>
    <row r="702" spans="1:26" ht="12.75" customHeight="1" x14ac:dyDescent="0.3">
      <c r="A702" s="131"/>
      <c r="B702" s="131"/>
      <c r="C702" s="131"/>
      <c r="D702" s="131"/>
      <c r="E702" s="131"/>
      <c r="F702" s="132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3"/>
      <c r="S702" s="84">
        <f t="shared" si="66"/>
        <v>0</v>
      </c>
      <c r="T702" s="133"/>
      <c r="U702" s="133"/>
      <c r="V702" s="133"/>
      <c r="W702" s="133"/>
      <c r="X702" s="133"/>
      <c r="Y702" s="133"/>
      <c r="Z702" s="133"/>
    </row>
    <row r="703" spans="1:26" ht="12.75" customHeight="1" x14ac:dyDescent="0.3">
      <c r="A703" s="131"/>
      <c r="B703" s="131"/>
      <c r="C703" s="131"/>
      <c r="D703" s="131"/>
      <c r="E703" s="131"/>
      <c r="F703" s="132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3"/>
      <c r="S703" s="84">
        <f t="shared" si="66"/>
        <v>0</v>
      </c>
      <c r="T703" s="133"/>
      <c r="U703" s="133"/>
      <c r="V703" s="133"/>
      <c r="W703" s="133"/>
      <c r="X703" s="133"/>
      <c r="Y703" s="133"/>
      <c r="Z703" s="133"/>
    </row>
    <row r="704" spans="1:26" ht="12.75" customHeight="1" x14ac:dyDescent="0.3">
      <c r="A704" s="131"/>
      <c r="B704" s="131"/>
      <c r="C704" s="131"/>
      <c r="D704" s="131"/>
      <c r="E704" s="131"/>
      <c r="F704" s="132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3"/>
      <c r="S704" s="84">
        <f t="shared" si="66"/>
        <v>0</v>
      </c>
      <c r="T704" s="133"/>
      <c r="U704" s="133"/>
      <c r="V704" s="133"/>
      <c r="W704" s="133"/>
      <c r="X704" s="133"/>
      <c r="Y704" s="133"/>
      <c r="Z704" s="133"/>
    </row>
    <row r="705" spans="1:26" ht="12.75" customHeight="1" x14ac:dyDescent="0.3">
      <c r="A705" s="131"/>
      <c r="B705" s="131"/>
      <c r="C705" s="131"/>
      <c r="D705" s="131"/>
      <c r="E705" s="131"/>
      <c r="F705" s="132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3"/>
      <c r="S705" s="84">
        <f t="shared" si="66"/>
        <v>0</v>
      </c>
      <c r="T705" s="133"/>
      <c r="U705" s="133"/>
      <c r="V705" s="133"/>
      <c r="W705" s="133"/>
      <c r="X705" s="133"/>
      <c r="Y705" s="133"/>
      <c r="Z705" s="133"/>
    </row>
    <row r="706" spans="1:26" ht="12.75" customHeight="1" x14ac:dyDescent="0.3">
      <c r="A706" s="131"/>
      <c r="B706" s="131"/>
      <c r="C706" s="131"/>
      <c r="D706" s="131"/>
      <c r="E706" s="131"/>
      <c r="F706" s="132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3"/>
      <c r="S706" s="84">
        <f t="shared" si="66"/>
        <v>0</v>
      </c>
      <c r="T706" s="133"/>
      <c r="U706" s="133"/>
      <c r="V706" s="133"/>
      <c r="W706" s="133"/>
      <c r="X706" s="133"/>
      <c r="Y706" s="133"/>
      <c r="Z706" s="133"/>
    </row>
    <row r="707" spans="1:26" ht="12.75" customHeight="1" x14ac:dyDescent="0.3">
      <c r="A707" s="131"/>
      <c r="B707" s="131"/>
      <c r="C707" s="131"/>
      <c r="D707" s="131"/>
      <c r="E707" s="131"/>
      <c r="F707" s="132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3"/>
      <c r="S707" s="84">
        <f t="shared" si="66"/>
        <v>0</v>
      </c>
      <c r="T707" s="133"/>
      <c r="U707" s="133"/>
      <c r="V707" s="133"/>
      <c r="W707" s="133"/>
      <c r="X707" s="133"/>
      <c r="Y707" s="133"/>
      <c r="Z707" s="133"/>
    </row>
    <row r="708" spans="1:26" ht="12.75" customHeight="1" x14ac:dyDescent="0.3">
      <c r="A708" s="131"/>
      <c r="B708" s="131"/>
      <c r="C708" s="131"/>
      <c r="D708" s="131"/>
      <c r="E708" s="131"/>
      <c r="F708" s="132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3"/>
      <c r="S708" s="84">
        <f t="shared" si="66"/>
        <v>0</v>
      </c>
      <c r="T708" s="133"/>
      <c r="U708" s="133"/>
      <c r="V708" s="133"/>
      <c r="W708" s="133"/>
      <c r="X708" s="133"/>
      <c r="Y708" s="133"/>
      <c r="Z708" s="133"/>
    </row>
    <row r="709" spans="1:26" ht="12.75" customHeight="1" x14ac:dyDescent="0.3">
      <c r="A709" s="131"/>
      <c r="B709" s="131"/>
      <c r="C709" s="131"/>
      <c r="D709" s="131"/>
      <c r="E709" s="131"/>
      <c r="F709" s="132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3"/>
      <c r="S709" s="84">
        <f t="shared" si="66"/>
        <v>0</v>
      </c>
      <c r="T709" s="133"/>
      <c r="U709" s="133"/>
      <c r="V709" s="133"/>
      <c r="W709" s="133"/>
      <c r="X709" s="133"/>
      <c r="Y709" s="133"/>
      <c r="Z709" s="133"/>
    </row>
    <row r="710" spans="1:26" ht="12.75" customHeight="1" x14ac:dyDescent="0.3">
      <c r="A710" s="131"/>
      <c r="B710" s="131"/>
      <c r="C710" s="131"/>
      <c r="D710" s="131"/>
      <c r="E710" s="131"/>
      <c r="F710" s="132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3"/>
      <c r="S710" s="84">
        <f t="shared" si="66"/>
        <v>0</v>
      </c>
      <c r="T710" s="133"/>
      <c r="U710" s="133"/>
      <c r="V710" s="133"/>
      <c r="W710" s="133"/>
      <c r="X710" s="133"/>
      <c r="Y710" s="133"/>
      <c r="Z710" s="133"/>
    </row>
    <row r="711" spans="1:26" ht="12.75" customHeight="1" x14ac:dyDescent="0.3">
      <c r="A711" s="131"/>
      <c r="B711" s="131"/>
      <c r="C711" s="131"/>
      <c r="D711" s="131"/>
      <c r="E711" s="131"/>
      <c r="F711" s="132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3"/>
      <c r="S711" s="84">
        <f t="shared" si="66"/>
        <v>0</v>
      </c>
      <c r="T711" s="133"/>
      <c r="U711" s="133"/>
      <c r="V711" s="133"/>
      <c r="W711" s="133"/>
      <c r="X711" s="133"/>
      <c r="Y711" s="133"/>
      <c r="Z711" s="133"/>
    </row>
    <row r="712" spans="1:26" ht="12.75" customHeight="1" x14ac:dyDescent="0.3">
      <c r="A712" s="131"/>
      <c r="B712" s="131"/>
      <c r="C712" s="131"/>
      <c r="D712" s="131"/>
      <c r="E712" s="131"/>
      <c r="F712" s="132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3"/>
      <c r="S712" s="84">
        <f t="shared" si="66"/>
        <v>0</v>
      </c>
      <c r="T712" s="133"/>
      <c r="U712" s="133"/>
      <c r="V712" s="133"/>
      <c r="W712" s="133"/>
      <c r="X712" s="133"/>
      <c r="Y712" s="133"/>
      <c r="Z712" s="133"/>
    </row>
    <row r="713" spans="1:26" ht="12.75" customHeight="1" x14ac:dyDescent="0.3">
      <c r="A713" s="131"/>
      <c r="B713" s="131"/>
      <c r="C713" s="131"/>
      <c r="D713" s="131"/>
      <c r="E713" s="131"/>
      <c r="F713" s="132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3"/>
      <c r="S713" s="84">
        <f t="shared" si="66"/>
        <v>0</v>
      </c>
      <c r="T713" s="133"/>
      <c r="U713" s="133"/>
      <c r="V713" s="133"/>
      <c r="W713" s="133"/>
      <c r="X713" s="133"/>
      <c r="Y713" s="133"/>
      <c r="Z713" s="133"/>
    </row>
    <row r="714" spans="1:26" ht="12.75" customHeight="1" x14ac:dyDescent="0.3">
      <c r="A714" s="131"/>
      <c r="B714" s="131"/>
      <c r="C714" s="131"/>
      <c r="D714" s="131"/>
      <c r="E714" s="131"/>
      <c r="F714" s="132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3"/>
      <c r="S714" s="84">
        <f t="shared" si="66"/>
        <v>0</v>
      </c>
      <c r="T714" s="133"/>
      <c r="U714" s="133"/>
      <c r="V714" s="133"/>
      <c r="W714" s="133"/>
      <c r="X714" s="133"/>
      <c r="Y714" s="133"/>
      <c r="Z714" s="133"/>
    </row>
    <row r="715" spans="1:26" ht="12.75" customHeight="1" x14ac:dyDescent="0.3">
      <c r="A715" s="131"/>
      <c r="B715" s="131"/>
      <c r="C715" s="131"/>
      <c r="D715" s="131"/>
      <c r="E715" s="131"/>
      <c r="F715" s="132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3"/>
      <c r="S715" s="84">
        <f t="shared" si="66"/>
        <v>0</v>
      </c>
      <c r="T715" s="133"/>
      <c r="U715" s="133"/>
      <c r="V715" s="133"/>
      <c r="W715" s="133"/>
      <c r="X715" s="133"/>
      <c r="Y715" s="133"/>
      <c r="Z715" s="133"/>
    </row>
    <row r="716" spans="1:26" ht="12.75" customHeight="1" x14ac:dyDescent="0.3">
      <c r="A716" s="131"/>
      <c r="B716" s="131"/>
      <c r="C716" s="131"/>
      <c r="D716" s="131"/>
      <c r="E716" s="131"/>
      <c r="F716" s="132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3"/>
      <c r="S716" s="84">
        <f t="shared" si="66"/>
        <v>0</v>
      </c>
      <c r="T716" s="133"/>
      <c r="U716" s="133"/>
      <c r="V716" s="133"/>
      <c r="W716" s="133"/>
      <c r="X716" s="133"/>
      <c r="Y716" s="133"/>
      <c r="Z716" s="133"/>
    </row>
    <row r="717" spans="1:26" ht="12.75" customHeight="1" x14ac:dyDescent="0.3">
      <c r="A717" s="131"/>
      <c r="B717" s="131"/>
      <c r="C717" s="131"/>
      <c r="D717" s="131"/>
      <c r="E717" s="131"/>
      <c r="F717" s="132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3"/>
      <c r="S717" s="84">
        <f t="shared" si="66"/>
        <v>0</v>
      </c>
      <c r="T717" s="133"/>
      <c r="U717" s="133"/>
      <c r="V717" s="133"/>
      <c r="W717" s="133"/>
      <c r="X717" s="133"/>
      <c r="Y717" s="133"/>
      <c r="Z717" s="133"/>
    </row>
    <row r="718" spans="1:26" ht="12.75" customHeight="1" x14ac:dyDescent="0.3">
      <c r="A718" s="131"/>
      <c r="B718" s="131"/>
      <c r="C718" s="131"/>
      <c r="D718" s="131"/>
      <c r="E718" s="131"/>
      <c r="F718" s="132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3"/>
      <c r="S718" s="84">
        <f t="shared" si="66"/>
        <v>0</v>
      </c>
      <c r="T718" s="133"/>
      <c r="U718" s="133"/>
      <c r="V718" s="133"/>
      <c r="W718" s="133"/>
      <c r="X718" s="133"/>
      <c r="Y718" s="133"/>
      <c r="Z718" s="133"/>
    </row>
    <row r="719" spans="1:26" ht="12.75" customHeight="1" x14ac:dyDescent="0.3">
      <c r="A719" s="131"/>
      <c r="B719" s="131"/>
      <c r="C719" s="131"/>
      <c r="D719" s="131"/>
      <c r="E719" s="131"/>
      <c r="F719" s="132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3"/>
      <c r="S719" s="84">
        <f t="shared" si="66"/>
        <v>0</v>
      </c>
      <c r="T719" s="133"/>
      <c r="U719" s="133"/>
      <c r="V719" s="133"/>
      <c r="W719" s="133"/>
      <c r="X719" s="133"/>
      <c r="Y719" s="133"/>
      <c r="Z719" s="133"/>
    </row>
    <row r="720" spans="1:26" ht="12.75" customHeight="1" x14ac:dyDescent="0.3">
      <c r="A720" s="131"/>
      <c r="B720" s="131"/>
      <c r="C720" s="131"/>
      <c r="D720" s="131"/>
      <c r="E720" s="131"/>
      <c r="F720" s="132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3"/>
      <c r="S720" s="84">
        <f t="shared" si="66"/>
        <v>0</v>
      </c>
      <c r="T720" s="133"/>
      <c r="U720" s="133"/>
      <c r="V720" s="133"/>
      <c r="W720" s="133"/>
      <c r="X720" s="133"/>
      <c r="Y720" s="133"/>
      <c r="Z720" s="133"/>
    </row>
    <row r="721" spans="1:26" ht="12.75" customHeight="1" x14ac:dyDescent="0.3">
      <c r="A721" s="131"/>
      <c r="B721" s="131"/>
      <c r="C721" s="131"/>
      <c r="D721" s="131"/>
      <c r="E721" s="131"/>
      <c r="F721" s="132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3"/>
      <c r="S721" s="84">
        <f t="shared" si="66"/>
        <v>0</v>
      </c>
      <c r="T721" s="133"/>
      <c r="U721" s="133"/>
      <c r="V721" s="133"/>
      <c r="W721" s="133"/>
      <c r="X721" s="133"/>
      <c r="Y721" s="133"/>
      <c r="Z721" s="133"/>
    </row>
    <row r="722" spans="1:26" ht="12.75" customHeight="1" x14ac:dyDescent="0.3">
      <c r="A722" s="131"/>
      <c r="B722" s="131"/>
      <c r="C722" s="131"/>
      <c r="D722" s="131"/>
      <c r="E722" s="131"/>
      <c r="F722" s="132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3"/>
      <c r="S722" s="84">
        <f t="shared" si="66"/>
        <v>0</v>
      </c>
      <c r="T722" s="133"/>
      <c r="U722" s="133"/>
      <c r="V722" s="133"/>
      <c r="W722" s="133"/>
      <c r="X722" s="133"/>
      <c r="Y722" s="133"/>
      <c r="Z722" s="133"/>
    </row>
    <row r="723" spans="1:26" ht="12.75" customHeight="1" x14ac:dyDescent="0.3">
      <c r="A723" s="131"/>
      <c r="B723" s="131"/>
      <c r="C723" s="131"/>
      <c r="D723" s="131"/>
      <c r="E723" s="131"/>
      <c r="F723" s="132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3"/>
      <c r="S723" s="84">
        <f t="shared" si="66"/>
        <v>0</v>
      </c>
      <c r="T723" s="133"/>
      <c r="U723" s="133"/>
      <c r="V723" s="133"/>
      <c r="W723" s="133"/>
      <c r="X723" s="133"/>
      <c r="Y723" s="133"/>
      <c r="Z723" s="133"/>
    </row>
    <row r="724" spans="1:26" ht="12.75" customHeight="1" x14ac:dyDescent="0.3">
      <c r="A724" s="131"/>
      <c r="B724" s="131"/>
      <c r="C724" s="131"/>
      <c r="D724" s="131"/>
      <c r="E724" s="131"/>
      <c r="F724" s="132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3"/>
      <c r="S724" s="84">
        <f t="shared" si="66"/>
        <v>0</v>
      </c>
      <c r="T724" s="133"/>
      <c r="U724" s="133"/>
      <c r="V724" s="133"/>
      <c r="W724" s="133"/>
      <c r="X724" s="133"/>
      <c r="Y724" s="133"/>
      <c r="Z724" s="133"/>
    </row>
    <row r="725" spans="1:26" ht="12.75" customHeight="1" x14ac:dyDescent="0.3">
      <c r="A725" s="131"/>
      <c r="B725" s="131"/>
      <c r="C725" s="131"/>
      <c r="D725" s="131"/>
      <c r="E725" s="131"/>
      <c r="F725" s="132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3"/>
      <c r="S725" s="84">
        <f t="shared" si="66"/>
        <v>0</v>
      </c>
      <c r="T725" s="133"/>
      <c r="U725" s="133"/>
      <c r="V725" s="133"/>
      <c r="W725" s="133"/>
      <c r="X725" s="133"/>
      <c r="Y725" s="133"/>
      <c r="Z725" s="133"/>
    </row>
    <row r="726" spans="1:26" ht="12.75" customHeight="1" x14ac:dyDescent="0.3">
      <c r="A726" s="131"/>
      <c r="B726" s="131"/>
      <c r="C726" s="131"/>
      <c r="D726" s="131"/>
      <c r="E726" s="131"/>
      <c r="F726" s="132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3"/>
      <c r="S726" s="84">
        <f t="shared" si="66"/>
        <v>0</v>
      </c>
      <c r="T726" s="133"/>
      <c r="U726" s="133"/>
      <c r="V726" s="133"/>
      <c r="W726" s="133"/>
      <c r="X726" s="133"/>
      <c r="Y726" s="133"/>
      <c r="Z726" s="133"/>
    </row>
    <row r="727" spans="1:26" ht="12.75" customHeight="1" x14ac:dyDescent="0.3">
      <c r="A727" s="131"/>
      <c r="B727" s="131"/>
      <c r="C727" s="131"/>
      <c r="D727" s="131"/>
      <c r="E727" s="131"/>
      <c r="F727" s="132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3"/>
      <c r="S727" s="84">
        <f t="shared" si="66"/>
        <v>0</v>
      </c>
      <c r="T727" s="133"/>
      <c r="U727" s="133"/>
      <c r="V727" s="133"/>
      <c r="W727" s="133"/>
      <c r="X727" s="133"/>
      <c r="Y727" s="133"/>
      <c r="Z727" s="133"/>
    </row>
    <row r="728" spans="1:26" ht="12.75" customHeight="1" x14ac:dyDescent="0.3">
      <c r="A728" s="131"/>
      <c r="B728" s="131"/>
      <c r="C728" s="131"/>
      <c r="D728" s="131"/>
      <c r="E728" s="131"/>
      <c r="F728" s="132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3"/>
      <c r="S728" s="84">
        <f t="shared" si="66"/>
        <v>0</v>
      </c>
      <c r="T728" s="133"/>
      <c r="U728" s="133"/>
      <c r="V728" s="133"/>
      <c r="W728" s="133"/>
      <c r="X728" s="133"/>
      <c r="Y728" s="133"/>
      <c r="Z728" s="133"/>
    </row>
    <row r="729" spans="1:26" ht="12.75" customHeight="1" x14ac:dyDescent="0.3">
      <c r="A729" s="131"/>
      <c r="B729" s="131"/>
      <c r="C729" s="131"/>
      <c r="D729" s="131"/>
      <c r="E729" s="131"/>
      <c r="F729" s="132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3"/>
      <c r="S729" s="84">
        <f t="shared" si="66"/>
        <v>0</v>
      </c>
      <c r="T729" s="133"/>
      <c r="U729" s="133"/>
      <c r="V729" s="133"/>
      <c r="W729" s="133"/>
      <c r="X729" s="133"/>
      <c r="Y729" s="133"/>
      <c r="Z729" s="133"/>
    </row>
    <row r="730" spans="1:26" ht="12.75" customHeight="1" x14ac:dyDescent="0.3">
      <c r="A730" s="131"/>
      <c r="B730" s="131"/>
      <c r="C730" s="131"/>
      <c r="D730" s="131"/>
      <c r="E730" s="131"/>
      <c r="F730" s="132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3"/>
      <c r="S730" s="84">
        <f t="shared" si="66"/>
        <v>0</v>
      </c>
      <c r="T730" s="133"/>
      <c r="U730" s="133"/>
      <c r="V730" s="133"/>
      <c r="W730" s="133"/>
      <c r="X730" s="133"/>
      <c r="Y730" s="133"/>
      <c r="Z730" s="133"/>
    </row>
    <row r="731" spans="1:26" ht="12.75" customHeight="1" x14ac:dyDescent="0.3">
      <c r="A731" s="131"/>
      <c r="B731" s="131"/>
      <c r="C731" s="131"/>
      <c r="D731" s="131"/>
      <c r="E731" s="131"/>
      <c r="F731" s="132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3"/>
      <c r="S731" s="84">
        <f t="shared" si="66"/>
        <v>0</v>
      </c>
      <c r="T731" s="133"/>
      <c r="U731" s="133"/>
      <c r="V731" s="133"/>
      <c r="W731" s="133"/>
      <c r="X731" s="133"/>
      <c r="Y731" s="133"/>
      <c r="Z731" s="133"/>
    </row>
    <row r="732" spans="1:26" ht="12.75" customHeight="1" x14ac:dyDescent="0.3">
      <c r="A732" s="131"/>
      <c r="B732" s="131"/>
      <c r="C732" s="131"/>
      <c r="D732" s="131"/>
      <c r="E732" s="131"/>
      <c r="F732" s="132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3"/>
      <c r="S732" s="84">
        <f t="shared" si="66"/>
        <v>0</v>
      </c>
      <c r="T732" s="133"/>
      <c r="U732" s="133"/>
      <c r="V732" s="133"/>
      <c r="W732" s="133"/>
      <c r="X732" s="133"/>
      <c r="Y732" s="133"/>
      <c r="Z732" s="133"/>
    </row>
    <row r="733" spans="1:26" ht="12.75" customHeight="1" x14ac:dyDescent="0.3">
      <c r="A733" s="131"/>
      <c r="B733" s="131"/>
      <c r="C733" s="131"/>
      <c r="D733" s="131"/>
      <c r="E733" s="131"/>
      <c r="F733" s="132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3"/>
      <c r="S733" s="84">
        <f t="shared" si="66"/>
        <v>0</v>
      </c>
      <c r="T733" s="133"/>
      <c r="U733" s="133"/>
      <c r="V733" s="133"/>
      <c r="W733" s="133"/>
      <c r="X733" s="133"/>
      <c r="Y733" s="133"/>
      <c r="Z733" s="133"/>
    </row>
    <row r="734" spans="1:26" ht="12.75" customHeight="1" x14ac:dyDescent="0.3">
      <c r="A734" s="131"/>
      <c r="B734" s="131"/>
      <c r="C734" s="131"/>
      <c r="D734" s="131"/>
      <c r="E734" s="131"/>
      <c r="F734" s="132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3"/>
      <c r="S734" s="84">
        <f t="shared" si="66"/>
        <v>0</v>
      </c>
      <c r="T734" s="133"/>
      <c r="U734" s="133"/>
      <c r="V734" s="133"/>
      <c r="W734" s="133"/>
      <c r="X734" s="133"/>
      <c r="Y734" s="133"/>
      <c r="Z734" s="133"/>
    </row>
    <row r="735" spans="1:26" ht="12.75" customHeight="1" x14ac:dyDescent="0.3">
      <c r="A735" s="131"/>
      <c r="B735" s="131"/>
      <c r="C735" s="131"/>
      <c r="D735" s="131"/>
      <c r="E735" s="131"/>
      <c r="F735" s="132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3"/>
      <c r="S735" s="84">
        <f t="shared" si="66"/>
        <v>0</v>
      </c>
      <c r="T735" s="133"/>
      <c r="U735" s="133"/>
      <c r="V735" s="133"/>
      <c r="W735" s="133"/>
      <c r="X735" s="133"/>
      <c r="Y735" s="133"/>
      <c r="Z735" s="133"/>
    </row>
    <row r="736" spans="1:26" ht="12.75" customHeight="1" x14ac:dyDescent="0.3">
      <c r="A736" s="131"/>
      <c r="B736" s="131"/>
      <c r="C736" s="131"/>
      <c r="D736" s="131"/>
      <c r="E736" s="131"/>
      <c r="F736" s="132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3"/>
      <c r="S736" s="84">
        <f t="shared" si="66"/>
        <v>0</v>
      </c>
      <c r="T736" s="133"/>
      <c r="U736" s="133"/>
      <c r="V736" s="133"/>
      <c r="W736" s="133"/>
      <c r="X736" s="133"/>
      <c r="Y736" s="133"/>
      <c r="Z736" s="133"/>
    </row>
    <row r="737" spans="1:26" ht="12.75" customHeight="1" x14ac:dyDescent="0.3">
      <c r="A737" s="131"/>
      <c r="B737" s="131"/>
      <c r="C737" s="131"/>
      <c r="D737" s="131"/>
      <c r="E737" s="131"/>
      <c r="F737" s="132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3"/>
      <c r="S737" s="84">
        <f t="shared" si="66"/>
        <v>0</v>
      </c>
      <c r="T737" s="133"/>
      <c r="U737" s="133"/>
      <c r="V737" s="133"/>
      <c r="W737" s="133"/>
      <c r="X737" s="133"/>
      <c r="Y737" s="133"/>
      <c r="Z737" s="133"/>
    </row>
    <row r="738" spans="1:26" ht="12.75" customHeight="1" x14ac:dyDescent="0.3">
      <c r="A738" s="131"/>
      <c r="B738" s="131"/>
      <c r="C738" s="131"/>
      <c r="D738" s="131"/>
      <c r="E738" s="131"/>
      <c r="F738" s="132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3"/>
      <c r="S738" s="84">
        <f t="shared" si="66"/>
        <v>0</v>
      </c>
      <c r="T738" s="133"/>
      <c r="U738" s="133"/>
      <c r="V738" s="133"/>
      <c r="W738" s="133"/>
      <c r="X738" s="133"/>
      <c r="Y738" s="133"/>
      <c r="Z738" s="133"/>
    </row>
    <row r="739" spans="1:26" ht="12.75" customHeight="1" x14ac:dyDescent="0.3">
      <c r="A739" s="131"/>
      <c r="B739" s="131"/>
      <c r="C739" s="131"/>
      <c r="D739" s="131"/>
      <c r="E739" s="131"/>
      <c r="F739" s="132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3"/>
      <c r="S739" s="84">
        <f t="shared" si="66"/>
        <v>0</v>
      </c>
      <c r="T739" s="133"/>
      <c r="U739" s="133"/>
      <c r="V739" s="133"/>
      <c r="W739" s="133"/>
      <c r="X739" s="133"/>
      <c r="Y739" s="133"/>
      <c r="Z739" s="133"/>
    </row>
    <row r="740" spans="1:26" ht="12.75" customHeight="1" x14ac:dyDescent="0.3">
      <c r="A740" s="131"/>
      <c r="B740" s="131"/>
      <c r="C740" s="131"/>
      <c r="D740" s="131"/>
      <c r="E740" s="131"/>
      <c r="F740" s="132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3"/>
      <c r="S740" s="84">
        <f t="shared" si="66"/>
        <v>0</v>
      </c>
      <c r="T740" s="133"/>
      <c r="U740" s="133"/>
      <c r="V740" s="133"/>
      <c r="W740" s="133"/>
      <c r="X740" s="133"/>
      <c r="Y740" s="133"/>
      <c r="Z740" s="133"/>
    </row>
    <row r="741" spans="1:26" ht="12.75" customHeight="1" x14ac:dyDescent="0.3">
      <c r="A741" s="131"/>
      <c r="B741" s="131"/>
      <c r="C741" s="131"/>
      <c r="D741" s="131"/>
      <c r="E741" s="131"/>
      <c r="F741" s="132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3"/>
      <c r="S741" s="84">
        <f t="shared" si="66"/>
        <v>0</v>
      </c>
      <c r="T741" s="133"/>
      <c r="U741" s="133"/>
      <c r="V741" s="133"/>
      <c r="W741" s="133"/>
      <c r="X741" s="133"/>
      <c r="Y741" s="133"/>
      <c r="Z741" s="133"/>
    </row>
    <row r="742" spans="1:26" ht="12.75" customHeight="1" x14ac:dyDescent="0.3">
      <c r="A742" s="131"/>
      <c r="B742" s="131"/>
      <c r="C742" s="131"/>
      <c r="D742" s="131"/>
      <c r="E742" s="131"/>
      <c r="F742" s="132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3"/>
      <c r="S742" s="84">
        <f t="shared" si="66"/>
        <v>0</v>
      </c>
      <c r="T742" s="133"/>
      <c r="U742" s="133"/>
      <c r="V742" s="133"/>
      <c r="W742" s="133"/>
      <c r="X742" s="133"/>
      <c r="Y742" s="133"/>
      <c r="Z742" s="133"/>
    </row>
    <row r="743" spans="1:26" ht="12.75" customHeight="1" x14ac:dyDescent="0.3">
      <c r="A743" s="131"/>
      <c r="B743" s="131"/>
      <c r="C743" s="131"/>
      <c r="D743" s="131"/>
      <c r="E743" s="131"/>
      <c r="F743" s="132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3"/>
      <c r="S743" s="84">
        <f t="shared" si="66"/>
        <v>0</v>
      </c>
      <c r="T743" s="133"/>
      <c r="U743" s="133"/>
      <c r="V743" s="133"/>
      <c r="W743" s="133"/>
      <c r="X743" s="133"/>
      <c r="Y743" s="133"/>
      <c r="Z743" s="133"/>
    </row>
    <row r="744" spans="1:26" ht="12.75" customHeight="1" x14ac:dyDescent="0.3">
      <c r="A744" s="131"/>
      <c r="B744" s="131"/>
      <c r="C744" s="131"/>
      <c r="D744" s="131"/>
      <c r="E744" s="131"/>
      <c r="F744" s="132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3"/>
      <c r="S744" s="84">
        <f t="shared" si="66"/>
        <v>0</v>
      </c>
      <c r="T744" s="133"/>
      <c r="U744" s="133"/>
      <c r="V744" s="133"/>
      <c r="W744" s="133"/>
      <c r="X744" s="133"/>
      <c r="Y744" s="133"/>
      <c r="Z744" s="133"/>
    </row>
    <row r="745" spans="1:26" ht="12.75" customHeight="1" x14ac:dyDescent="0.3">
      <c r="A745" s="131"/>
      <c r="B745" s="131"/>
      <c r="C745" s="131"/>
      <c r="D745" s="131"/>
      <c r="E745" s="131"/>
      <c r="F745" s="132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3"/>
      <c r="S745" s="84">
        <f t="shared" si="66"/>
        <v>0</v>
      </c>
      <c r="T745" s="133"/>
      <c r="U745" s="133"/>
      <c r="V745" s="133"/>
      <c r="W745" s="133"/>
      <c r="X745" s="133"/>
      <c r="Y745" s="133"/>
      <c r="Z745" s="133"/>
    </row>
    <row r="746" spans="1:26" ht="12.75" customHeight="1" x14ac:dyDescent="0.3">
      <c r="A746" s="131"/>
      <c r="B746" s="131"/>
      <c r="C746" s="131"/>
      <c r="D746" s="131"/>
      <c r="E746" s="131"/>
      <c r="F746" s="132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3"/>
      <c r="S746" s="84">
        <f t="shared" si="66"/>
        <v>0</v>
      </c>
      <c r="T746" s="133"/>
      <c r="U746" s="133"/>
      <c r="V746" s="133"/>
      <c r="W746" s="133"/>
      <c r="X746" s="133"/>
      <c r="Y746" s="133"/>
      <c r="Z746" s="133"/>
    </row>
    <row r="747" spans="1:26" ht="12.75" customHeight="1" x14ac:dyDescent="0.3">
      <c r="A747" s="131"/>
      <c r="B747" s="131"/>
      <c r="C747" s="131"/>
      <c r="D747" s="131"/>
      <c r="E747" s="131"/>
      <c r="F747" s="132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3"/>
      <c r="S747" s="84">
        <f t="shared" si="66"/>
        <v>0</v>
      </c>
      <c r="T747" s="133"/>
      <c r="U747" s="133"/>
      <c r="V747" s="133"/>
      <c r="W747" s="133"/>
      <c r="X747" s="133"/>
      <c r="Y747" s="133"/>
      <c r="Z747" s="133"/>
    </row>
    <row r="748" spans="1:26" ht="12.75" customHeight="1" x14ac:dyDescent="0.3">
      <c r="A748" s="131"/>
      <c r="B748" s="131"/>
      <c r="C748" s="131"/>
      <c r="D748" s="131"/>
      <c r="E748" s="131"/>
      <c r="F748" s="132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3"/>
      <c r="S748" s="84">
        <f t="shared" si="66"/>
        <v>0</v>
      </c>
      <c r="T748" s="133"/>
      <c r="U748" s="133"/>
      <c r="V748" s="133"/>
      <c r="W748" s="133"/>
      <c r="X748" s="133"/>
      <c r="Y748" s="133"/>
      <c r="Z748" s="133"/>
    </row>
    <row r="749" spans="1:26" ht="12.75" customHeight="1" x14ac:dyDescent="0.3">
      <c r="A749" s="131"/>
      <c r="B749" s="131"/>
      <c r="C749" s="131"/>
      <c r="D749" s="131"/>
      <c r="E749" s="131"/>
      <c r="F749" s="132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3"/>
      <c r="S749" s="84">
        <f t="shared" si="66"/>
        <v>0</v>
      </c>
      <c r="T749" s="133"/>
      <c r="U749" s="133"/>
      <c r="V749" s="133"/>
      <c r="W749" s="133"/>
      <c r="X749" s="133"/>
      <c r="Y749" s="133"/>
      <c r="Z749" s="133"/>
    </row>
    <row r="750" spans="1:26" ht="12.75" customHeight="1" x14ac:dyDescent="0.3">
      <c r="A750" s="131"/>
      <c r="B750" s="131"/>
      <c r="C750" s="131"/>
      <c r="D750" s="131"/>
      <c r="E750" s="131"/>
      <c r="F750" s="132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3"/>
      <c r="S750" s="84">
        <f t="shared" si="66"/>
        <v>0</v>
      </c>
      <c r="T750" s="133"/>
      <c r="U750" s="133"/>
      <c r="V750" s="133"/>
      <c r="W750" s="133"/>
      <c r="X750" s="133"/>
      <c r="Y750" s="133"/>
      <c r="Z750" s="133"/>
    </row>
    <row r="751" spans="1:26" ht="12.75" customHeight="1" x14ac:dyDescent="0.3">
      <c r="A751" s="131"/>
      <c r="B751" s="131"/>
      <c r="C751" s="131"/>
      <c r="D751" s="131"/>
      <c r="E751" s="131"/>
      <c r="F751" s="132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3"/>
      <c r="S751" s="84">
        <f t="shared" si="66"/>
        <v>0</v>
      </c>
      <c r="T751" s="133"/>
      <c r="U751" s="133"/>
      <c r="V751" s="133"/>
      <c r="W751" s="133"/>
      <c r="X751" s="133"/>
      <c r="Y751" s="133"/>
      <c r="Z751" s="133"/>
    </row>
    <row r="752" spans="1:26" ht="12.75" customHeight="1" x14ac:dyDescent="0.3">
      <c r="A752" s="131"/>
      <c r="B752" s="131"/>
      <c r="C752" s="131"/>
      <c r="D752" s="131"/>
      <c r="E752" s="131"/>
      <c r="F752" s="132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3"/>
      <c r="S752" s="84">
        <f t="shared" si="66"/>
        <v>0</v>
      </c>
      <c r="T752" s="133"/>
      <c r="U752" s="133"/>
      <c r="V752" s="133"/>
      <c r="W752" s="133"/>
      <c r="X752" s="133"/>
      <c r="Y752" s="133"/>
      <c r="Z752" s="133"/>
    </row>
    <row r="753" spans="1:26" ht="12.75" customHeight="1" x14ac:dyDescent="0.3">
      <c r="A753" s="131"/>
      <c r="B753" s="131"/>
      <c r="C753" s="131"/>
      <c r="D753" s="131"/>
      <c r="E753" s="131"/>
      <c r="F753" s="132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3"/>
      <c r="S753" s="84">
        <f t="shared" si="66"/>
        <v>0</v>
      </c>
      <c r="T753" s="133"/>
      <c r="U753" s="133"/>
      <c r="V753" s="133"/>
      <c r="W753" s="133"/>
      <c r="X753" s="133"/>
      <c r="Y753" s="133"/>
      <c r="Z753" s="133"/>
    </row>
    <row r="754" spans="1:26" ht="12.75" customHeight="1" x14ac:dyDescent="0.3">
      <c r="A754" s="131"/>
      <c r="B754" s="131"/>
      <c r="C754" s="131"/>
      <c r="D754" s="131"/>
      <c r="E754" s="131"/>
      <c r="F754" s="132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3"/>
      <c r="S754" s="84">
        <f t="shared" si="66"/>
        <v>0</v>
      </c>
      <c r="T754" s="133"/>
      <c r="U754" s="133"/>
      <c r="V754" s="133"/>
      <c r="W754" s="133"/>
      <c r="X754" s="133"/>
      <c r="Y754" s="133"/>
      <c r="Z754" s="133"/>
    </row>
    <row r="755" spans="1:26" ht="12.75" customHeight="1" x14ac:dyDescent="0.3">
      <c r="A755" s="131"/>
      <c r="B755" s="131"/>
      <c r="C755" s="131"/>
      <c r="D755" s="131"/>
      <c r="E755" s="131"/>
      <c r="F755" s="132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3"/>
      <c r="S755" s="84">
        <f t="shared" si="66"/>
        <v>0</v>
      </c>
      <c r="T755" s="133"/>
      <c r="U755" s="133"/>
      <c r="V755" s="133"/>
      <c r="W755" s="133"/>
      <c r="X755" s="133"/>
      <c r="Y755" s="133"/>
      <c r="Z755" s="133"/>
    </row>
    <row r="756" spans="1:26" ht="12.75" customHeight="1" x14ac:dyDescent="0.3">
      <c r="A756" s="131"/>
      <c r="B756" s="131"/>
      <c r="C756" s="131"/>
      <c r="D756" s="131"/>
      <c r="E756" s="131"/>
      <c r="F756" s="132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3"/>
      <c r="S756" s="84">
        <f t="shared" si="66"/>
        <v>0</v>
      </c>
      <c r="T756" s="133"/>
      <c r="U756" s="133"/>
      <c r="V756" s="133"/>
      <c r="W756" s="133"/>
      <c r="X756" s="133"/>
      <c r="Y756" s="133"/>
      <c r="Z756" s="133"/>
    </row>
    <row r="757" spans="1:26" ht="12.75" customHeight="1" x14ac:dyDescent="0.3">
      <c r="A757" s="131"/>
      <c r="B757" s="131"/>
      <c r="C757" s="131"/>
      <c r="D757" s="131"/>
      <c r="E757" s="131"/>
      <c r="F757" s="132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3"/>
      <c r="S757" s="84">
        <f t="shared" si="66"/>
        <v>0</v>
      </c>
      <c r="T757" s="133"/>
      <c r="U757" s="133"/>
      <c r="V757" s="133"/>
      <c r="W757" s="133"/>
      <c r="X757" s="133"/>
      <c r="Y757" s="133"/>
      <c r="Z757" s="133"/>
    </row>
    <row r="758" spans="1:26" ht="12.75" customHeight="1" x14ac:dyDescent="0.3">
      <c r="A758" s="131"/>
      <c r="B758" s="131"/>
      <c r="C758" s="131"/>
      <c r="D758" s="131"/>
      <c r="E758" s="131"/>
      <c r="F758" s="132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3"/>
      <c r="S758" s="84">
        <f t="shared" si="66"/>
        <v>0</v>
      </c>
      <c r="T758" s="133"/>
      <c r="U758" s="133"/>
      <c r="V758" s="133"/>
      <c r="W758" s="133"/>
      <c r="X758" s="133"/>
      <c r="Y758" s="133"/>
      <c r="Z758" s="133"/>
    </row>
    <row r="759" spans="1:26" ht="12.75" customHeight="1" x14ac:dyDescent="0.3">
      <c r="A759" s="131"/>
      <c r="B759" s="131"/>
      <c r="C759" s="131"/>
      <c r="D759" s="131"/>
      <c r="E759" s="131"/>
      <c r="F759" s="132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3"/>
      <c r="S759" s="84">
        <f t="shared" si="66"/>
        <v>0</v>
      </c>
      <c r="T759" s="133"/>
      <c r="U759" s="133"/>
      <c r="V759" s="133"/>
      <c r="W759" s="133"/>
      <c r="X759" s="133"/>
      <c r="Y759" s="133"/>
      <c r="Z759" s="133"/>
    </row>
    <row r="760" spans="1:26" ht="12.75" customHeight="1" x14ac:dyDescent="0.3">
      <c r="A760" s="131"/>
      <c r="B760" s="131"/>
      <c r="C760" s="131"/>
      <c r="D760" s="131"/>
      <c r="E760" s="131"/>
      <c r="F760" s="132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3"/>
      <c r="S760" s="84">
        <f t="shared" si="66"/>
        <v>0</v>
      </c>
      <c r="T760" s="133"/>
      <c r="U760" s="133"/>
      <c r="V760" s="133"/>
      <c r="W760" s="133"/>
      <c r="X760" s="133"/>
      <c r="Y760" s="133"/>
      <c r="Z760" s="133"/>
    </row>
    <row r="761" spans="1:26" ht="12.75" customHeight="1" x14ac:dyDescent="0.3">
      <c r="A761" s="131"/>
      <c r="B761" s="131"/>
      <c r="C761" s="131"/>
      <c r="D761" s="131"/>
      <c r="E761" s="131"/>
      <c r="F761" s="132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3"/>
      <c r="S761" s="84">
        <f t="shared" si="66"/>
        <v>0</v>
      </c>
      <c r="T761" s="133"/>
      <c r="U761" s="133"/>
      <c r="V761" s="133"/>
      <c r="W761" s="133"/>
      <c r="X761" s="133"/>
      <c r="Y761" s="133"/>
      <c r="Z761" s="133"/>
    </row>
    <row r="762" spans="1:26" ht="12.75" customHeight="1" x14ac:dyDescent="0.3">
      <c r="A762" s="131"/>
      <c r="B762" s="131"/>
      <c r="C762" s="131"/>
      <c r="D762" s="131"/>
      <c r="E762" s="131"/>
      <c r="F762" s="132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3"/>
      <c r="S762" s="84">
        <f t="shared" si="66"/>
        <v>0</v>
      </c>
      <c r="T762" s="133"/>
      <c r="U762" s="133"/>
      <c r="V762" s="133"/>
      <c r="W762" s="133"/>
      <c r="X762" s="133"/>
      <c r="Y762" s="133"/>
      <c r="Z762" s="133"/>
    </row>
    <row r="763" spans="1:26" ht="12.75" customHeight="1" x14ac:dyDescent="0.3">
      <c r="A763" s="131"/>
      <c r="B763" s="131"/>
      <c r="C763" s="131"/>
      <c r="D763" s="131"/>
      <c r="E763" s="131"/>
      <c r="F763" s="132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3"/>
      <c r="S763" s="84">
        <f t="shared" si="66"/>
        <v>0</v>
      </c>
      <c r="T763" s="133"/>
      <c r="U763" s="133"/>
      <c r="V763" s="133"/>
      <c r="W763" s="133"/>
      <c r="X763" s="133"/>
      <c r="Y763" s="133"/>
      <c r="Z763" s="133"/>
    </row>
    <row r="764" spans="1:26" ht="12.75" customHeight="1" x14ac:dyDescent="0.3">
      <c r="A764" s="131"/>
      <c r="B764" s="131"/>
      <c r="C764" s="131"/>
      <c r="D764" s="131"/>
      <c r="E764" s="131"/>
      <c r="F764" s="132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3"/>
      <c r="S764" s="84">
        <f t="shared" si="66"/>
        <v>0</v>
      </c>
      <c r="T764" s="133"/>
      <c r="U764" s="133"/>
      <c r="V764" s="133"/>
      <c r="W764" s="133"/>
      <c r="X764" s="133"/>
      <c r="Y764" s="133"/>
      <c r="Z764" s="133"/>
    </row>
    <row r="765" spans="1:26" ht="12.75" customHeight="1" x14ac:dyDescent="0.3">
      <c r="A765" s="131"/>
      <c r="B765" s="131"/>
      <c r="C765" s="131"/>
      <c r="D765" s="131"/>
      <c r="E765" s="131"/>
      <c r="F765" s="132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3"/>
      <c r="S765" s="84">
        <f t="shared" si="66"/>
        <v>0</v>
      </c>
      <c r="T765" s="133"/>
      <c r="U765" s="133"/>
      <c r="V765" s="133"/>
      <c r="W765" s="133"/>
      <c r="X765" s="133"/>
      <c r="Y765" s="133"/>
      <c r="Z765" s="133"/>
    </row>
    <row r="766" spans="1:26" ht="12.75" customHeight="1" x14ac:dyDescent="0.3">
      <c r="A766" s="131"/>
      <c r="B766" s="131"/>
      <c r="C766" s="131"/>
      <c r="D766" s="131"/>
      <c r="E766" s="131"/>
      <c r="F766" s="132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3"/>
      <c r="S766" s="84">
        <f t="shared" si="66"/>
        <v>0</v>
      </c>
      <c r="T766" s="133"/>
      <c r="U766" s="133"/>
      <c r="V766" s="133"/>
      <c r="W766" s="133"/>
      <c r="X766" s="133"/>
      <c r="Y766" s="133"/>
      <c r="Z766" s="133"/>
    </row>
    <row r="767" spans="1:26" ht="12.75" customHeight="1" x14ac:dyDescent="0.3">
      <c r="A767" s="131"/>
      <c r="B767" s="131"/>
      <c r="C767" s="131"/>
      <c r="D767" s="131"/>
      <c r="E767" s="131"/>
      <c r="F767" s="132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3"/>
      <c r="S767" s="84">
        <f t="shared" si="66"/>
        <v>0</v>
      </c>
      <c r="T767" s="133"/>
      <c r="U767" s="133"/>
      <c r="V767" s="133"/>
      <c r="W767" s="133"/>
      <c r="X767" s="133"/>
      <c r="Y767" s="133"/>
      <c r="Z767" s="133"/>
    </row>
    <row r="768" spans="1:26" ht="12.75" customHeight="1" x14ac:dyDescent="0.3">
      <c r="A768" s="131"/>
      <c r="B768" s="131"/>
      <c r="C768" s="131"/>
      <c r="D768" s="131"/>
      <c r="E768" s="131"/>
      <c r="F768" s="132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3"/>
      <c r="S768" s="84">
        <f t="shared" si="66"/>
        <v>0</v>
      </c>
      <c r="T768" s="133"/>
      <c r="U768" s="133"/>
      <c r="V768" s="133"/>
      <c r="W768" s="133"/>
      <c r="X768" s="133"/>
      <c r="Y768" s="133"/>
      <c r="Z768" s="133"/>
    </row>
    <row r="769" spans="1:26" ht="12.75" customHeight="1" x14ac:dyDescent="0.3">
      <c r="A769" s="131"/>
      <c r="B769" s="131"/>
      <c r="C769" s="131"/>
      <c r="D769" s="131"/>
      <c r="E769" s="131"/>
      <c r="F769" s="132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3"/>
      <c r="S769" s="84">
        <f t="shared" si="66"/>
        <v>0</v>
      </c>
      <c r="T769" s="133"/>
      <c r="U769" s="133"/>
      <c r="V769" s="133"/>
      <c r="W769" s="133"/>
      <c r="X769" s="133"/>
      <c r="Y769" s="133"/>
      <c r="Z769" s="133"/>
    </row>
    <row r="770" spans="1:26" ht="12.75" customHeight="1" x14ac:dyDescent="0.3">
      <c r="A770" s="131"/>
      <c r="B770" s="131"/>
      <c r="C770" s="131"/>
      <c r="D770" s="131"/>
      <c r="E770" s="131"/>
      <c r="F770" s="132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3"/>
      <c r="S770" s="84">
        <f t="shared" si="66"/>
        <v>0</v>
      </c>
      <c r="T770" s="133"/>
      <c r="U770" s="133"/>
      <c r="V770" s="133"/>
      <c r="W770" s="133"/>
      <c r="X770" s="133"/>
      <c r="Y770" s="133"/>
      <c r="Z770" s="133"/>
    </row>
    <row r="771" spans="1:26" ht="12.75" customHeight="1" x14ac:dyDescent="0.3">
      <c r="A771" s="131"/>
      <c r="B771" s="131"/>
      <c r="C771" s="131"/>
      <c r="D771" s="131"/>
      <c r="E771" s="131"/>
      <c r="F771" s="132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3"/>
      <c r="S771" s="84">
        <f t="shared" si="66"/>
        <v>0</v>
      </c>
      <c r="T771" s="133"/>
      <c r="U771" s="133"/>
      <c r="V771" s="133"/>
      <c r="W771" s="133"/>
      <c r="X771" s="133"/>
      <c r="Y771" s="133"/>
      <c r="Z771" s="133"/>
    </row>
    <row r="772" spans="1:26" ht="12.75" customHeight="1" x14ac:dyDescent="0.3">
      <c r="A772" s="131"/>
      <c r="B772" s="131"/>
      <c r="C772" s="131"/>
      <c r="D772" s="131"/>
      <c r="E772" s="131"/>
      <c r="F772" s="132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3"/>
      <c r="S772" s="84">
        <f t="shared" si="66"/>
        <v>0</v>
      </c>
      <c r="T772" s="133"/>
      <c r="U772" s="133"/>
      <c r="V772" s="133"/>
      <c r="W772" s="133"/>
      <c r="X772" s="133"/>
      <c r="Y772" s="133"/>
      <c r="Z772" s="133"/>
    </row>
    <row r="773" spans="1:26" ht="12.75" customHeight="1" x14ac:dyDescent="0.3">
      <c r="A773" s="131"/>
      <c r="B773" s="131"/>
      <c r="C773" s="131"/>
      <c r="D773" s="131"/>
      <c r="E773" s="131"/>
      <c r="F773" s="132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3"/>
      <c r="S773" s="84">
        <f t="shared" si="66"/>
        <v>0</v>
      </c>
      <c r="T773" s="133"/>
      <c r="U773" s="133"/>
      <c r="V773" s="133"/>
      <c r="W773" s="133"/>
      <c r="X773" s="133"/>
      <c r="Y773" s="133"/>
      <c r="Z773" s="133"/>
    </row>
    <row r="774" spans="1:26" ht="12.75" customHeight="1" x14ac:dyDescent="0.3">
      <c r="A774" s="131"/>
      <c r="B774" s="131"/>
      <c r="C774" s="131"/>
      <c r="D774" s="131"/>
      <c r="E774" s="131"/>
      <c r="F774" s="132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3"/>
      <c r="S774" s="84">
        <f t="shared" si="66"/>
        <v>0</v>
      </c>
      <c r="T774" s="133"/>
      <c r="U774" s="133"/>
      <c r="V774" s="133"/>
      <c r="W774" s="133"/>
      <c r="X774" s="133"/>
      <c r="Y774" s="133"/>
      <c r="Z774" s="133"/>
    </row>
    <row r="775" spans="1:26" ht="12.75" customHeight="1" x14ac:dyDescent="0.3">
      <c r="A775" s="131"/>
      <c r="B775" s="131"/>
      <c r="C775" s="131"/>
      <c r="D775" s="131"/>
      <c r="E775" s="131"/>
      <c r="F775" s="132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3"/>
      <c r="S775" s="84">
        <f t="shared" si="66"/>
        <v>0</v>
      </c>
      <c r="T775" s="133"/>
      <c r="U775" s="133"/>
      <c r="V775" s="133"/>
      <c r="W775" s="133"/>
      <c r="X775" s="133"/>
      <c r="Y775" s="133"/>
      <c r="Z775" s="133"/>
    </row>
    <row r="776" spans="1:26" ht="12.75" customHeight="1" x14ac:dyDescent="0.3">
      <c r="A776" s="131"/>
      <c r="B776" s="131"/>
      <c r="C776" s="131"/>
      <c r="D776" s="131"/>
      <c r="E776" s="131"/>
      <c r="F776" s="132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3"/>
      <c r="S776" s="84">
        <f t="shared" si="66"/>
        <v>0</v>
      </c>
      <c r="T776" s="133"/>
      <c r="U776" s="133"/>
      <c r="V776" s="133"/>
      <c r="W776" s="133"/>
      <c r="X776" s="133"/>
      <c r="Y776" s="133"/>
      <c r="Z776" s="133"/>
    </row>
    <row r="777" spans="1:26" ht="12.75" customHeight="1" x14ac:dyDescent="0.3">
      <c r="A777" s="131"/>
      <c r="B777" s="131"/>
      <c r="C777" s="131"/>
      <c r="D777" s="131"/>
      <c r="E777" s="131"/>
      <c r="F777" s="132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3"/>
      <c r="S777" s="84">
        <f t="shared" si="66"/>
        <v>0</v>
      </c>
      <c r="T777" s="133"/>
      <c r="U777" s="133"/>
      <c r="V777" s="133"/>
      <c r="W777" s="133"/>
      <c r="X777" s="133"/>
      <c r="Y777" s="133"/>
      <c r="Z777" s="133"/>
    </row>
    <row r="778" spans="1:26" ht="12.75" customHeight="1" x14ac:dyDescent="0.3">
      <c r="A778" s="131"/>
      <c r="B778" s="131"/>
      <c r="C778" s="131"/>
      <c r="D778" s="131"/>
      <c r="E778" s="131"/>
      <c r="F778" s="132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3"/>
      <c r="S778" s="84">
        <f t="shared" si="66"/>
        <v>0</v>
      </c>
      <c r="T778" s="133"/>
      <c r="U778" s="133"/>
      <c r="V778" s="133"/>
      <c r="W778" s="133"/>
      <c r="X778" s="133"/>
      <c r="Y778" s="133"/>
      <c r="Z778" s="133"/>
    </row>
    <row r="779" spans="1:26" ht="12.75" customHeight="1" x14ac:dyDescent="0.3">
      <c r="A779" s="131"/>
      <c r="B779" s="131"/>
      <c r="C779" s="131"/>
      <c r="D779" s="131"/>
      <c r="E779" s="131"/>
      <c r="F779" s="132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3"/>
      <c r="S779" s="84">
        <f t="shared" si="66"/>
        <v>0</v>
      </c>
      <c r="T779" s="133"/>
      <c r="U779" s="133"/>
      <c r="V779" s="133"/>
      <c r="W779" s="133"/>
      <c r="X779" s="133"/>
      <c r="Y779" s="133"/>
      <c r="Z779" s="133"/>
    </row>
    <row r="780" spans="1:26" ht="12.75" customHeight="1" x14ac:dyDescent="0.3">
      <c r="A780" s="131"/>
      <c r="B780" s="131"/>
      <c r="C780" s="131"/>
      <c r="D780" s="131"/>
      <c r="E780" s="131"/>
      <c r="F780" s="132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3"/>
      <c r="S780" s="84">
        <f t="shared" si="66"/>
        <v>0</v>
      </c>
      <c r="T780" s="133"/>
      <c r="U780" s="133"/>
      <c r="V780" s="133"/>
      <c r="W780" s="133"/>
      <c r="X780" s="133"/>
      <c r="Y780" s="133"/>
      <c r="Z780" s="133"/>
    </row>
    <row r="781" spans="1:26" ht="12.75" customHeight="1" x14ac:dyDescent="0.3">
      <c r="A781" s="131"/>
      <c r="B781" s="131"/>
      <c r="C781" s="131"/>
      <c r="D781" s="131"/>
      <c r="E781" s="131"/>
      <c r="F781" s="132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3"/>
      <c r="S781" s="84">
        <f t="shared" si="66"/>
        <v>0</v>
      </c>
      <c r="T781" s="133"/>
      <c r="U781" s="133"/>
      <c r="V781" s="133"/>
      <c r="W781" s="133"/>
      <c r="X781" s="133"/>
      <c r="Y781" s="133"/>
      <c r="Z781" s="133"/>
    </row>
    <row r="782" spans="1:26" ht="12.75" customHeight="1" x14ac:dyDescent="0.3">
      <c r="A782" s="131"/>
      <c r="B782" s="131"/>
      <c r="C782" s="131"/>
      <c r="D782" s="131"/>
      <c r="E782" s="131"/>
      <c r="F782" s="132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3"/>
      <c r="S782" s="84">
        <f t="shared" si="66"/>
        <v>0</v>
      </c>
      <c r="T782" s="133"/>
      <c r="U782" s="133"/>
      <c r="V782" s="133"/>
      <c r="W782" s="133"/>
      <c r="X782" s="133"/>
      <c r="Y782" s="133"/>
      <c r="Z782" s="133"/>
    </row>
    <row r="783" spans="1:26" ht="12.75" customHeight="1" x14ac:dyDescent="0.3">
      <c r="A783" s="131"/>
      <c r="B783" s="131"/>
      <c r="C783" s="131"/>
      <c r="D783" s="131"/>
      <c r="E783" s="131"/>
      <c r="F783" s="132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3"/>
      <c r="S783" s="84">
        <f t="shared" si="66"/>
        <v>0</v>
      </c>
      <c r="T783" s="133"/>
      <c r="U783" s="133"/>
      <c r="V783" s="133"/>
      <c r="W783" s="133"/>
      <c r="X783" s="133"/>
      <c r="Y783" s="133"/>
      <c r="Z783" s="133"/>
    </row>
    <row r="784" spans="1:26" ht="12.75" customHeight="1" x14ac:dyDescent="0.3">
      <c r="A784" s="131"/>
      <c r="B784" s="131"/>
      <c r="C784" s="131"/>
      <c r="D784" s="131"/>
      <c r="E784" s="131"/>
      <c r="F784" s="132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3"/>
      <c r="S784" s="84">
        <f t="shared" si="66"/>
        <v>0</v>
      </c>
      <c r="T784" s="133"/>
      <c r="U784" s="133"/>
      <c r="V784" s="133"/>
      <c r="W784" s="133"/>
      <c r="X784" s="133"/>
      <c r="Y784" s="133"/>
      <c r="Z784" s="133"/>
    </row>
    <row r="785" spans="1:26" ht="12.75" customHeight="1" x14ac:dyDescent="0.3">
      <c r="A785" s="131"/>
      <c r="B785" s="131"/>
      <c r="C785" s="131"/>
      <c r="D785" s="131"/>
      <c r="E785" s="131"/>
      <c r="F785" s="132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3"/>
      <c r="S785" s="84">
        <f t="shared" si="66"/>
        <v>0</v>
      </c>
      <c r="T785" s="133"/>
      <c r="U785" s="133"/>
      <c r="V785" s="133"/>
      <c r="W785" s="133"/>
      <c r="X785" s="133"/>
      <c r="Y785" s="133"/>
      <c r="Z785" s="133"/>
    </row>
    <row r="786" spans="1:26" ht="12.75" customHeight="1" x14ac:dyDescent="0.3">
      <c r="A786" s="131"/>
      <c r="B786" s="131"/>
      <c r="C786" s="131"/>
      <c r="D786" s="131"/>
      <c r="E786" s="131"/>
      <c r="F786" s="132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3"/>
      <c r="S786" s="84">
        <f t="shared" si="66"/>
        <v>0</v>
      </c>
      <c r="T786" s="133"/>
      <c r="U786" s="133"/>
      <c r="V786" s="133"/>
      <c r="W786" s="133"/>
      <c r="X786" s="133"/>
      <c r="Y786" s="133"/>
      <c r="Z786" s="133"/>
    </row>
    <row r="787" spans="1:26" ht="12.75" customHeight="1" x14ac:dyDescent="0.3">
      <c r="A787" s="131"/>
      <c r="B787" s="131"/>
      <c r="C787" s="131"/>
      <c r="D787" s="131"/>
      <c r="E787" s="131"/>
      <c r="F787" s="132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3"/>
      <c r="S787" s="84">
        <f t="shared" si="66"/>
        <v>0</v>
      </c>
      <c r="T787" s="133"/>
      <c r="U787" s="133"/>
      <c r="V787" s="133"/>
      <c r="W787" s="133"/>
      <c r="X787" s="133"/>
      <c r="Y787" s="133"/>
      <c r="Z787" s="133"/>
    </row>
    <row r="788" spans="1:26" ht="12.75" customHeight="1" x14ac:dyDescent="0.3">
      <c r="A788" s="131"/>
      <c r="B788" s="131"/>
      <c r="C788" s="131"/>
      <c r="D788" s="131"/>
      <c r="E788" s="131"/>
      <c r="F788" s="132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3"/>
      <c r="S788" s="84">
        <f t="shared" si="66"/>
        <v>0</v>
      </c>
      <c r="T788" s="133"/>
      <c r="U788" s="133"/>
      <c r="V788" s="133"/>
      <c r="W788" s="133"/>
      <c r="X788" s="133"/>
      <c r="Y788" s="133"/>
      <c r="Z788" s="133"/>
    </row>
    <row r="789" spans="1:26" ht="12.75" customHeight="1" x14ac:dyDescent="0.3">
      <c r="A789" s="131"/>
      <c r="B789" s="131"/>
      <c r="C789" s="131"/>
      <c r="D789" s="131"/>
      <c r="E789" s="131"/>
      <c r="F789" s="132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3"/>
      <c r="S789" s="84">
        <f t="shared" si="66"/>
        <v>0</v>
      </c>
      <c r="T789" s="133"/>
      <c r="U789" s="133"/>
      <c r="V789" s="133"/>
      <c r="W789" s="133"/>
      <c r="X789" s="133"/>
      <c r="Y789" s="133"/>
      <c r="Z789" s="133"/>
    </row>
    <row r="790" spans="1:26" ht="12.75" customHeight="1" x14ac:dyDescent="0.3">
      <c r="A790" s="131"/>
      <c r="B790" s="131"/>
      <c r="C790" s="131"/>
      <c r="D790" s="131"/>
      <c r="E790" s="131"/>
      <c r="F790" s="132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3"/>
      <c r="S790" s="84">
        <f t="shared" si="66"/>
        <v>0</v>
      </c>
      <c r="T790" s="133"/>
      <c r="U790" s="133"/>
      <c r="V790" s="133"/>
      <c r="W790" s="133"/>
      <c r="X790" s="133"/>
      <c r="Y790" s="133"/>
      <c r="Z790" s="133"/>
    </row>
    <row r="791" spans="1:26" ht="12.75" customHeight="1" x14ac:dyDescent="0.3">
      <c r="A791" s="131"/>
      <c r="B791" s="131"/>
      <c r="C791" s="131"/>
      <c r="D791" s="131"/>
      <c r="E791" s="131"/>
      <c r="F791" s="132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3"/>
      <c r="S791" s="84">
        <f t="shared" si="66"/>
        <v>0</v>
      </c>
      <c r="T791" s="133"/>
      <c r="U791" s="133"/>
      <c r="V791" s="133"/>
      <c r="W791" s="133"/>
      <c r="X791" s="133"/>
      <c r="Y791" s="133"/>
      <c r="Z791" s="133"/>
    </row>
    <row r="792" spans="1:26" ht="12.75" customHeight="1" x14ac:dyDescent="0.3">
      <c r="A792" s="131"/>
      <c r="B792" s="131"/>
      <c r="C792" s="131"/>
      <c r="D792" s="131"/>
      <c r="E792" s="131"/>
      <c r="F792" s="132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3"/>
      <c r="S792" s="84">
        <f t="shared" si="66"/>
        <v>0</v>
      </c>
      <c r="T792" s="133"/>
      <c r="U792" s="133"/>
      <c r="V792" s="133"/>
      <c r="W792" s="133"/>
      <c r="X792" s="133"/>
      <c r="Y792" s="133"/>
      <c r="Z792" s="133"/>
    </row>
    <row r="793" spans="1:26" ht="12.75" customHeight="1" x14ac:dyDescent="0.3">
      <c r="A793" s="131"/>
      <c r="B793" s="131"/>
      <c r="C793" s="131"/>
      <c r="D793" s="131"/>
      <c r="E793" s="131"/>
      <c r="F793" s="132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3"/>
      <c r="S793" s="84">
        <f t="shared" si="66"/>
        <v>0</v>
      </c>
      <c r="T793" s="133"/>
      <c r="U793" s="133"/>
      <c r="V793" s="133"/>
      <c r="W793" s="133"/>
      <c r="X793" s="133"/>
      <c r="Y793" s="133"/>
      <c r="Z793" s="133"/>
    </row>
    <row r="794" spans="1:26" ht="12.75" customHeight="1" x14ac:dyDescent="0.3">
      <c r="A794" s="131"/>
      <c r="B794" s="131"/>
      <c r="C794" s="131"/>
      <c r="D794" s="131"/>
      <c r="E794" s="131"/>
      <c r="F794" s="132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3"/>
      <c r="S794" s="84">
        <f t="shared" si="66"/>
        <v>0</v>
      </c>
      <c r="T794" s="133"/>
      <c r="U794" s="133"/>
      <c r="V794" s="133"/>
      <c r="W794" s="133"/>
      <c r="X794" s="133"/>
      <c r="Y794" s="133"/>
      <c r="Z794" s="133"/>
    </row>
    <row r="795" spans="1:26" ht="12.75" customHeight="1" x14ac:dyDescent="0.3">
      <c r="A795" s="131"/>
      <c r="B795" s="131"/>
      <c r="C795" s="131"/>
      <c r="D795" s="131"/>
      <c r="E795" s="131"/>
      <c r="F795" s="132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3"/>
      <c r="S795" s="84">
        <f t="shared" si="66"/>
        <v>0</v>
      </c>
      <c r="T795" s="133"/>
      <c r="U795" s="133"/>
      <c r="V795" s="133"/>
      <c r="W795" s="133"/>
      <c r="X795" s="133"/>
      <c r="Y795" s="133"/>
      <c r="Z795" s="133"/>
    </row>
    <row r="796" spans="1:26" ht="12.75" customHeight="1" x14ac:dyDescent="0.3">
      <c r="A796" s="131"/>
      <c r="B796" s="131"/>
      <c r="C796" s="131"/>
      <c r="D796" s="131"/>
      <c r="E796" s="131"/>
      <c r="F796" s="132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3"/>
      <c r="S796" s="84">
        <f t="shared" si="66"/>
        <v>0</v>
      </c>
      <c r="T796" s="133"/>
      <c r="U796" s="133"/>
      <c r="V796" s="133"/>
      <c r="W796" s="133"/>
      <c r="X796" s="133"/>
      <c r="Y796" s="133"/>
      <c r="Z796" s="133"/>
    </row>
    <row r="797" spans="1:26" ht="12.75" customHeight="1" x14ac:dyDescent="0.3">
      <c r="A797" s="131"/>
      <c r="B797" s="131"/>
      <c r="C797" s="131"/>
      <c r="D797" s="131"/>
      <c r="E797" s="131"/>
      <c r="F797" s="132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3"/>
      <c r="S797" s="84">
        <f t="shared" si="66"/>
        <v>0</v>
      </c>
      <c r="T797" s="133"/>
      <c r="U797" s="133"/>
      <c r="V797" s="133"/>
      <c r="W797" s="133"/>
      <c r="X797" s="133"/>
      <c r="Y797" s="133"/>
      <c r="Z797" s="133"/>
    </row>
    <row r="798" spans="1:26" ht="12.75" customHeight="1" x14ac:dyDescent="0.3">
      <c r="A798" s="131"/>
      <c r="B798" s="131"/>
      <c r="C798" s="131"/>
      <c r="D798" s="131"/>
      <c r="E798" s="131"/>
      <c r="F798" s="132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3"/>
      <c r="S798" s="84">
        <f t="shared" si="66"/>
        <v>0</v>
      </c>
      <c r="T798" s="133"/>
      <c r="U798" s="133"/>
      <c r="V798" s="133"/>
      <c r="W798" s="133"/>
      <c r="X798" s="133"/>
      <c r="Y798" s="133"/>
      <c r="Z798" s="133"/>
    </row>
    <row r="799" spans="1:26" ht="12.75" customHeight="1" x14ac:dyDescent="0.3">
      <c r="A799" s="131"/>
      <c r="B799" s="131"/>
      <c r="C799" s="131"/>
      <c r="D799" s="131"/>
      <c r="E799" s="131"/>
      <c r="F799" s="132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3"/>
      <c r="S799" s="84">
        <f t="shared" si="66"/>
        <v>0</v>
      </c>
      <c r="T799" s="133"/>
      <c r="U799" s="133"/>
      <c r="V799" s="133"/>
      <c r="W799" s="133"/>
      <c r="X799" s="133"/>
      <c r="Y799" s="133"/>
      <c r="Z799" s="133"/>
    </row>
    <row r="800" spans="1:26" ht="12.75" customHeight="1" x14ac:dyDescent="0.3">
      <c r="A800" s="131"/>
      <c r="B800" s="131"/>
      <c r="C800" s="131"/>
      <c r="D800" s="131"/>
      <c r="E800" s="131"/>
      <c r="F800" s="132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3"/>
      <c r="S800" s="84">
        <f t="shared" si="66"/>
        <v>0</v>
      </c>
      <c r="T800" s="133"/>
      <c r="U800" s="133"/>
      <c r="V800" s="133"/>
      <c r="W800" s="133"/>
      <c r="X800" s="133"/>
      <c r="Y800" s="133"/>
      <c r="Z800" s="133"/>
    </row>
    <row r="801" spans="1:26" ht="12.75" customHeight="1" x14ac:dyDescent="0.3">
      <c r="A801" s="131"/>
      <c r="B801" s="131"/>
      <c r="C801" s="131"/>
      <c r="D801" s="131"/>
      <c r="E801" s="131"/>
      <c r="F801" s="132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3"/>
      <c r="S801" s="84">
        <f t="shared" si="66"/>
        <v>0</v>
      </c>
      <c r="T801" s="133"/>
      <c r="U801" s="133"/>
      <c r="V801" s="133"/>
      <c r="W801" s="133"/>
      <c r="X801" s="133"/>
      <c r="Y801" s="133"/>
      <c r="Z801" s="133"/>
    </row>
    <row r="802" spans="1:26" ht="12.75" customHeight="1" x14ac:dyDescent="0.3">
      <c r="A802" s="131"/>
      <c r="B802" s="131"/>
      <c r="C802" s="131"/>
      <c r="D802" s="131"/>
      <c r="E802" s="131"/>
      <c r="F802" s="132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3"/>
      <c r="S802" s="84">
        <f t="shared" si="66"/>
        <v>0</v>
      </c>
      <c r="T802" s="133"/>
      <c r="U802" s="133"/>
      <c r="V802" s="133"/>
      <c r="W802" s="133"/>
      <c r="X802" s="133"/>
      <c r="Y802" s="133"/>
      <c r="Z802" s="133"/>
    </row>
    <row r="803" spans="1:26" ht="12.75" customHeight="1" x14ac:dyDescent="0.3">
      <c r="A803" s="131"/>
      <c r="B803" s="131"/>
      <c r="C803" s="131"/>
      <c r="D803" s="131"/>
      <c r="E803" s="131"/>
      <c r="F803" s="132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3"/>
      <c r="S803" s="84">
        <f t="shared" si="66"/>
        <v>0</v>
      </c>
      <c r="T803" s="133"/>
      <c r="U803" s="133"/>
      <c r="V803" s="133"/>
      <c r="W803" s="133"/>
      <c r="X803" s="133"/>
      <c r="Y803" s="133"/>
      <c r="Z803" s="133"/>
    </row>
    <row r="804" spans="1:26" ht="12.75" customHeight="1" x14ac:dyDescent="0.3">
      <c r="A804" s="131"/>
      <c r="B804" s="131"/>
      <c r="C804" s="131"/>
      <c r="D804" s="131"/>
      <c r="E804" s="131"/>
      <c r="F804" s="132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3"/>
      <c r="S804" s="84">
        <f t="shared" si="66"/>
        <v>0</v>
      </c>
      <c r="T804" s="133"/>
      <c r="U804" s="133"/>
      <c r="V804" s="133"/>
      <c r="W804" s="133"/>
      <c r="X804" s="133"/>
      <c r="Y804" s="133"/>
      <c r="Z804" s="133"/>
    </row>
    <row r="805" spans="1:26" ht="12.75" customHeight="1" x14ac:dyDescent="0.3">
      <c r="A805" s="131"/>
      <c r="B805" s="131"/>
      <c r="C805" s="131"/>
      <c r="D805" s="131"/>
      <c r="E805" s="131"/>
      <c r="F805" s="132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3"/>
      <c r="S805" s="84">
        <f t="shared" si="66"/>
        <v>0</v>
      </c>
      <c r="T805" s="133"/>
      <c r="U805" s="133"/>
      <c r="V805" s="133"/>
      <c r="W805" s="133"/>
      <c r="X805" s="133"/>
      <c r="Y805" s="133"/>
      <c r="Z805" s="133"/>
    </row>
    <row r="806" spans="1:26" ht="12.75" customHeight="1" x14ac:dyDescent="0.3">
      <c r="A806" s="131"/>
      <c r="B806" s="131"/>
      <c r="C806" s="131"/>
      <c r="D806" s="131"/>
      <c r="E806" s="131"/>
      <c r="F806" s="132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3"/>
      <c r="S806" s="84">
        <f t="shared" si="66"/>
        <v>0</v>
      </c>
      <c r="T806" s="133"/>
      <c r="U806" s="133"/>
      <c r="V806" s="133"/>
      <c r="W806" s="133"/>
      <c r="X806" s="133"/>
      <c r="Y806" s="133"/>
      <c r="Z806" s="133"/>
    </row>
    <row r="807" spans="1:26" ht="12.75" customHeight="1" x14ac:dyDescent="0.3">
      <c r="A807" s="131"/>
      <c r="B807" s="131"/>
      <c r="C807" s="131"/>
      <c r="D807" s="131"/>
      <c r="E807" s="131"/>
      <c r="F807" s="132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3"/>
      <c r="S807" s="84">
        <f t="shared" si="66"/>
        <v>0</v>
      </c>
      <c r="T807" s="133"/>
      <c r="U807" s="133"/>
      <c r="V807" s="133"/>
      <c r="W807" s="133"/>
      <c r="X807" s="133"/>
      <c r="Y807" s="133"/>
      <c r="Z807" s="133"/>
    </row>
    <row r="808" spans="1:26" ht="12.75" customHeight="1" x14ac:dyDescent="0.3">
      <c r="A808" s="131"/>
      <c r="B808" s="131"/>
      <c r="C808" s="131"/>
      <c r="D808" s="131"/>
      <c r="E808" s="131"/>
      <c r="F808" s="132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3"/>
      <c r="S808" s="84">
        <f t="shared" si="66"/>
        <v>0</v>
      </c>
      <c r="T808" s="133"/>
      <c r="U808" s="133"/>
      <c r="V808" s="133"/>
      <c r="W808" s="133"/>
      <c r="X808" s="133"/>
      <c r="Y808" s="133"/>
      <c r="Z808" s="133"/>
    </row>
    <row r="809" spans="1:26" ht="12.75" customHeight="1" x14ac:dyDescent="0.3">
      <c r="A809" s="131"/>
      <c r="B809" s="131"/>
      <c r="C809" s="131"/>
      <c r="D809" s="131"/>
      <c r="E809" s="131"/>
      <c r="F809" s="132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3"/>
      <c r="S809" s="84">
        <f t="shared" si="66"/>
        <v>0</v>
      </c>
      <c r="T809" s="133"/>
      <c r="U809" s="133"/>
      <c r="V809" s="133"/>
      <c r="W809" s="133"/>
      <c r="X809" s="133"/>
      <c r="Y809" s="133"/>
      <c r="Z809" s="133"/>
    </row>
    <row r="810" spans="1:26" ht="12.75" customHeight="1" x14ac:dyDescent="0.3">
      <c r="A810" s="131"/>
      <c r="B810" s="131"/>
      <c r="C810" s="131"/>
      <c r="D810" s="131"/>
      <c r="E810" s="131"/>
      <c r="F810" s="132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3"/>
      <c r="S810" s="84">
        <f t="shared" si="66"/>
        <v>0</v>
      </c>
      <c r="T810" s="133"/>
      <c r="U810" s="133"/>
      <c r="V810" s="133"/>
      <c r="W810" s="133"/>
      <c r="X810" s="133"/>
      <c r="Y810" s="133"/>
      <c r="Z810" s="133"/>
    </row>
    <row r="811" spans="1:26" ht="12.75" customHeight="1" x14ac:dyDescent="0.3">
      <c r="A811" s="131"/>
      <c r="B811" s="131"/>
      <c r="C811" s="131"/>
      <c r="D811" s="131"/>
      <c r="E811" s="131"/>
      <c r="F811" s="132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3"/>
      <c r="S811" s="84">
        <f t="shared" si="66"/>
        <v>0</v>
      </c>
      <c r="T811" s="133"/>
      <c r="U811" s="133"/>
      <c r="V811" s="133"/>
      <c r="W811" s="133"/>
      <c r="X811" s="133"/>
      <c r="Y811" s="133"/>
      <c r="Z811" s="133"/>
    </row>
    <row r="812" spans="1:26" ht="12.75" customHeight="1" x14ac:dyDescent="0.3">
      <c r="A812" s="131"/>
      <c r="B812" s="131"/>
      <c r="C812" s="131"/>
      <c r="D812" s="131"/>
      <c r="E812" s="131"/>
      <c r="F812" s="132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3"/>
      <c r="S812" s="84">
        <f t="shared" si="66"/>
        <v>0</v>
      </c>
      <c r="T812" s="133"/>
      <c r="U812" s="133"/>
      <c r="V812" s="133"/>
      <c r="W812" s="133"/>
      <c r="X812" s="133"/>
      <c r="Y812" s="133"/>
      <c r="Z812" s="133"/>
    </row>
    <row r="813" spans="1:26" ht="12.75" customHeight="1" x14ac:dyDescent="0.3">
      <c r="A813" s="131"/>
      <c r="B813" s="131"/>
      <c r="C813" s="131"/>
      <c r="D813" s="131"/>
      <c r="E813" s="131"/>
      <c r="F813" s="132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3"/>
      <c r="S813" s="84">
        <f t="shared" si="66"/>
        <v>0</v>
      </c>
      <c r="T813" s="133"/>
      <c r="U813" s="133"/>
      <c r="V813" s="133"/>
      <c r="W813" s="133"/>
      <c r="X813" s="133"/>
      <c r="Y813" s="133"/>
      <c r="Z813" s="133"/>
    </row>
    <row r="814" spans="1:26" ht="12.75" customHeight="1" x14ac:dyDescent="0.3">
      <c r="A814" s="131"/>
      <c r="B814" s="131"/>
      <c r="C814" s="131"/>
      <c r="D814" s="131"/>
      <c r="E814" s="131"/>
      <c r="F814" s="132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3"/>
      <c r="S814" s="84">
        <f t="shared" si="66"/>
        <v>0</v>
      </c>
      <c r="T814" s="133"/>
      <c r="U814" s="133"/>
      <c r="V814" s="133"/>
      <c r="W814" s="133"/>
      <c r="X814" s="133"/>
      <c r="Y814" s="133"/>
      <c r="Z814" s="133"/>
    </row>
    <row r="815" spans="1:26" ht="12.75" customHeight="1" x14ac:dyDescent="0.3">
      <c r="A815" s="131"/>
      <c r="B815" s="131"/>
      <c r="C815" s="131"/>
      <c r="D815" s="131"/>
      <c r="E815" s="131"/>
      <c r="F815" s="132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3"/>
      <c r="S815" s="84">
        <f t="shared" si="66"/>
        <v>0</v>
      </c>
      <c r="T815" s="133"/>
      <c r="U815" s="133"/>
      <c r="V815" s="133"/>
      <c r="W815" s="133"/>
      <c r="X815" s="133"/>
      <c r="Y815" s="133"/>
      <c r="Z815" s="133"/>
    </row>
    <row r="816" spans="1:26" ht="12.75" customHeight="1" x14ac:dyDescent="0.3">
      <c r="A816" s="131"/>
      <c r="B816" s="131"/>
      <c r="C816" s="131"/>
      <c r="D816" s="131"/>
      <c r="E816" s="131"/>
      <c r="F816" s="132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3"/>
      <c r="S816" s="84">
        <f t="shared" si="66"/>
        <v>0</v>
      </c>
      <c r="T816" s="133"/>
      <c r="U816" s="133"/>
      <c r="V816" s="133"/>
      <c r="W816" s="133"/>
      <c r="X816" s="133"/>
      <c r="Y816" s="133"/>
      <c r="Z816" s="133"/>
    </row>
    <row r="817" spans="1:26" ht="12.75" customHeight="1" x14ac:dyDescent="0.3">
      <c r="A817" s="131"/>
      <c r="B817" s="131"/>
      <c r="C817" s="131"/>
      <c r="D817" s="131"/>
      <c r="E817" s="131"/>
      <c r="F817" s="132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3"/>
      <c r="S817" s="84">
        <f t="shared" si="66"/>
        <v>0</v>
      </c>
      <c r="T817" s="133"/>
      <c r="U817" s="133"/>
      <c r="V817" s="133"/>
      <c r="W817" s="133"/>
      <c r="X817" s="133"/>
      <c r="Y817" s="133"/>
      <c r="Z817" s="133"/>
    </row>
    <row r="818" spans="1:26" ht="12.75" customHeight="1" x14ac:dyDescent="0.3">
      <c r="A818" s="131"/>
      <c r="B818" s="131"/>
      <c r="C818" s="131"/>
      <c r="D818" s="131"/>
      <c r="E818" s="131"/>
      <c r="F818" s="132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3"/>
      <c r="S818" s="84">
        <f t="shared" si="66"/>
        <v>0</v>
      </c>
      <c r="T818" s="133"/>
      <c r="U818" s="133"/>
      <c r="V818" s="133"/>
      <c r="W818" s="133"/>
      <c r="X818" s="133"/>
      <c r="Y818" s="133"/>
      <c r="Z818" s="133"/>
    </row>
    <row r="819" spans="1:26" ht="12.75" customHeight="1" x14ac:dyDescent="0.3">
      <c r="A819" s="131"/>
      <c r="B819" s="131"/>
      <c r="C819" s="131"/>
      <c r="D819" s="131"/>
      <c r="E819" s="131"/>
      <c r="F819" s="132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3"/>
      <c r="S819" s="84">
        <f t="shared" si="66"/>
        <v>0</v>
      </c>
      <c r="T819" s="133"/>
      <c r="U819" s="133"/>
      <c r="V819" s="133"/>
      <c r="W819" s="133"/>
      <c r="X819" s="133"/>
      <c r="Y819" s="133"/>
      <c r="Z819" s="133"/>
    </row>
    <row r="820" spans="1:26" ht="12.75" customHeight="1" x14ac:dyDescent="0.3">
      <c r="A820" s="131"/>
      <c r="B820" s="131"/>
      <c r="C820" s="131"/>
      <c r="D820" s="131"/>
      <c r="E820" s="131"/>
      <c r="F820" s="132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3"/>
      <c r="S820" s="84">
        <f t="shared" si="66"/>
        <v>0</v>
      </c>
      <c r="T820" s="133"/>
      <c r="U820" s="133"/>
      <c r="V820" s="133"/>
      <c r="W820" s="133"/>
      <c r="X820" s="133"/>
      <c r="Y820" s="133"/>
      <c r="Z820" s="133"/>
    </row>
    <row r="821" spans="1:26" ht="12.75" customHeight="1" x14ac:dyDescent="0.3">
      <c r="A821" s="131"/>
      <c r="B821" s="131"/>
      <c r="C821" s="131"/>
      <c r="D821" s="131"/>
      <c r="E821" s="131"/>
      <c r="F821" s="132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3"/>
      <c r="S821" s="84">
        <f t="shared" si="66"/>
        <v>0</v>
      </c>
      <c r="T821" s="133"/>
      <c r="U821" s="133"/>
      <c r="V821" s="133"/>
      <c r="W821" s="133"/>
      <c r="X821" s="133"/>
      <c r="Y821" s="133"/>
      <c r="Z821" s="133"/>
    </row>
    <row r="822" spans="1:26" ht="12.75" customHeight="1" x14ac:dyDescent="0.3">
      <c r="A822" s="131"/>
      <c r="B822" s="131"/>
      <c r="C822" s="131"/>
      <c r="D822" s="131"/>
      <c r="E822" s="131"/>
      <c r="F822" s="132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3"/>
      <c r="S822" s="84">
        <f t="shared" si="66"/>
        <v>0</v>
      </c>
      <c r="T822" s="133"/>
      <c r="U822" s="133"/>
      <c r="V822" s="133"/>
      <c r="W822" s="133"/>
      <c r="X822" s="133"/>
      <c r="Y822" s="133"/>
      <c r="Z822" s="133"/>
    </row>
    <row r="823" spans="1:26" ht="12.75" customHeight="1" x14ac:dyDescent="0.3">
      <c r="A823" s="131"/>
      <c r="B823" s="131"/>
      <c r="C823" s="131"/>
      <c r="D823" s="131"/>
      <c r="E823" s="131"/>
      <c r="F823" s="132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3"/>
      <c r="S823" s="84">
        <f t="shared" si="66"/>
        <v>0</v>
      </c>
      <c r="T823" s="133"/>
      <c r="U823" s="133"/>
      <c r="V823" s="133"/>
      <c r="W823" s="133"/>
      <c r="X823" s="133"/>
      <c r="Y823" s="133"/>
      <c r="Z823" s="133"/>
    </row>
    <row r="824" spans="1:26" ht="12.75" customHeight="1" x14ac:dyDescent="0.3">
      <c r="A824" s="131"/>
      <c r="B824" s="131"/>
      <c r="C824" s="131"/>
      <c r="D824" s="131"/>
      <c r="E824" s="131"/>
      <c r="F824" s="132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3"/>
      <c r="S824" s="84">
        <f t="shared" si="66"/>
        <v>0</v>
      </c>
      <c r="T824" s="133"/>
      <c r="U824" s="133"/>
      <c r="V824" s="133"/>
      <c r="W824" s="133"/>
      <c r="X824" s="133"/>
      <c r="Y824" s="133"/>
      <c r="Z824" s="133"/>
    </row>
    <row r="825" spans="1:26" ht="12.75" customHeight="1" x14ac:dyDescent="0.3">
      <c r="A825" s="131"/>
      <c r="B825" s="131"/>
      <c r="C825" s="131"/>
      <c r="D825" s="131"/>
      <c r="E825" s="131"/>
      <c r="F825" s="132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3"/>
      <c r="S825" s="84">
        <f t="shared" si="66"/>
        <v>0</v>
      </c>
      <c r="T825" s="133"/>
      <c r="U825" s="133"/>
      <c r="V825" s="133"/>
      <c r="W825" s="133"/>
      <c r="X825" s="133"/>
      <c r="Y825" s="133"/>
      <c r="Z825" s="133"/>
    </row>
    <row r="826" spans="1:26" ht="12.75" customHeight="1" x14ac:dyDescent="0.3">
      <c r="A826" s="131"/>
      <c r="B826" s="131"/>
      <c r="C826" s="131"/>
      <c r="D826" s="131"/>
      <c r="E826" s="131"/>
      <c r="F826" s="132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3"/>
      <c r="S826" s="84">
        <f t="shared" si="66"/>
        <v>0</v>
      </c>
      <c r="T826" s="133"/>
      <c r="U826" s="133"/>
      <c r="V826" s="133"/>
      <c r="W826" s="133"/>
      <c r="X826" s="133"/>
      <c r="Y826" s="133"/>
      <c r="Z826" s="133"/>
    </row>
    <row r="827" spans="1:26" ht="12.75" customHeight="1" x14ac:dyDescent="0.3">
      <c r="A827" s="131"/>
      <c r="B827" s="131"/>
      <c r="C827" s="131"/>
      <c r="D827" s="131"/>
      <c r="E827" s="131"/>
      <c r="F827" s="132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3"/>
      <c r="S827" s="84">
        <f t="shared" si="66"/>
        <v>0</v>
      </c>
      <c r="T827" s="133"/>
      <c r="U827" s="133"/>
      <c r="V827" s="133"/>
      <c r="W827" s="133"/>
      <c r="X827" s="133"/>
      <c r="Y827" s="133"/>
      <c r="Z827" s="133"/>
    </row>
    <row r="828" spans="1:26" ht="12.75" customHeight="1" x14ac:dyDescent="0.3">
      <c r="A828" s="131"/>
      <c r="B828" s="131"/>
      <c r="C828" s="131"/>
      <c r="D828" s="131"/>
      <c r="E828" s="131"/>
      <c r="F828" s="132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3"/>
      <c r="S828" s="84">
        <f t="shared" si="66"/>
        <v>0</v>
      </c>
      <c r="T828" s="133"/>
      <c r="U828" s="133"/>
      <c r="V828" s="133"/>
      <c r="W828" s="133"/>
      <c r="X828" s="133"/>
      <c r="Y828" s="133"/>
      <c r="Z828" s="133"/>
    </row>
    <row r="829" spans="1:26" ht="12.75" customHeight="1" x14ac:dyDescent="0.3">
      <c r="A829" s="131"/>
      <c r="B829" s="131"/>
      <c r="C829" s="131"/>
      <c r="D829" s="131"/>
      <c r="E829" s="131"/>
      <c r="F829" s="132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3"/>
      <c r="S829" s="84">
        <f t="shared" si="66"/>
        <v>0</v>
      </c>
      <c r="T829" s="133"/>
      <c r="U829" s="133"/>
      <c r="V829" s="133"/>
      <c r="W829" s="133"/>
      <c r="X829" s="133"/>
      <c r="Y829" s="133"/>
      <c r="Z829" s="133"/>
    </row>
    <row r="830" spans="1:26" ht="12.75" customHeight="1" x14ac:dyDescent="0.3">
      <c r="A830" s="131"/>
      <c r="B830" s="131"/>
      <c r="C830" s="131"/>
      <c r="D830" s="131"/>
      <c r="E830" s="131"/>
      <c r="F830" s="132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3"/>
      <c r="S830" s="84">
        <f t="shared" si="66"/>
        <v>0</v>
      </c>
      <c r="T830" s="133"/>
      <c r="U830" s="133"/>
      <c r="V830" s="133"/>
      <c r="W830" s="133"/>
      <c r="X830" s="133"/>
      <c r="Y830" s="133"/>
      <c r="Z830" s="133"/>
    </row>
    <row r="831" spans="1:26" ht="12.75" customHeight="1" x14ac:dyDescent="0.3">
      <c r="A831" s="131"/>
      <c r="B831" s="131"/>
      <c r="C831" s="131"/>
      <c r="D831" s="131"/>
      <c r="E831" s="131"/>
      <c r="F831" s="132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3"/>
      <c r="S831" s="84">
        <f t="shared" si="66"/>
        <v>0</v>
      </c>
      <c r="T831" s="133"/>
      <c r="U831" s="133"/>
      <c r="V831" s="133"/>
      <c r="W831" s="133"/>
      <c r="X831" s="133"/>
      <c r="Y831" s="133"/>
      <c r="Z831" s="133"/>
    </row>
    <row r="832" spans="1:26" ht="12.75" customHeight="1" x14ac:dyDescent="0.3">
      <c r="A832" s="131"/>
      <c r="B832" s="131"/>
      <c r="C832" s="131"/>
      <c r="D832" s="131"/>
      <c r="E832" s="131"/>
      <c r="F832" s="132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3"/>
      <c r="S832" s="84">
        <f t="shared" si="66"/>
        <v>0</v>
      </c>
      <c r="T832" s="133"/>
      <c r="U832" s="133"/>
      <c r="V832" s="133"/>
      <c r="W832" s="133"/>
      <c r="X832" s="133"/>
      <c r="Y832" s="133"/>
      <c r="Z832" s="133"/>
    </row>
    <row r="833" spans="1:26" ht="12.75" customHeight="1" x14ac:dyDescent="0.3">
      <c r="A833" s="131"/>
      <c r="B833" s="131"/>
      <c r="C833" s="131"/>
      <c r="D833" s="131"/>
      <c r="E833" s="131"/>
      <c r="F833" s="132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3"/>
      <c r="S833" s="84">
        <f t="shared" si="66"/>
        <v>0</v>
      </c>
      <c r="T833" s="133"/>
      <c r="U833" s="133"/>
      <c r="V833" s="133"/>
      <c r="W833" s="133"/>
      <c r="X833" s="133"/>
      <c r="Y833" s="133"/>
      <c r="Z833" s="133"/>
    </row>
    <row r="834" spans="1:26" ht="12.75" customHeight="1" x14ac:dyDescent="0.3">
      <c r="A834" s="131"/>
      <c r="B834" s="131"/>
      <c r="C834" s="131"/>
      <c r="D834" s="131"/>
      <c r="E834" s="131"/>
      <c r="F834" s="132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3"/>
      <c r="S834" s="84">
        <f t="shared" si="66"/>
        <v>0</v>
      </c>
      <c r="T834" s="133"/>
      <c r="U834" s="133"/>
      <c r="V834" s="133"/>
      <c r="W834" s="133"/>
      <c r="X834" s="133"/>
      <c r="Y834" s="133"/>
      <c r="Z834" s="133"/>
    </row>
    <row r="835" spans="1:26" ht="12.75" customHeight="1" x14ac:dyDescent="0.3">
      <c r="A835" s="131"/>
      <c r="B835" s="131"/>
      <c r="C835" s="131"/>
      <c r="D835" s="131"/>
      <c r="E835" s="131"/>
      <c r="F835" s="132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3"/>
      <c r="S835" s="84">
        <f t="shared" si="66"/>
        <v>0</v>
      </c>
      <c r="T835" s="133"/>
      <c r="U835" s="133"/>
      <c r="V835" s="133"/>
      <c r="W835" s="133"/>
      <c r="X835" s="133"/>
      <c r="Y835" s="133"/>
      <c r="Z835" s="133"/>
    </row>
    <row r="836" spans="1:26" ht="12.75" customHeight="1" x14ac:dyDescent="0.3">
      <c r="A836" s="131"/>
      <c r="B836" s="131"/>
      <c r="C836" s="131"/>
      <c r="D836" s="131"/>
      <c r="E836" s="131"/>
      <c r="F836" s="132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3"/>
      <c r="S836" s="84">
        <f t="shared" si="66"/>
        <v>0</v>
      </c>
      <c r="T836" s="133"/>
      <c r="U836" s="133"/>
      <c r="V836" s="133"/>
      <c r="W836" s="133"/>
      <c r="X836" s="133"/>
      <c r="Y836" s="133"/>
      <c r="Z836" s="133"/>
    </row>
    <row r="837" spans="1:26" ht="12.75" customHeight="1" x14ac:dyDescent="0.3">
      <c r="A837" s="131"/>
      <c r="B837" s="131"/>
      <c r="C837" s="131"/>
      <c r="D837" s="131"/>
      <c r="E837" s="131"/>
      <c r="F837" s="132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3"/>
      <c r="S837" s="84">
        <f t="shared" si="66"/>
        <v>0</v>
      </c>
      <c r="T837" s="133"/>
      <c r="U837" s="133"/>
      <c r="V837" s="133"/>
      <c r="W837" s="133"/>
      <c r="X837" s="133"/>
      <c r="Y837" s="133"/>
      <c r="Z837" s="133"/>
    </row>
    <row r="838" spans="1:26" ht="12.75" customHeight="1" x14ac:dyDescent="0.3">
      <c r="A838" s="131"/>
      <c r="B838" s="131"/>
      <c r="C838" s="131"/>
      <c r="D838" s="131"/>
      <c r="E838" s="131"/>
      <c r="F838" s="132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3"/>
      <c r="S838" s="84">
        <f t="shared" si="66"/>
        <v>0</v>
      </c>
      <c r="T838" s="133"/>
      <c r="U838" s="133"/>
      <c r="V838" s="133"/>
      <c r="W838" s="133"/>
      <c r="X838" s="133"/>
      <c r="Y838" s="133"/>
      <c r="Z838" s="133"/>
    </row>
    <row r="839" spans="1:26" ht="12.75" customHeight="1" x14ac:dyDescent="0.3">
      <c r="A839" s="131"/>
      <c r="B839" s="131"/>
      <c r="C839" s="131"/>
      <c r="D839" s="131"/>
      <c r="E839" s="131"/>
      <c r="F839" s="132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3"/>
      <c r="S839" s="84">
        <f t="shared" si="66"/>
        <v>0</v>
      </c>
      <c r="T839" s="133"/>
      <c r="U839" s="133"/>
      <c r="V839" s="133"/>
      <c r="W839" s="133"/>
      <c r="X839" s="133"/>
      <c r="Y839" s="133"/>
      <c r="Z839" s="133"/>
    </row>
    <row r="840" spans="1:26" ht="12.75" customHeight="1" x14ac:dyDescent="0.3">
      <c r="A840" s="131"/>
      <c r="B840" s="131"/>
      <c r="C840" s="131"/>
      <c r="D840" s="131"/>
      <c r="E840" s="131"/>
      <c r="F840" s="132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3"/>
      <c r="S840" s="84">
        <f t="shared" si="66"/>
        <v>0</v>
      </c>
      <c r="T840" s="133"/>
      <c r="U840" s="133"/>
      <c r="V840" s="133"/>
      <c r="W840" s="133"/>
      <c r="X840" s="133"/>
      <c r="Y840" s="133"/>
      <c r="Z840" s="133"/>
    </row>
    <row r="841" spans="1:26" ht="12.75" customHeight="1" x14ac:dyDescent="0.3">
      <c r="A841" s="131"/>
      <c r="B841" s="131"/>
      <c r="C841" s="131"/>
      <c r="D841" s="131"/>
      <c r="E841" s="131"/>
      <c r="F841" s="132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3"/>
      <c r="S841" s="84">
        <f t="shared" si="66"/>
        <v>0</v>
      </c>
      <c r="T841" s="133"/>
      <c r="U841" s="133"/>
      <c r="V841" s="133"/>
      <c r="W841" s="133"/>
      <c r="X841" s="133"/>
      <c r="Y841" s="133"/>
      <c r="Z841" s="133"/>
    </row>
    <row r="842" spans="1:26" ht="12.75" customHeight="1" x14ac:dyDescent="0.3">
      <c r="A842" s="131"/>
      <c r="B842" s="131"/>
      <c r="C842" s="131"/>
      <c r="D842" s="131"/>
      <c r="E842" s="131"/>
      <c r="F842" s="132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3"/>
      <c r="S842" s="84">
        <f t="shared" si="66"/>
        <v>0</v>
      </c>
      <c r="T842" s="133"/>
      <c r="U842" s="133"/>
      <c r="V842" s="133"/>
      <c r="W842" s="133"/>
      <c r="X842" s="133"/>
      <c r="Y842" s="133"/>
      <c r="Z842" s="133"/>
    </row>
    <row r="843" spans="1:26" ht="12.75" customHeight="1" x14ac:dyDescent="0.3">
      <c r="A843" s="131"/>
      <c r="B843" s="131"/>
      <c r="C843" s="131"/>
      <c r="D843" s="131"/>
      <c r="E843" s="131"/>
      <c r="F843" s="132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3"/>
      <c r="S843" s="84">
        <f t="shared" si="66"/>
        <v>0</v>
      </c>
      <c r="T843" s="133"/>
      <c r="U843" s="133"/>
      <c r="V843" s="133"/>
      <c r="W843" s="133"/>
      <c r="X843" s="133"/>
      <c r="Y843" s="133"/>
      <c r="Z843" s="133"/>
    </row>
    <row r="844" spans="1:26" ht="12.75" customHeight="1" x14ac:dyDescent="0.3">
      <c r="A844" s="131"/>
      <c r="B844" s="131"/>
      <c r="C844" s="131"/>
      <c r="D844" s="131"/>
      <c r="E844" s="131"/>
      <c r="F844" s="132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3"/>
      <c r="S844" s="84">
        <f t="shared" si="66"/>
        <v>0</v>
      </c>
      <c r="T844" s="133"/>
      <c r="U844" s="133"/>
      <c r="V844" s="133"/>
      <c r="W844" s="133"/>
      <c r="X844" s="133"/>
      <c r="Y844" s="133"/>
      <c r="Z844" s="133"/>
    </row>
    <row r="845" spans="1:26" ht="12.75" customHeight="1" x14ac:dyDescent="0.3">
      <c r="A845" s="131"/>
      <c r="B845" s="131"/>
      <c r="C845" s="131"/>
      <c r="D845" s="131"/>
      <c r="E845" s="131"/>
      <c r="F845" s="132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3"/>
      <c r="S845" s="84">
        <f t="shared" si="66"/>
        <v>0</v>
      </c>
      <c r="T845" s="133"/>
      <c r="U845" s="133"/>
      <c r="V845" s="133"/>
      <c r="W845" s="133"/>
      <c r="X845" s="133"/>
      <c r="Y845" s="133"/>
      <c r="Z845" s="133"/>
    </row>
    <row r="846" spans="1:26" ht="12.75" customHeight="1" x14ac:dyDescent="0.3">
      <c r="A846" s="131"/>
      <c r="B846" s="131"/>
      <c r="C846" s="131"/>
      <c r="D846" s="131"/>
      <c r="E846" s="131"/>
      <c r="F846" s="132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3"/>
      <c r="S846" s="84">
        <f t="shared" si="66"/>
        <v>0</v>
      </c>
      <c r="T846" s="133"/>
      <c r="U846" s="133"/>
      <c r="V846" s="133"/>
      <c r="W846" s="133"/>
      <c r="X846" s="133"/>
      <c r="Y846" s="133"/>
      <c r="Z846" s="133"/>
    </row>
    <row r="847" spans="1:26" ht="12.75" customHeight="1" x14ac:dyDescent="0.3">
      <c r="A847" s="131"/>
      <c r="B847" s="131"/>
      <c r="C847" s="131"/>
      <c r="D847" s="131"/>
      <c r="E847" s="131"/>
      <c r="F847" s="132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3"/>
      <c r="S847" s="84">
        <f t="shared" si="66"/>
        <v>0</v>
      </c>
      <c r="T847" s="133"/>
      <c r="U847" s="133"/>
      <c r="V847" s="133"/>
      <c r="W847" s="133"/>
      <c r="X847" s="133"/>
      <c r="Y847" s="133"/>
      <c r="Z847" s="133"/>
    </row>
    <row r="848" spans="1:26" ht="12.75" customHeight="1" x14ac:dyDescent="0.3">
      <c r="A848" s="131"/>
      <c r="B848" s="131"/>
      <c r="C848" s="131"/>
      <c r="D848" s="131"/>
      <c r="E848" s="131"/>
      <c r="F848" s="132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3"/>
      <c r="S848" s="84">
        <f t="shared" si="66"/>
        <v>0</v>
      </c>
      <c r="T848" s="133"/>
      <c r="U848" s="133"/>
      <c r="V848" s="133"/>
      <c r="W848" s="133"/>
      <c r="X848" s="133"/>
      <c r="Y848" s="133"/>
      <c r="Z848" s="133"/>
    </row>
    <row r="849" spans="1:26" ht="12.75" customHeight="1" x14ac:dyDescent="0.3">
      <c r="A849" s="131"/>
      <c r="B849" s="131"/>
      <c r="C849" s="131"/>
      <c r="D849" s="131"/>
      <c r="E849" s="131"/>
      <c r="F849" s="132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3"/>
      <c r="S849" s="84">
        <f t="shared" si="66"/>
        <v>0</v>
      </c>
      <c r="T849" s="133"/>
      <c r="U849" s="133"/>
      <c r="V849" s="133"/>
      <c r="W849" s="133"/>
      <c r="X849" s="133"/>
      <c r="Y849" s="133"/>
      <c r="Z849" s="133"/>
    </row>
    <row r="850" spans="1:26" ht="12.75" customHeight="1" x14ac:dyDescent="0.3">
      <c r="A850" s="131"/>
      <c r="B850" s="131"/>
      <c r="C850" s="131"/>
      <c r="D850" s="131"/>
      <c r="E850" s="131"/>
      <c r="F850" s="132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3"/>
      <c r="S850" s="84">
        <f t="shared" si="66"/>
        <v>0</v>
      </c>
      <c r="T850" s="133"/>
      <c r="U850" s="133"/>
      <c r="V850" s="133"/>
      <c r="W850" s="133"/>
      <c r="X850" s="133"/>
      <c r="Y850" s="133"/>
      <c r="Z850" s="133"/>
    </row>
    <row r="851" spans="1:26" ht="12.75" customHeight="1" x14ac:dyDescent="0.3">
      <c r="A851" s="131"/>
      <c r="B851" s="131"/>
      <c r="C851" s="131"/>
      <c r="D851" s="131"/>
      <c r="E851" s="131"/>
      <c r="F851" s="132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3"/>
      <c r="S851" s="84">
        <f t="shared" si="66"/>
        <v>0</v>
      </c>
      <c r="T851" s="133"/>
      <c r="U851" s="133"/>
      <c r="V851" s="133"/>
      <c r="W851" s="133"/>
      <c r="X851" s="133"/>
      <c r="Y851" s="133"/>
      <c r="Z851" s="133"/>
    </row>
    <row r="852" spans="1:26" ht="12.75" customHeight="1" x14ac:dyDescent="0.3">
      <c r="A852" s="131"/>
      <c r="B852" s="131"/>
      <c r="C852" s="131"/>
      <c r="D852" s="131"/>
      <c r="E852" s="131"/>
      <c r="F852" s="132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3"/>
      <c r="S852" s="84">
        <f t="shared" si="66"/>
        <v>0</v>
      </c>
      <c r="T852" s="133"/>
      <c r="U852" s="133"/>
      <c r="V852" s="133"/>
      <c r="W852" s="133"/>
      <c r="X852" s="133"/>
      <c r="Y852" s="133"/>
      <c r="Z852" s="133"/>
    </row>
    <row r="853" spans="1:26" ht="12.75" customHeight="1" x14ac:dyDescent="0.3">
      <c r="A853" s="131"/>
      <c r="B853" s="131"/>
      <c r="C853" s="131"/>
      <c r="D853" s="131"/>
      <c r="E853" s="131"/>
      <c r="F853" s="132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3"/>
      <c r="S853" s="84">
        <f t="shared" si="66"/>
        <v>0</v>
      </c>
      <c r="T853" s="133"/>
      <c r="U853" s="133"/>
      <c r="V853" s="133"/>
      <c r="W853" s="133"/>
      <c r="X853" s="133"/>
      <c r="Y853" s="133"/>
      <c r="Z853" s="133"/>
    </row>
    <row r="854" spans="1:26" ht="12.75" customHeight="1" x14ac:dyDescent="0.3">
      <c r="A854" s="131"/>
      <c r="B854" s="131"/>
      <c r="C854" s="131"/>
      <c r="D854" s="131"/>
      <c r="E854" s="131"/>
      <c r="F854" s="132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3"/>
      <c r="S854" s="84">
        <f t="shared" si="66"/>
        <v>0</v>
      </c>
      <c r="T854" s="133"/>
      <c r="U854" s="133"/>
      <c r="V854" s="133"/>
      <c r="W854" s="133"/>
      <c r="X854" s="133"/>
      <c r="Y854" s="133"/>
      <c r="Z854" s="133"/>
    </row>
    <row r="855" spans="1:26" ht="12.75" customHeight="1" x14ac:dyDescent="0.3">
      <c r="A855" s="131"/>
      <c r="B855" s="131"/>
      <c r="C855" s="131"/>
      <c r="D855" s="131"/>
      <c r="E855" s="131"/>
      <c r="F855" s="132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3"/>
      <c r="S855" s="84">
        <f t="shared" si="66"/>
        <v>0</v>
      </c>
      <c r="T855" s="133"/>
      <c r="U855" s="133"/>
      <c r="V855" s="133"/>
      <c r="W855" s="133"/>
      <c r="X855" s="133"/>
      <c r="Y855" s="133"/>
      <c r="Z855" s="133"/>
    </row>
    <row r="856" spans="1:26" ht="12.75" customHeight="1" x14ac:dyDescent="0.3">
      <c r="A856" s="131"/>
      <c r="B856" s="131"/>
      <c r="C856" s="131"/>
      <c r="D856" s="131"/>
      <c r="E856" s="131"/>
      <c r="F856" s="132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3"/>
      <c r="S856" s="84">
        <f t="shared" si="66"/>
        <v>0</v>
      </c>
      <c r="T856" s="133"/>
      <c r="U856" s="133"/>
      <c r="V856" s="133"/>
      <c r="W856" s="133"/>
      <c r="X856" s="133"/>
      <c r="Y856" s="133"/>
      <c r="Z856" s="133"/>
    </row>
    <row r="857" spans="1:26" ht="12.75" customHeight="1" x14ac:dyDescent="0.3">
      <c r="A857" s="131"/>
      <c r="B857" s="131"/>
      <c r="C857" s="131"/>
      <c r="D857" s="131"/>
      <c r="E857" s="131"/>
      <c r="F857" s="132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3"/>
      <c r="S857" s="84">
        <f t="shared" si="66"/>
        <v>0</v>
      </c>
      <c r="T857" s="133"/>
      <c r="U857" s="133"/>
      <c r="V857" s="133"/>
      <c r="W857" s="133"/>
      <c r="X857" s="133"/>
      <c r="Y857" s="133"/>
      <c r="Z857" s="133"/>
    </row>
    <row r="858" spans="1:26" ht="12.75" customHeight="1" x14ac:dyDescent="0.3">
      <c r="A858" s="131"/>
      <c r="B858" s="131"/>
      <c r="C858" s="131"/>
      <c r="D858" s="131"/>
      <c r="E858" s="131"/>
      <c r="F858" s="132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3"/>
      <c r="S858" s="84">
        <f t="shared" si="66"/>
        <v>0</v>
      </c>
      <c r="T858" s="133"/>
      <c r="U858" s="133"/>
      <c r="V858" s="133"/>
      <c r="W858" s="133"/>
      <c r="X858" s="133"/>
      <c r="Y858" s="133"/>
      <c r="Z858" s="133"/>
    </row>
    <row r="859" spans="1:26" ht="12.75" customHeight="1" x14ac:dyDescent="0.3">
      <c r="A859" s="131"/>
      <c r="B859" s="131"/>
      <c r="C859" s="131"/>
      <c r="D859" s="131"/>
      <c r="E859" s="131"/>
      <c r="F859" s="132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3"/>
      <c r="S859" s="84">
        <f t="shared" si="66"/>
        <v>0</v>
      </c>
      <c r="T859" s="133"/>
      <c r="U859" s="133"/>
      <c r="V859" s="133"/>
      <c r="W859" s="133"/>
      <c r="X859" s="133"/>
      <c r="Y859" s="133"/>
      <c r="Z859" s="133"/>
    </row>
    <row r="860" spans="1:26" ht="12.75" customHeight="1" x14ac:dyDescent="0.3">
      <c r="A860" s="131"/>
      <c r="B860" s="131"/>
      <c r="C860" s="131"/>
      <c r="D860" s="131"/>
      <c r="E860" s="131"/>
      <c r="F860" s="132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3"/>
      <c r="S860" s="84">
        <f t="shared" si="66"/>
        <v>0</v>
      </c>
      <c r="T860" s="133"/>
      <c r="U860" s="133"/>
      <c r="V860" s="133"/>
      <c r="W860" s="133"/>
      <c r="X860" s="133"/>
      <c r="Y860" s="133"/>
      <c r="Z860" s="133"/>
    </row>
    <row r="861" spans="1:26" ht="12.75" customHeight="1" x14ac:dyDescent="0.3">
      <c r="A861" s="131"/>
      <c r="B861" s="131"/>
      <c r="C861" s="131"/>
      <c r="D861" s="131"/>
      <c r="E861" s="131"/>
      <c r="F861" s="132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3"/>
      <c r="S861" s="84">
        <f t="shared" si="66"/>
        <v>0</v>
      </c>
      <c r="T861" s="133"/>
      <c r="U861" s="133"/>
      <c r="V861" s="133"/>
      <c r="W861" s="133"/>
      <c r="X861" s="133"/>
      <c r="Y861" s="133"/>
      <c r="Z861" s="133"/>
    </row>
    <row r="862" spans="1:26" ht="12.75" customHeight="1" x14ac:dyDescent="0.3">
      <c r="A862" s="131"/>
      <c r="B862" s="131"/>
      <c r="C862" s="131"/>
      <c r="D862" s="131"/>
      <c r="E862" s="131"/>
      <c r="F862" s="132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3"/>
      <c r="S862" s="84">
        <f t="shared" si="66"/>
        <v>0</v>
      </c>
      <c r="T862" s="133"/>
      <c r="U862" s="133"/>
      <c r="V862" s="133"/>
      <c r="W862" s="133"/>
      <c r="X862" s="133"/>
      <c r="Y862" s="133"/>
      <c r="Z862" s="133"/>
    </row>
    <row r="863" spans="1:26" ht="12.75" customHeight="1" x14ac:dyDescent="0.3">
      <c r="A863" s="131"/>
      <c r="B863" s="131"/>
      <c r="C863" s="131"/>
      <c r="D863" s="131"/>
      <c r="E863" s="131"/>
      <c r="F863" s="132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3"/>
      <c r="S863" s="84">
        <f t="shared" si="66"/>
        <v>0</v>
      </c>
      <c r="T863" s="133"/>
      <c r="U863" s="133"/>
      <c r="V863" s="133"/>
      <c r="W863" s="133"/>
      <c r="X863" s="133"/>
      <c r="Y863" s="133"/>
      <c r="Z863" s="133"/>
    </row>
    <row r="864" spans="1:26" ht="12.75" customHeight="1" x14ac:dyDescent="0.3">
      <c r="A864" s="131"/>
      <c r="B864" s="131"/>
      <c r="C864" s="131"/>
      <c r="D864" s="131"/>
      <c r="E864" s="131"/>
      <c r="F864" s="132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3"/>
      <c r="S864" s="84">
        <f t="shared" si="66"/>
        <v>0</v>
      </c>
      <c r="T864" s="133"/>
      <c r="U864" s="133"/>
      <c r="V864" s="133"/>
      <c r="W864" s="133"/>
      <c r="X864" s="133"/>
      <c r="Y864" s="133"/>
      <c r="Z864" s="133"/>
    </row>
    <row r="865" spans="1:26" ht="12.75" customHeight="1" x14ac:dyDescent="0.3">
      <c r="A865" s="131"/>
      <c r="B865" s="131"/>
      <c r="C865" s="131"/>
      <c r="D865" s="131"/>
      <c r="E865" s="131"/>
      <c r="F865" s="132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3"/>
      <c r="S865" s="84">
        <f t="shared" si="66"/>
        <v>0</v>
      </c>
      <c r="T865" s="133"/>
      <c r="U865" s="133"/>
      <c r="V865" s="133"/>
      <c r="W865" s="133"/>
      <c r="X865" s="133"/>
      <c r="Y865" s="133"/>
      <c r="Z865" s="133"/>
    </row>
    <row r="866" spans="1:26" ht="12.75" customHeight="1" x14ac:dyDescent="0.3">
      <c r="A866" s="131"/>
      <c r="B866" s="131"/>
      <c r="C866" s="131"/>
      <c r="D866" s="131"/>
      <c r="E866" s="131"/>
      <c r="F866" s="132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3"/>
      <c r="S866" s="84">
        <f t="shared" si="66"/>
        <v>0</v>
      </c>
      <c r="T866" s="133"/>
      <c r="U866" s="133"/>
      <c r="V866" s="133"/>
      <c r="W866" s="133"/>
      <c r="X866" s="133"/>
      <c r="Y866" s="133"/>
      <c r="Z866" s="133"/>
    </row>
    <row r="867" spans="1:26" ht="12.75" customHeight="1" x14ac:dyDescent="0.3">
      <c r="A867" s="131"/>
      <c r="B867" s="131"/>
      <c r="C867" s="131"/>
      <c r="D867" s="131"/>
      <c r="E867" s="131"/>
      <c r="F867" s="132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3"/>
      <c r="S867" s="84">
        <f t="shared" si="66"/>
        <v>0</v>
      </c>
      <c r="T867" s="133"/>
      <c r="U867" s="133"/>
      <c r="V867" s="133"/>
      <c r="W867" s="133"/>
      <c r="X867" s="133"/>
      <c r="Y867" s="133"/>
      <c r="Z867" s="133"/>
    </row>
    <row r="868" spans="1:26" ht="12.75" customHeight="1" x14ac:dyDescent="0.3">
      <c r="A868" s="131"/>
      <c r="B868" s="131"/>
      <c r="C868" s="131"/>
      <c r="D868" s="131"/>
      <c r="E868" s="131"/>
      <c r="F868" s="132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3"/>
      <c r="S868" s="84">
        <f t="shared" si="66"/>
        <v>0</v>
      </c>
      <c r="T868" s="133"/>
      <c r="U868" s="133"/>
      <c r="V868" s="133"/>
      <c r="W868" s="133"/>
      <c r="X868" s="133"/>
      <c r="Y868" s="133"/>
      <c r="Z868" s="133"/>
    </row>
    <row r="869" spans="1:26" ht="12.75" customHeight="1" x14ac:dyDescent="0.3">
      <c r="A869" s="131"/>
      <c r="B869" s="131"/>
      <c r="C869" s="131"/>
      <c r="D869" s="131"/>
      <c r="E869" s="131"/>
      <c r="F869" s="132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3"/>
      <c r="S869" s="84">
        <f t="shared" si="66"/>
        <v>0</v>
      </c>
      <c r="T869" s="133"/>
      <c r="U869" s="133"/>
      <c r="V869" s="133"/>
      <c r="W869" s="133"/>
      <c r="X869" s="133"/>
      <c r="Y869" s="133"/>
      <c r="Z869" s="133"/>
    </row>
    <row r="870" spans="1:26" ht="12.75" customHeight="1" x14ac:dyDescent="0.3">
      <c r="A870" s="131"/>
      <c r="B870" s="131"/>
      <c r="C870" s="131"/>
      <c r="D870" s="131"/>
      <c r="E870" s="131"/>
      <c r="F870" s="132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3"/>
      <c r="S870" s="84">
        <f t="shared" si="66"/>
        <v>0</v>
      </c>
      <c r="T870" s="133"/>
      <c r="U870" s="133"/>
      <c r="V870" s="133"/>
      <c r="W870" s="133"/>
      <c r="X870" s="133"/>
      <c r="Y870" s="133"/>
      <c r="Z870" s="133"/>
    </row>
    <row r="871" spans="1:26" ht="12.75" customHeight="1" x14ac:dyDescent="0.3">
      <c r="A871" s="131"/>
      <c r="B871" s="131"/>
      <c r="C871" s="131"/>
      <c r="D871" s="131"/>
      <c r="E871" s="131"/>
      <c r="F871" s="132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3"/>
      <c r="S871" s="84">
        <f t="shared" si="66"/>
        <v>0</v>
      </c>
      <c r="T871" s="133"/>
      <c r="U871" s="133"/>
      <c r="V871" s="133"/>
      <c r="W871" s="133"/>
      <c r="X871" s="133"/>
      <c r="Y871" s="133"/>
      <c r="Z871" s="133"/>
    </row>
    <row r="872" spans="1:26" ht="12.75" customHeight="1" x14ac:dyDescent="0.3">
      <c r="A872" s="131"/>
      <c r="B872" s="131"/>
      <c r="C872" s="131"/>
      <c r="D872" s="131"/>
      <c r="E872" s="131"/>
      <c r="F872" s="132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3"/>
      <c r="S872" s="84">
        <f t="shared" si="66"/>
        <v>0</v>
      </c>
      <c r="T872" s="133"/>
      <c r="U872" s="133"/>
      <c r="V872" s="133"/>
      <c r="W872" s="133"/>
      <c r="X872" s="133"/>
      <c r="Y872" s="133"/>
      <c r="Z872" s="133"/>
    </row>
    <row r="873" spans="1:26" ht="12.75" customHeight="1" x14ac:dyDescent="0.3">
      <c r="A873" s="131"/>
      <c r="B873" s="131"/>
      <c r="C873" s="131"/>
      <c r="D873" s="131"/>
      <c r="E873" s="131"/>
      <c r="F873" s="132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3"/>
      <c r="S873" s="84">
        <f t="shared" si="66"/>
        <v>0</v>
      </c>
      <c r="T873" s="133"/>
      <c r="U873" s="133"/>
      <c r="V873" s="133"/>
      <c r="W873" s="133"/>
      <c r="X873" s="133"/>
      <c r="Y873" s="133"/>
      <c r="Z873" s="133"/>
    </row>
    <row r="874" spans="1:26" ht="12.75" customHeight="1" x14ac:dyDescent="0.3">
      <c r="A874" s="131"/>
      <c r="B874" s="131"/>
      <c r="C874" s="131"/>
      <c r="D874" s="131"/>
      <c r="E874" s="131"/>
      <c r="F874" s="132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3"/>
      <c r="S874" s="84">
        <f t="shared" si="66"/>
        <v>0</v>
      </c>
      <c r="T874" s="133"/>
      <c r="U874" s="133"/>
      <c r="V874" s="133"/>
      <c r="W874" s="133"/>
      <c r="X874" s="133"/>
      <c r="Y874" s="133"/>
      <c r="Z874" s="133"/>
    </row>
    <row r="875" spans="1:26" ht="12.75" customHeight="1" x14ac:dyDescent="0.3">
      <c r="A875" s="131"/>
      <c r="B875" s="131"/>
      <c r="C875" s="131"/>
      <c r="D875" s="131"/>
      <c r="E875" s="131"/>
      <c r="F875" s="132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3"/>
      <c r="S875" s="84">
        <f t="shared" si="66"/>
        <v>0</v>
      </c>
      <c r="T875" s="133"/>
      <c r="U875" s="133"/>
      <c r="V875" s="133"/>
      <c r="W875" s="133"/>
      <c r="X875" s="133"/>
      <c r="Y875" s="133"/>
      <c r="Z875" s="133"/>
    </row>
    <row r="876" spans="1:26" ht="12.75" customHeight="1" x14ac:dyDescent="0.3">
      <c r="A876" s="131"/>
      <c r="B876" s="131"/>
      <c r="C876" s="131"/>
      <c r="D876" s="131"/>
      <c r="E876" s="131"/>
      <c r="F876" s="132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3"/>
      <c r="S876" s="84">
        <f t="shared" si="66"/>
        <v>0</v>
      </c>
      <c r="T876" s="133"/>
      <c r="U876" s="133"/>
      <c r="V876" s="133"/>
      <c r="W876" s="133"/>
      <c r="X876" s="133"/>
      <c r="Y876" s="133"/>
      <c r="Z876" s="133"/>
    </row>
    <row r="877" spans="1:26" ht="12.75" customHeight="1" x14ac:dyDescent="0.3">
      <c r="A877" s="131"/>
      <c r="B877" s="131"/>
      <c r="C877" s="131"/>
      <c r="D877" s="131"/>
      <c r="E877" s="131"/>
      <c r="F877" s="132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3"/>
      <c r="S877" s="84">
        <f t="shared" si="66"/>
        <v>0</v>
      </c>
      <c r="T877" s="133"/>
      <c r="U877" s="133"/>
      <c r="V877" s="133"/>
      <c r="W877" s="133"/>
      <c r="X877" s="133"/>
      <c r="Y877" s="133"/>
      <c r="Z877" s="133"/>
    </row>
    <row r="878" spans="1:26" ht="12.75" customHeight="1" x14ac:dyDescent="0.3">
      <c r="A878" s="131"/>
      <c r="B878" s="131"/>
      <c r="C878" s="131"/>
      <c r="D878" s="131"/>
      <c r="E878" s="131"/>
      <c r="F878" s="132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3"/>
      <c r="S878" s="84">
        <f t="shared" si="66"/>
        <v>0</v>
      </c>
      <c r="T878" s="133"/>
      <c r="U878" s="133"/>
      <c r="V878" s="133"/>
      <c r="W878" s="133"/>
      <c r="X878" s="133"/>
      <c r="Y878" s="133"/>
      <c r="Z878" s="133"/>
    </row>
    <row r="879" spans="1:26" ht="12.75" customHeight="1" x14ac:dyDescent="0.3">
      <c r="A879" s="131"/>
      <c r="B879" s="131"/>
      <c r="C879" s="131"/>
      <c r="D879" s="131"/>
      <c r="E879" s="131"/>
      <c r="F879" s="132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3"/>
      <c r="S879" s="84">
        <f t="shared" si="66"/>
        <v>0</v>
      </c>
      <c r="T879" s="133"/>
      <c r="U879" s="133"/>
      <c r="V879" s="133"/>
      <c r="W879" s="133"/>
      <c r="X879" s="133"/>
      <c r="Y879" s="133"/>
      <c r="Z879" s="133"/>
    </row>
    <row r="880" spans="1:26" ht="12.75" customHeight="1" x14ac:dyDescent="0.3">
      <c r="A880" s="131"/>
      <c r="B880" s="131"/>
      <c r="C880" s="131"/>
      <c r="D880" s="131"/>
      <c r="E880" s="131"/>
      <c r="F880" s="132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3"/>
      <c r="S880" s="84">
        <f t="shared" si="66"/>
        <v>0</v>
      </c>
      <c r="T880" s="133"/>
      <c r="U880" s="133"/>
      <c r="V880" s="133"/>
      <c r="W880" s="133"/>
      <c r="X880" s="133"/>
      <c r="Y880" s="133"/>
      <c r="Z880" s="133"/>
    </row>
    <row r="881" spans="1:26" ht="12.75" customHeight="1" x14ac:dyDescent="0.3">
      <c r="A881" s="131"/>
      <c r="B881" s="131"/>
      <c r="C881" s="131"/>
      <c r="D881" s="131"/>
      <c r="E881" s="131"/>
      <c r="F881" s="132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3"/>
      <c r="S881" s="84">
        <f t="shared" si="66"/>
        <v>0</v>
      </c>
      <c r="T881" s="133"/>
      <c r="U881" s="133"/>
      <c r="V881" s="133"/>
      <c r="W881" s="133"/>
      <c r="X881" s="133"/>
      <c r="Y881" s="133"/>
      <c r="Z881" s="133"/>
    </row>
    <row r="882" spans="1:26" ht="12.75" customHeight="1" x14ac:dyDescent="0.3">
      <c r="A882" s="131"/>
      <c r="B882" s="131"/>
      <c r="C882" s="131"/>
      <c r="D882" s="131"/>
      <c r="E882" s="131"/>
      <c r="F882" s="132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3"/>
      <c r="S882" s="84">
        <f t="shared" si="66"/>
        <v>0</v>
      </c>
      <c r="T882" s="133"/>
      <c r="U882" s="133"/>
      <c r="V882" s="133"/>
      <c r="W882" s="133"/>
      <c r="X882" s="133"/>
      <c r="Y882" s="133"/>
      <c r="Z882" s="133"/>
    </row>
    <row r="883" spans="1:26" ht="12.75" customHeight="1" x14ac:dyDescent="0.3">
      <c r="A883" s="131"/>
      <c r="B883" s="131"/>
      <c r="C883" s="131"/>
      <c r="D883" s="131"/>
      <c r="E883" s="131"/>
      <c r="F883" s="132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3"/>
      <c r="S883" s="84">
        <f t="shared" si="66"/>
        <v>0</v>
      </c>
      <c r="T883" s="133"/>
      <c r="U883" s="133"/>
      <c r="V883" s="133"/>
      <c r="W883" s="133"/>
      <c r="X883" s="133"/>
      <c r="Y883" s="133"/>
      <c r="Z883" s="133"/>
    </row>
    <row r="884" spans="1:26" ht="12.75" customHeight="1" x14ac:dyDescent="0.3">
      <c r="A884" s="131"/>
      <c r="B884" s="131"/>
      <c r="C884" s="131"/>
      <c r="D884" s="131"/>
      <c r="E884" s="131"/>
      <c r="F884" s="132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3"/>
      <c r="S884" s="84">
        <f t="shared" si="66"/>
        <v>0</v>
      </c>
      <c r="T884" s="133"/>
      <c r="U884" s="133"/>
      <c r="V884" s="133"/>
      <c r="W884" s="133"/>
      <c r="X884" s="133"/>
      <c r="Y884" s="133"/>
      <c r="Z884" s="133"/>
    </row>
    <row r="885" spans="1:26" ht="12.75" customHeight="1" x14ac:dyDescent="0.3">
      <c r="A885" s="131"/>
      <c r="B885" s="131"/>
      <c r="C885" s="131"/>
      <c r="D885" s="131"/>
      <c r="E885" s="131"/>
      <c r="F885" s="132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3"/>
      <c r="S885" s="84">
        <f t="shared" si="66"/>
        <v>0</v>
      </c>
      <c r="T885" s="133"/>
      <c r="U885" s="133"/>
      <c r="V885" s="133"/>
      <c r="W885" s="133"/>
      <c r="X885" s="133"/>
      <c r="Y885" s="133"/>
      <c r="Z885" s="133"/>
    </row>
    <row r="886" spans="1:26" ht="12.75" customHeight="1" x14ac:dyDescent="0.3">
      <c r="A886" s="131"/>
      <c r="B886" s="131"/>
      <c r="C886" s="131"/>
      <c r="D886" s="131"/>
      <c r="E886" s="131"/>
      <c r="F886" s="132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3"/>
      <c r="S886" s="84">
        <f t="shared" si="66"/>
        <v>0</v>
      </c>
      <c r="T886" s="133"/>
      <c r="U886" s="133"/>
      <c r="V886" s="133"/>
      <c r="W886" s="133"/>
      <c r="X886" s="133"/>
      <c r="Y886" s="133"/>
      <c r="Z886" s="133"/>
    </row>
    <row r="887" spans="1:26" ht="12.75" customHeight="1" x14ac:dyDescent="0.3">
      <c r="A887" s="131"/>
      <c r="B887" s="131"/>
      <c r="C887" s="131"/>
      <c r="D887" s="131"/>
      <c r="E887" s="131"/>
      <c r="F887" s="132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3"/>
      <c r="S887" s="84">
        <f t="shared" si="66"/>
        <v>0</v>
      </c>
      <c r="T887" s="133"/>
      <c r="U887" s="133"/>
      <c r="V887" s="133"/>
      <c r="W887" s="133"/>
      <c r="X887" s="133"/>
      <c r="Y887" s="133"/>
      <c r="Z887" s="133"/>
    </row>
    <row r="888" spans="1:26" ht="12.75" customHeight="1" x14ac:dyDescent="0.3">
      <c r="A888" s="131"/>
      <c r="B888" s="131"/>
      <c r="C888" s="131"/>
      <c r="D888" s="131"/>
      <c r="E888" s="131"/>
      <c r="F888" s="132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3"/>
      <c r="S888" s="84">
        <f t="shared" si="66"/>
        <v>0</v>
      </c>
      <c r="T888" s="133"/>
      <c r="U888" s="133"/>
      <c r="V888" s="133"/>
      <c r="W888" s="133"/>
      <c r="X888" s="133"/>
      <c r="Y888" s="133"/>
      <c r="Z888" s="133"/>
    </row>
    <row r="889" spans="1:26" ht="12.75" customHeight="1" x14ac:dyDescent="0.3">
      <c r="A889" s="131"/>
      <c r="B889" s="131"/>
      <c r="C889" s="131"/>
      <c r="D889" s="131"/>
      <c r="E889" s="131"/>
      <c r="F889" s="132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3"/>
      <c r="S889" s="84">
        <f t="shared" si="66"/>
        <v>0</v>
      </c>
      <c r="T889" s="133"/>
      <c r="U889" s="133"/>
      <c r="V889" s="133"/>
      <c r="W889" s="133"/>
      <c r="X889" s="133"/>
      <c r="Y889" s="133"/>
      <c r="Z889" s="133"/>
    </row>
    <row r="890" spans="1:26" ht="12.75" customHeight="1" x14ac:dyDescent="0.3">
      <c r="A890" s="131"/>
      <c r="B890" s="131"/>
      <c r="C890" s="131"/>
      <c r="D890" s="131"/>
      <c r="E890" s="131"/>
      <c r="F890" s="132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3"/>
      <c r="S890" s="84">
        <f t="shared" si="66"/>
        <v>0</v>
      </c>
      <c r="T890" s="133"/>
      <c r="U890" s="133"/>
      <c r="V890" s="133"/>
      <c r="W890" s="133"/>
      <c r="X890" s="133"/>
      <c r="Y890" s="133"/>
      <c r="Z890" s="133"/>
    </row>
    <row r="891" spans="1:26" ht="12.75" customHeight="1" x14ac:dyDescent="0.3">
      <c r="A891" s="131"/>
      <c r="B891" s="131"/>
      <c r="C891" s="131"/>
      <c r="D891" s="131"/>
      <c r="E891" s="131"/>
      <c r="F891" s="132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3"/>
      <c r="S891" s="84">
        <f t="shared" si="66"/>
        <v>0</v>
      </c>
      <c r="T891" s="133"/>
      <c r="U891" s="133"/>
      <c r="V891" s="133"/>
      <c r="W891" s="133"/>
      <c r="X891" s="133"/>
      <c r="Y891" s="133"/>
      <c r="Z891" s="133"/>
    </row>
    <row r="892" spans="1:26" ht="12.75" customHeight="1" x14ac:dyDescent="0.3">
      <c r="A892" s="131"/>
      <c r="B892" s="131"/>
      <c r="C892" s="131"/>
      <c r="D892" s="131"/>
      <c r="E892" s="131"/>
      <c r="F892" s="132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3"/>
      <c r="S892" s="84">
        <f t="shared" si="66"/>
        <v>0</v>
      </c>
      <c r="T892" s="133"/>
      <c r="U892" s="133"/>
      <c r="V892" s="133"/>
      <c r="W892" s="133"/>
      <c r="X892" s="133"/>
      <c r="Y892" s="133"/>
      <c r="Z892" s="133"/>
    </row>
    <row r="893" spans="1:26" ht="12.75" customHeight="1" x14ac:dyDescent="0.3">
      <c r="A893" s="131"/>
      <c r="B893" s="131"/>
      <c r="C893" s="131"/>
      <c r="D893" s="131"/>
      <c r="E893" s="131"/>
      <c r="F893" s="132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3"/>
      <c r="S893" s="84">
        <f t="shared" si="66"/>
        <v>0</v>
      </c>
      <c r="T893" s="133"/>
      <c r="U893" s="133"/>
      <c r="V893" s="133"/>
      <c r="W893" s="133"/>
      <c r="X893" s="133"/>
      <c r="Y893" s="133"/>
      <c r="Z893" s="133"/>
    </row>
    <row r="894" spans="1:26" ht="12.75" customHeight="1" x14ac:dyDescent="0.3">
      <c r="A894" s="131"/>
      <c r="B894" s="131"/>
      <c r="C894" s="131"/>
      <c r="D894" s="131"/>
      <c r="E894" s="131"/>
      <c r="F894" s="132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3"/>
      <c r="S894" s="84">
        <f t="shared" si="66"/>
        <v>0</v>
      </c>
      <c r="T894" s="133"/>
      <c r="U894" s="133"/>
      <c r="V894" s="133"/>
      <c r="W894" s="133"/>
      <c r="X894" s="133"/>
      <c r="Y894" s="133"/>
      <c r="Z894" s="133"/>
    </row>
    <row r="895" spans="1:26" ht="12.75" customHeight="1" x14ac:dyDescent="0.3">
      <c r="A895" s="131"/>
      <c r="B895" s="131"/>
      <c r="C895" s="131"/>
      <c r="D895" s="131"/>
      <c r="E895" s="131"/>
      <c r="F895" s="132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3"/>
      <c r="S895" s="84">
        <f t="shared" si="66"/>
        <v>0</v>
      </c>
      <c r="T895" s="133"/>
      <c r="U895" s="133"/>
      <c r="V895" s="133"/>
      <c r="W895" s="133"/>
      <c r="X895" s="133"/>
      <c r="Y895" s="133"/>
      <c r="Z895" s="133"/>
    </row>
    <row r="896" spans="1:26" ht="12.75" customHeight="1" x14ac:dyDescent="0.3">
      <c r="A896" s="131"/>
      <c r="B896" s="131"/>
      <c r="C896" s="131"/>
      <c r="D896" s="131"/>
      <c r="E896" s="131"/>
      <c r="F896" s="132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3"/>
      <c r="S896" s="84">
        <f t="shared" si="66"/>
        <v>0</v>
      </c>
      <c r="T896" s="133"/>
      <c r="U896" s="133"/>
      <c r="V896" s="133"/>
      <c r="W896" s="133"/>
      <c r="X896" s="133"/>
      <c r="Y896" s="133"/>
      <c r="Z896" s="133"/>
    </row>
    <row r="897" spans="1:26" ht="12.75" customHeight="1" x14ac:dyDescent="0.3">
      <c r="A897" s="131"/>
      <c r="B897" s="131"/>
      <c r="C897" s="131"/>
      <c r="D897" s="131"/>
      <c r="E897" s="131"/>
      <c r="F897" s="132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3"/>
      <c r="S897" s="84">
        <f t="shared" si="66"/>
        <v>0</v>
      </c>
      <c r="T897" s="133"/>
      <c r="U897" s="133"/>
      <c r="V897" s="133"/>
      <c r="W897" s="133"/>
      <c r="X897" s="133"/>
      <c r="Y897" s="133"/>
      <c r="Z897" s="133"/>
    </row>
    <row r="898" spans="1:26" ht="12.75" customHeight="1" x14ac:dyDescent="0.3">
      <c r="A898" s="131"/>
      <c r="B898" s="131"/>
      <c r="C898" s="131"/>
      <c r="D898" s="131"/>
      <c r="E898" s="131"/>
      <c r="F898" s="132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3"/>
      <c r="S898" s="84">
        <f t="shared" si="66"/>
        <v>0</v>
      </c>
      <c r="T898" s="133"/>
      <c r="U898" s="133"/>
      <c r="V898" s="133"/>
      <c r="W898" s="133"/>
      <c r="X898" s="133"/>
      <c r="Y898" s="133"/>
      <c r="Z898" s="133"/>
    </row>
    <row r="899" spans="1:26" ht="12.75" customHeight="1" x14ac:dyDescent="0.3">
      <c r="A899" s="131"/>
      <c r="B899" s="131"/>
      <c r="C899" s="131"/>
      <c r="D899" s="131"/>
      <c r="E899" s="131"/>
      <c r="F899" s="132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3"/>
      <c r="S899" s="84">
        <f t="shared" si="66"/>
        <v>0</v>
      </c>
      <c r="T899" s="133"/>
      <c r="U899" s="133"/>
      <c r="V899" s="133"/>
      <c r="W899" s="133"/>
      <c r="X899" s="133"/>
      <c r="Y899" s="133"/>
      <c r="Z899" s="133"/>
    </row>
    <row r="900" spans="1:26" ht="12.75" customHeight="1" x14ac:dyDescent="0.3">
      <c r="A900" s="131"/>
      <c r="B900" s="131"/>
      <c r="C900" s="131"/>
      <c r="D900" s="131"/>
      <c r="E900" s="131"/>
      <c r="F900" s="132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3"/>
      <c r="S900" s="84">
        <f t="shared" si="66"/>
        <v>0</v>
      </c>
      <c r="T900" s="133"/>
      <c r="U900" s="133"/>
      <c r="V900" s="133"/>
      <c r="W900" s="133"/>
      <c r="X900" s="133"/>
      <c r="Y900" s="133"/>
      <c r="Z900" s="133"/>
    </row>
    <row r="901" spans="1:26" ht="12.75" customHeight="1" x14ac:dyDescent="0.3">
      <c r="A901" s="131"/>
      <c r="B901" s="131"/>
      <c r="C901" s="131"/>
      <c r="D901" s="131"/>
      <c r="E901" s="131"/>
      <c r="F901" s="132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3"/>
      <c r="S901" s="84">
        <f t="shared" si="66"/>
        <v>0</v>
      </c>
      <c r="T901" s="133"/>
      <c r="U901" s="133"/>
      <c r="V901" s="133"/>
      <c r="W901" s="133"/>
      <c r="X901" s="133"/>
      <c r="Y901" s="133"/>
      <c r="Z901" s="133"/>
    </row>
    <row r="902" spans="1:26" ht="12.75" customHeight="1" x14ac:dyDescent="0.3">
      <c r="A902" s="131"/>
      <c r="B902" s="131"/>
      <c r="C902" s="131"/>
      <c r="D902" s="131"/>
      <c r="E902" s="131"/>
      <c r="F902" s="132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3"/>
      <c r="S902" s="84">
        <f t="shared" si="66"/>
        <v>0</v>
      </c>
      <c r="T902" s="133"/>
      <c r="U902" s="133"/>
      <c r="V902" s="133"/>
      <c r="W902" s="133"/>
      <c r="X902" s="133"/>
      <c r="Y902" s="133"/>
      <c r="Z902" s="133"/>
    </row>
    <row r="903" spans="1:26" ht="12.75" customHeight="1" x14ac:dyDescent="0.3">
      <c r="A903" s="131"/>
      <c r="B903" s="131"/>
      <c r="C903" s="131"/>
      <c r="D903" s="131"/>
      <c r="E903" s="131"/>
      <c r="F903" s="132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3"/>
      <c r="S903" s="84">
        <f t="shared" si="66"/>
        <v>0</v>
      </c>
      <c r="T903" s="133"/>
      <c r="U903" s="133"/>
      <c r="V903" s="133"/>
      <c r="W903" s="133"/>
      <c r="X903" s="133"/>
      <c r="Y903" s="133"/>
      <c r="Z903" s="133"/>
    </row>
    <row r="904" spans="1:26" ht="12.75" customHeight="1" x14ac:dyDescent="0.3">
      <c r="A904" s="131"/>
      <c r="B904" s="131"/>
      <c r="C904" s="131"/>
      <c r="D904" s="131"/>
      <c r="E904" s="131"/>
      <c r="F904" s="132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3"/>
      <c r="S904" s="84">
        <f t="shared" si="66"/>
        <v>0</v>
      </c>
      <c r="T904" s="133"/>
      <c r="U904" s="133"/>
      <c r="V904" s="133"/>
      <c r="W904" s="133"/>
      <c r="X904" s="133"/>
      <c r="Y904" s="133"/>
      <c r="Z904" s="133"/>
    </row>
    <row r="905" spans="1:26" ht="12.75" customHeight="1" x14ac:dyDescent="0.3">
      <c r="A905" s="131"/>
      <c r="B905" s="131"/>
      <c r="C905" s="131"/>
      <c r="D905" s="131"/>
      <c r="E905" s="131"/>
      <c r="F905" s="132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3"/>
      <c r="S905" s="84">
        <f t="shared" si="66"/>
        <v>0</v>
      </c>
      <c r="T905" s="133"/>
      <c r="U905" s="133"/>
      <c r="V905" s="133"/>
      <c r="W905" s="133"/>
      <c r="X905" s="133"/>
      <c r="Y905" s="133"/>
      <c r="Z905" s="133"/>
    </row>
    <row r="906" spans="1:26" ht="12.75" customHeight="1" x14ac:dyDescent="0.3">
      <c r="A906" s="131"/>
      <c r="B906" s="131"/>
      <c r="C906" s="131"/>
      <c r="D906" s="131"/>
      <c r="E906" s="131"/>
      <c r="F906" s="132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3"/>
      <c r="S906" s="84">
        <f t="shared" si="66"/>
        <v>0</v>
      </c>
      <c r="T906" s="133"/>
      <c r="U906" s="133"/>
      <c r="V906" s="133"/>
      <c r="W906" s="133"/>
      <c r="X906" s="133"/>
      <c r="Y906" s="133"/>
      <c r="Z906" s="133"/>
    </row>
    <row r="907" spans="1:26" ht="12.75" customHeight="1" x14ac:dyDescent="0.3">
      <c r="A907" s="131"/>
      <c r="B907" s="131"/>
      <c r="C907" s="131"/>
      <c r="D907" s="131"/>
      <c r="E907" s="131"/>
      <c r="F907" s="132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3"/>
      <c r="S907" s="84">
        <f t="shared" si="66"/>
        <v>0</v>
      </c>
      <c r="T907" s="133"/>
      <c r="U907" s="133"/>
      <c r="V907" s="133"/>
      <c r="W907" s="133"/>
      <c r="X907" s="133"/>
      <c r="Y907" s="133"/>
      <c r="Z907" s="133"/>
    </row>
    <row r="908" spans="1:26" ht="12.75" customHeight="1" x14ac:dyDescent="0.3">
      <c r="A908" s="131"/>
      <c r="B908" s="131"/>
      <c r="C908" s="131"/>
      <c r="D908" s="131"/>
      <c r="E908" s="131"/>
      <c r="F908" s="132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3"/>
      <c r="S908" s="84">
        <f t="shared" si="66"/>
        <v>0</v>
      </c>
      <c r="T908" s="133"/>
      <c r="U908" s="133"/>
      <c r="V908" s="133"/>
      <c r="W908" s="133"/>
      <c r="X908" s="133"/>
      <c r="Y908" s="133"/>
      <c r="Z908" s="133"/>
    </row>
    <row r="909" spans="1:26" ht="12.75" customHeight="1" x14ac:dyDescent="0.3">
      <c r="A909" s="131"/>
      <c r="B909" s="131"/>
      <c r="C909" s="131"/>
      <c r="D909" s="131"/>
      <c r="E909" s="131"/>
      <c r="F909" s="132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3"/>
      <c r="S909" s="84">
        <f t="shared" si="66"/>
        <v>0</v>
      </c>
      <c r="T909" s="133"/>
      <c r="U909" s="133"/>
      <c r="V909" s="133"/>
      <c r="W909" s="133"/>
      <c r="X909" s="133"/>
      <c r="Y909" s="133"/>
      <c r="Z909" s="133"/>
    </row>
    <row r="910" spans="1:26" ht="12.75" customHeight="1" x14ac:dyDescent="0.3">
      <c r="A910" s="131"/>
      <c r="B910" s="131"/>
      <c r="C910" s="131"/>
      <c r="D910" s="131"/>
      <c r="E910" s="131"/>
      <c r="F910" s="132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3"/>
      <c r="S910" s="84">
        <f t="shared" si="66"/>
        <v>0</v>
      </c>
      <c r="T910" s="133"/>
      <c r="U910" s="133"/>
      <c r="V910" s="133"/>
      <c r="W910" s="133"/>
      <c r="X910" s="133"/>
      <c r="Y910" s="133"/>
      <c r="Z910" s="133"/>
    </row>
    <row r="911" spans="1:26" ht="12.75" customHeight="1" x14ac:dyDescent="0.3">
      <c r="A911" s="131"/>
      <c r="B911" s="131"/>
      <c r="C911" s="131"/>
      <c r="D911" s="131"/>
      <c r="E911" s="131"/>
      <c r="F911" s="132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3"/>
      <c r="S911" s="84">
        <f t="shared" si="66"/>
        <v>0</v>
      </c>
      <c r="T911" s="133"/>
      <c r="U911" s="133"/>
      <c r="V911" s="133"/>
      <c r="W911" s="133"/>
      <c r="X911" s="133"/>
      <c r="Y911" s="133"/>
      <c r="Z911" s="133"/>
    </row>
    <row r="912" spans="1:26" ht="12.75" customHeight="1" x14ac:dyDescent="0.3">
      <c r="A912" s="131"/>
      <c r="B912" s="131"/>
      <c r="C912" s="131"/>
      <c r="D912" s="131"/>
      <c r="E912" s="131"/>
      <c r="F912" s="132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3"/>
      <c r="S912" s="84">
        <f t="shared" si="66"/>
        <v>0</v>
      </c>
      <c r="T912" s="133"/>
      <c r="U912" s="133"/>
      <c r="V912" s="133"/>
      <c r="W912" s="133"/>
      <c r="X912" s="133"/>
      <c r="Y912" s="133"/>
      <c r="Z912" s="133"/>
    </row>
    <row r="913" spans="1:26" ht="12.75" customHeight="1" x14ac:dyDescent="0.3">
      <c r="A913" s="131"/>
      <c r="B913" s="131"/>
      <c r="C913" s="131"/>
      <c r="D913" s="131"/>
      <c r="E913" s="131"/>
      <c r="F913" s="132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3"/>
      <c r="S913" s="84">
        <f t="shared" si="66"/>
        <v>0</v>
      </c>
      <c r="T913" s="133"/>
      <c r="U913" s="133"/>
      <c r="V913" s="133"/>
      <c r="W913" s="133"/>
      <c r="X913" s="133"/>
      <c r="Y913" s="133"/>
      <c r="Z913" s="133"/>
    </row>
    <row r="914" spans="1:26" ht="12.75" customHeight="1" x14ac:dyDescent="0.3">
      <c r="A914" s="131"/>
      <c r="B914" s="131"/>
      <c r="C914" s="131"/>
      <c r="D914" s="131"/>
      <c r="E914" s="131"/>
      <c r="F914" s="132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3"/>
      <c r="S914" s="84">
        <f t="shared" si="66"/>
        <v>0</v>
      </c>
      <c r="T914" s="133"/>
      <c r="U914" s="133"/>
      <c r="V914" s="133"/>
      <c r="W914" s="133"/>
      <c r="X914" s="133"/>
      <c r="Y914" s="133"/>
      <c r="Z914" s="133"/>
    </row>
    <row r="915" spans="1:26" ht="12.75" customHeight="1" x14ac:dyDescent="0.3">
      <c r="A915" s="131"/>
      <c r="B915" s="131"/>
      <c r="C915" s="131"/>
      <c r="D915" s="131"/>
      <c r="E915" s="131"/>
      <c r="F915" s="132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3"/>
      <c r="S915" s="84">
        <f t="shared" si="66"/>
        <v>0</v>
      </c>
      <c r="T915" s="133"/>
      <c r="U915" s="133"/>
      <c r="V915" s="133"/>
      <c r="W915" s="133"/>
      <c r="X915" s="133"/>
      <c r="Y915" s="133"/>
      <c r="Z915" s="133"/>
    </row>
    <row r="916" spans="1:26" ht="12.75" customHeight="1" x14ac:dyDescent="0.3">
      <c r="A916" s="131"/>
      <c r="B916" s="131"/>
      <c r="C916" s="131"/>
      <c r="D916" s="131"/>
      <c r="E916" s="131"/>
      <c r="F916" s="132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3"/>
      <c r="S916" s="84">
        <f t="shared" si="66"/>
        <v>0</v>
      </c>
      <c r="T916" s="133"/>
      <c r="U916" s="133"/>
      <c r="V916" s="133"/>
      <c r="W916" s="133"/>
      <c r="X916" s="133"/>
      <c r="Y916" s="133"/>
      <c r="Z916" s="133"/>
    </row>
    <row r="917" spans="1:26" ht="12.75" customHeight="1" x14ac:dyDescent="0.3">
      <c r="A917" s="131"/>
      <c r="B917" s="131"/>
      <c r="C917" s="131"/>
      <c r="D917" s="131"/>
      <c r="E917" s="131"/>
      <c r="F917" s="132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3"/>
      <c r="S917" s="84">
        <f t="shared" si="66"/>
        <v>0</v>
      </c>
      <c r="T917" s="133"/>
      <c r="U917" s="133"/>
      <c r="V917" s="133"/>
      <c r="W917" s="133"/>
      <c r="X917" s="133"/>
      <c r="Y917" s="133"/>
      <c r="Z917" s="133"/>
    </row>
    <row r="918" spans="1:26" ht="12.75" customHeight="1" x14ac:dyDescent="0.3">
      <c r="A918" s="131"/>
      <c r="B918" s="131"/>
      <c r="C918" s="131"/>
      <c r="D918" s="131"/>
      <c r="E918" s="131"/>
      <c r="F918" s="132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3"/>
      <c r="S918" s="84">
        <f t="shared" si="66"/>
        <v>0</v>
      </c>
      <c r="T918" s="133"/>
      <c r="U918" s="133"/>
      <c r="V918" s="133"/>
      <c r="W918" s="133"/>
      <c r="X918" s="133"/>
      <c r="Y918" s="133"/>
      <c r="Z918" s="133"/>
    </row>
    <row r="919" spans="1:26" ht="12.75" customHeight="1" x14ac:dyDescent="0.3">
      <c r="A919" s="131"/>
      <c r="B919" s="131"/>
      <c r="C919" s="131"/>
      <c r="D919" s="131"/>
      <c r="E919" s="131"/>
      <c r="F919" s="132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3"/>
      <c r="S919" s="84">
        <f t="shared" si="66"/>
        <v>0</v>
      </c>
      <c r="T919" s="133"/>
      <c r="U919" s="133"/>
      <c r="V919" s="133"/>
      <c r="W919" s="133"/>
      <c r="X919" s="133"/>
      <c r="Y919" s="133"/>
      <c r="Z919" s="133"/>
    </row>
    <row r="920" spans="1:26" ht="12.75" customHeight="1" x14ac:dyDescent="0.3">
      <c r="A920" s="131"/>
      <c r="B920" s="131"/>
      <c r="C920" s="131"/>
      <c r="D920" s="131"/>
      <c r="E920" s="131"/>
      <c r="F920" s="132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3"/>
      <c r="S920" s="84">
        <f t="shared" si="66"/>
        <v>0</v>
      </c>
      <c r="T920" s="133"/>
      <c r="U920" s="133"/>
      <c r="V920" s="133"/>
      <c r="W920" s="133"/>
      <c r="X920" s="133"/>
      <c r="Y920" s="133"/>
      <c r="Z920" s="133"/>
    </row>
    <row r="921" spans="1:26" ht="12.75" customHeight="1" x14ac:dyDescent="0.3">
      <c r="A921" s="131"/>
      <c r="B921" s="131"/>
      <c r="C921" s="131"/>
      <c r="D921" s="131"/>
      <c r="E921" s="131"/>
      <c r="F921" s="132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3"/>
      <c r="S921" s="84">
        <f t="shared" si="66"/>
        <v>0</v>
      </c>
      <c r="T921" s="133"/>
      <c r="U921" s="133"/>
      <c r="V921" s="133"/>
      <c r="W921" s="133"/>
      <c r="X921" s="133"/>
      <c r="Y921" s="133"/>
      <c r="Z921" s="133"/>
    </row>
    <row r="922" spans="1:26" ht="12.75" customHeight="1" x14ac:dyDescent="0.3">
      <c r="A922" s="131"/>
      <c r="B922" s="131"/>
      <c r="C922" s="131"/>
      <c r="D922" s="131"/>
      <c r="E922" s="131"/>
      <c r="F922" s="132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3"/>
      <c r="S922" s="84">
        <f t="shared" si="66"/>
        <v>0</v>
      </c>
      <c r="T922" s="133"/>
      <c r="U922" s="133"/>
      <c r="V922" s="133"/>
      <c r="W922" s="133"/>
      <c r="X922" s="133"/>
      <c r="Y922" s="133"/>
      <c r="Z922" s="133"/>
    </row>
    <row r="923" spans="1:26" ht="12.75" customHeight="1" x14ac:dyDescent="0.3">
      <c r="A923" s="131"/>
      <c r="B923" s="131"/>
      <c r="C923" s="131"/>
      <c r="D923" s="131"/>
      <c r="E923" s="131"/>
      <c r="F923" s="132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3"/>
      <c r="S923" s="84">
        <f t="shared" si="66"/>
        <v>0</v>
      </c>
      <c r="T923" s="133"/>
      <c r="U923" s="133"/>
      <c r="V923" s="133"/>
      <c r="W923" s="133"/>
      <c r="X923" s="133"/>
      <c r="Y923" s="133"/>
      <c r="Z923" s="133"/>
    </row>
    <row r="924" spans="1:26" ht="12.75" customHeight="1" x14ac:dyDescent="0.3">
      <c r="A924" s="131"/>
      <c r="B924" s="131"/>
      <c r="C924" s="131"/>
      <c r="D924" s="131"/>
      <c r="E924" s="131"/>
      <c r="F924" s="132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3"/>
      <c r="S924" s="84">
        <f t="shared" si="66"/>
        <v>0</v>
      </c>
      <c r="T924" s="133"/>
      <c r="U924" s="133"/>
      <c r="V924" s="133"/>
      <c r="W924" s="133"/>
      <c r="X924" s="133"/>
      <c r="Y924" s="133"/>
      <c r="Z924" s="133"/>
    </row>
    <row r="925" spans="1:26" ht="12.75" customHeight="1" x14ac:dyDescent="0.3">
      <c r="A925" s="131"/>
      <c r="B925" s="131"/>
      <c r="C925" s="131"/>
      <c r="D925" s="131"/>
      <c r="E925" s="131"/>
      <c r="F925" s="132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3"/>
      <c r="S925" s="84">
        <f t="shared" si="66"/>
        <v>0</v>
      </c>
      <c r="T925" s="133"/>
      <c r="U925" s="133"/>
      <c r="V925" s="133"/>
      <c r="W925" s="133"/>
      <c r="X925" s="133"/>
      <c r="Y925" s="133"/>
      <c r="Z925" s="133"/>
    </row>
    <row r="926" spans="1:26" ht="12.75" customHeight="1" x14ac:dyDescent="0.3">
      <c r="A926" s="131"/>
      <c r="B926" s="131"/>
      <c r="C926" s="131"/>
      <c r="D926" s="131"/>
      <c r="E926" s="131"/>
      <c r="F926" s="132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3"/>
      <c r="S926" s="84">
        <f t="shared" si="66"/>
        <v>0</v>
      </c>
      <c r="T926" s="133"/>
      <c r="U926" s="133"/>
      <c r="V926" s="133"/>
      <c r="W926" s="133"/>
      <c r="X926" s="133"/>
      <c r="Y926" s="133"/>
      <c r="Z926" s="133"/>
    </row>
    <row r="927" spans="1:26" ht="12.75" customHeight="1" x14ac:dyDescent="0.3">
      <c r="A927" s="131"/>
      <c r="B927" s="131"/>
      <c r="C927" s="131"/>
      <c r="D927" s="131"/>
      <c r="E927" s="131"/>
      <c r="F927" s="132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3"/>
      <c r="S927" s="84">
        <f t="shared" si="66"/>
        <v>0</v>
      </c>
      <c r="T927" s="133"/>
      <c r="U927" s="133"/>
      <c r="V927" s="133"/>
      <c r="W927" s="133"/>
      <c r="X927" s="133"/>
      <c r="Y927" s="133"/>
      <c r="Z927" s="133"/>
    </row>
    <row r="928" spans="1:26" ht="12.75" customHeight="1" x14ac:dyDescent="0.3">
      <c r="A928" s="131"/>
      <c r="B928" s="131"/>
      <c r="C928" s="131"/>
      <c r="D928" s="131"/>
      <c r="E928" s="131"/>
      <c r="F928" s="132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3"/>
      <c r="S928" s="84">
        <f t="shared" si="66"/>
        <v>0</v>
      </c>
      <c r="T928" s="133"/>
      <c r="U928" s="133"/>
      <c r="V928" s="133"/>
      <c r="W928" s="133"/>
      <c r="X928" s="133"/>
      <c r="Y928" s="133"/>
      <c r="Z928" s="133"/>
    </row>
    <row r="929" spans="1:26" ht="12.75" customHeight="1" x14ac:dyDescent="0.3">
      <c r="A929" s="131"/>
      <c r="B929" s="131"/>
      <c r="C929" s="131"/>
      <c r="D929" s="131"/>
      <c r="E929" s="131"/>
      <c r="F929" s="132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3"/>
      <c r="S929" s="84">
        <f t="shared" si="66"/>
        <v>0</v>
      </c>
      <c r="T929" s="133"/>
      <c r="U929" s="133"/>
      <c r="V929" s="133"/>
      <c r="W929" s="133"/>
      <c r="X929" s="133"/>
      <c r="Y929" s="133"/>
      <c r="Z929" s="133"/>
    </row>
    <row r="930" spans="1:26" ht="12.75" customHeight="1" x14ac:dyDescent="0.3">
      <c r="A930" s="131"/>
      <c r="B930" s="131"/>
      <c r="C930" s="131"/>
      <c r="D930" s="131"/>
      <c r="E930" s="131"/>
      <c r="F930" s="132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3"/>
      <c r="S930" s="84">
        <f t="shared" si="66"/>
        <v>0</v>
      </c>
      <c r="T930" s="133"/>
      <c r="U930" s="133"/>
      <c r="V930" s="133"/>
      <c r="W930" s="133"/>
      <c r="X930" s="133"/>
      <c r="Y930" s="133"/>
      <c r="Z930" s="133"/>
    </row>
    <row r="931" spans="1:26" ht="12.75" customHeight="1" x14ac:dyDescent="0.3">
      <c r="A931" s="131"/>
      <c r="B931" s="131"/>
      <c r="C931" s="131"/>
      <c r="D931" s="131"/>
      <c r="E931" s="131"/>
      <c r="F931" s="132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3"/>
      <c r="S931" s="84">
        <f t="shared" si="66"/>
        <v>0</v>
      </c>
      <c r="T931" s="133"/>
      <c r="U931" s="133"/>
      <c r="V931" s="133"/>
      <c r="W931" s="133"/>
      <c r="X931" s="133"/>
      <c r="Y931" s="133"/>
      <c r="Z931" s="133"/>
    </row>
    <row r="932" spans="1:26" ht="12.75" customHeight="1" x14ac:dyDescent="0.3">
      <c r="A932" s="131"/>
      <c r="B932" s="131"/>
      <c r="C932" s="131"/>
      <c r="D932" s="131"/>
      <c r="E932" s="131"/>
      <c r="F932" s="132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3"/>
      <c r="S932" s="84">
        <f t="shared" si="66"/>
        <v>0</v>
      </c>
      <c r="T932" s="133"/>
      <c r="U932" s="133"/>
      <c r="V932" s="133"/>
      <c r="W932" s="133"/>
      <c r="X932" s="133"/>
      <c r="Y932" s="133"/>
      <c r="Z932" s="133"/>
    </row>
    <row r="933" spans="1:26" ht="12.75" customHeight="1" x14ac:dyDescent="0.3">
      <c r="A933" s="131"/>
      <c r="B933" s="131"/>
      <c r="C933" s="131"/>
      <c r="D933" s="131"/>
      <c r="E933" s="131"/>
      <c r="F933" s="132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3"/>
      <c r="S933" s="84">
        <f t="shared" si="66"/>
        <v>0</v>
      </c>
      <c r="T933" s="133"/>
      <c r="U933" s="133"/>
      <c r="V933" s="133"/>
      <c r="W933" s="133"/>
      <c r="X933" s="133"/>
      <c r="Y933" s="133"/>
      <c r="Z933" s="133"/>
    </row>
    <row r="934" spans="1:26" ht="12.75" customHeight="1" x14ac:dyDescent="0.3">
      <c r="A934" s="131"/>
      <c r="B934" s="131"/>
      <c r="C934" s="131"/>
      <c r="D934" s="131"/>
      <c r="E934" s="131"/>
      <c r="F934" s="132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3"/>
      <c r="S934" s="84">
        <f t="shared" si="66"/>
        <v>0</v>
      </c>
      <c r="T934" s="133"/>
      <c r="U934" s="133"/>
      <c r="V934" s="133"/>
      <c r="W934" s="133"/>
      <c r="X934" s="133"/>
      <c r="Y934" s="133"/>
      <c r="Z934" s="133"/>
    </row>
    <row r="935" spans="1:26" ht="12.75" customHeight="1" x14ac:dyDescent="0.3">
      <c r="A935" s="131"/>
      <c r="B935" s="131"/>
      <c r="C935" s="131"/>
      <c r="D935" s="131"/>
      <c r="E935" s="131"/>
      <c r="F935" s="132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3"/>
      <c r="S935" s="84">
        <f t="shared" si="66"/>
        <v>0</v>
      </c>
      <c r="T935" s="133"/>
      <c r="U935" s="133"/>
      <c r="V935" s="133"/>
      <c r="W935" s="133"/>
      <c r="X935" s="133"/>
      <c r="Y935" s="133"/>
      <c r="Z935" s="133"/>
    </row>
    <row r="936" spans="1:26" ht="12.75" customHeight="1" x14ac:dyDescent="0.3">
      <c r="A936" s="131"/>
      <c r="B936" s="131"/>
      <c r="C936" s="131"/>
      <c r="D936" s="131"/>
      <c r="E936" s="131"/>
      <c r="F936" s="132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3"/>
      <c r="S936" s="84">
        <f t="shared" si="66"/>
        <v>0</v>
      </c>
      <c r="T936" s="133"/>
      <c r="U936" s="133"/>
      <c r="V936" s="133"/>
      <c r="W936" s="133"/>
      <c r="X936" s="133"/>
      <c r="Y936" s="133"/>
      <c r="Z936" s="133"/>
    </row>
    <row r="937" spans="1:26" ht="12.75" customHeight="1" x14ac:dyDescent="0.3">
      <c r="A937" s="131"/>
      <c r="B937" s="131"/>
      <c r="C937" s="131"/>
      <c r="D937" s="131"/>
      <c r="E937" s="131"/>
      <c r="F937" s="132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3"/>
      <c r="S937" s="84">
        <f t="shared" si="66"/>
        <v>0</v>
      </c>
      <c r="T937" s="133"/>
      <c r="U937" s="133"/>
      <c r="V937" s="133"/>
      <c r="W937" s="133"/>
      <c r="X937" s="133"/>
      <c r="Y937" s="133"/>
      <c r="Z937" s="133"/>
    </row>
    <row r="938" spans="1:26" ht="12.75" customHeight="1" x14ac:dyDescent="0.3">
      <c r="A938" s="131"/>
      <c r="B938" s="131"/>
      <c r="C938" s="131"/>
      <c r="D938" s="131"/>
      <c r="E938" s="131"/>
      <c r="F938" s="132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3"/>
      <c r="S938" s="84">
        <f t="shared" si="66"/>
        <v>0</v>
      </c>
      <c r="T938" s="133"/>
      <c r="U938" s="133"/>
      <c r="V938" s="133"/>
      <c r="W938" s="133"/>
      <c r="X938" s="133"/>
      <c r="Y938" s="133"/>
      <c r="Z938" s="133"/>
    </row>
    <row r="939" spans="1:26" ht="12.75" customHeight="1" x14ac:dyDescent="0.3">
      <c r="A939" s="131"/>
      <c r="B939" s="131"/>
      <c r="C939" s="131"/>
      <c r="D939" s="131"/>
      <c r="E939" s="131"/>
      <c r="F939" s="132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3"/>
      <c r="S939" s="84">
        <f t="shared" si="66"/>
        <v>0</v>
      </c>
      <c r="T939" s="133"/>
      <c r="U939" s="133"/>
      <c r="V939" s="133"/>
      <c r="W939" s="133"/>
      <c r="X939" s="133"/>
      <c r="Y939" s="133"/>
      <c r="Z939" s="133"/>
    </row>
    <row r="940" spans="1:26" ht="12.75" customHeight="1" x14ac:dyDescent="0.3">
      <c r="A940" s="131"/>
      <c r="B940" s="131"/>
      <c r="C940" s="131"/>
      <c r="D940" s="131"/>
      <c r="E940" s="131"/>
      <c r="F940" s="132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3"/>
      <c r="S940" s="84">
        <f t="shared" si="66"/>
        <v>0</v>
      </c>
      <c r="T940" s="133"/>
      <c r="U940" s="133"/>
      <c r="V940" s="133"/>
      <c r="W940" s="133"/>
      <c r="X940" s="133"/>
      <c r="Y940" s="133"/>
      <c r="Z940" s="133"/>
    </row>
    <row r="941" spans="1:26" ht="12.75" customHeight="1" x14ac:dyDescent="0.3">
      <c r="A941" s="131"/>
      <c r="B941" s="131"/>
      <c r="C941" s="131"/>
      <c r="D941" s="131"/>
      <c r="E941" s="131"/>
      <c r="F941" s="132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3"/>
      <c r="S941" s="84">
        <f t="shared" si="66"/>
        <v>0</v>
      </c>
      <c r="T941" s="133"/>
      <c r="U941" s="133"/>
      <c r="V941" s="133"/>
      <c r="W941" s="133"/>
      <c r="X941" s="133"/>
      <c r="Y941" s="133"/>
      <c r="Z941" s="133"/>
    </row>
    <row r="942" spans="1:26" ht="12.75" customHeight="1" x14ac:dyDescent="0.3">
      <c r="A942" s="131"/>
      <c r="B942" s="131"/>
      <c r="C942" s="131"/>
      <c r="D942" s="131"/>
      <c r="E942" s="131"/>
      <c r="F942" s="132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3"/>
      <c r="S942" s="84">
        <f t="shared" ref="S942:S999" si="67">SUM(T942:Z942)</f>
        <v>0</v>
      </c>
      <c r="T942" s="133"/>
      <c r="U942" s="133"/>
      <c r="V942" s="133"/>
      <c r="W942" s="133"/>
      <c r="X942" s="133"/>
      <c r="Y942" s="133"/>
      <c r="Z942" s="133"/>
    </row>
    <row r="943" spans="1:26" ht="12.75" customHeight="1" x14ac:dyDescent="0.3">
      <c r="A943" s="131"/>
      <c r="B943" s="131"/>
      <c r="C943" s="131"/>
      <c r="D943" s="131"/>
      <c r="E943" s="131"/>
      <c r="F943" s="132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3"/>
      <c r="S943" s="84">
        <f t="shared" si="67"/>
        <v>0</v>
      </c>
      <c r="T943" s="133"/>
      <c r="U943" s="133"/>
      <c r="V943" s="133"/>
      <c r="W943" s="133"/>
      <c r="X943" s="133"/>
      <c r="Y943" s="133"/>
      <c r="Z943" s="133"/>
    </row>
    <row r="944" spans="1:26" ht="12.75" customHeight="1" x14ac:dyDescent="0.3">
      <c r="A944" s="131"/>
      <c r="B944" s="131"/>
      <c r="C944" s="131"/>
      <c r="D944" s="131"/>
      <c r="E944" s="131"/>
      <c r="F944" s="132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3"/>
      <c r="S944" s="84">
        <f t="shared" si="67"/>
        <v>0</v>
      </c>
      <c r="T944" s="133"/>
      <c r="U944" s="133"/>
      <c r="V944" s="133"/>
      <c r="W944" s="133"/>
      <c r="X944" s="133"/>
      <c r="Y944" s="133"/>
      <c r="Z944" s="133"/>
    </row>
    <row r="945" spans="1:26" ht="12.75" customHeight="1" x14ac:dyDescent="0.3">
      <c r="A945" s="131"/>
      <c r="B945" s="131"/>
      <c r="C945" s="131"/>
      <c r="D945" s="131"/>
      <c r="E945" s="131"/>
      <c r="F945" s="132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3"/>
      <c r="S945" s="84">
        <f t="shared" si="67"/>
        <v>0</v>
      </c>
      <c r="T945" s="133"/>
      <c r="U945" s="133"/>
      <c r="V945" s="133"/>
      <c r="W945" s="133"/>
      <c r="X945" s="133"/>
      <c r="Y945" s="133"/>
      <c r="Z945" s="133"/>
    </row>
    <row r="946" spans="1:26" ht="12.75" customHeight="1" x14ac:dyDescent="0.3">
      <c r="A946" s="131"/>
      <c r="B946" s="131"/>
      <c r="C946" s="131"/>
      <c r="D946" s="131"/>
      <c r="E946" s="131"/>
      <c r="F946" s="132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3"/>
      <c r="S946" s="84">
        <f t="shared" si="67"/>
        <v>0</v>
      </c>
      <c r="T946" s="133"/>
      <c r="U946" s="133"/>
      <c r="V946" s="133"/>
      <c r="W946" s="133"/>
      <c r="X946" s="133"/>
      <c r="Y946" s="133"/>
      <c r="Z946" s="133"/>
    </row>
    <row r="947" spans="1:26" ht="12.75" customHeight="1" x14ac:dyDescent="0.3">
      <c r="A947" s="131"/>
      <c r="B947" s="131"/>
      <c r="C947" s="131"/>
      <c r="D947" s="131"/>
      <c r="E947" s="131"/>
      <c r="F947" s="132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3"/>
      <c r="S947" s="84">
        <f t="shared" si="67"/>
        <v>0</v>
      </c>
      <c r="T947" s="133"/>
      <c r="U947" s="133"/>
      <c r="V947" s="133"/>
      <c r="W947" s="133"/>
      <c r="X947" s="133"/>
      <c r="Y947" s="133"/>
      <c r="Z947" s="133"/>
    </row>
    <row r="948" spans="1:26" ht="12.75" customHeight="1" x14ac:dyDescent="0.3">
      <c r="A948" s="131"/>
      <c r="B948" s="131"/>
      <c r="C948" s="131"/>
      <c r="D948" s="131"/>
      <c r="E948" s="131"/>
      <c r="F948" s="132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3"/>
      <c r="S948" s="84">
        <f t="shared" si="67"/>
        <v>0</v>
      </c>
      <c r="T948" s="133"/>
      <c r="U948" s="133"/>
      <c r="V948" s="133"/>
      <c r="W948" s="133"/>
      <c r="X948" s="133"/>
      <c r="Y948" s="133"/>
      <c r="Z948" s="133"/>
    </row>
    <row r="949" spans="1:26" ht="12.75" customHeight="1" x14ac:dyDescent="0.3">
      <c r="A949" s="131"/>
      <c r="B949" s="131"/>
      <c r="C949" s="131"/>
      <c r="D949" s="131"/>
      <c r="E949" s="131"/>
      <c r="F949" s="132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3"/>
      <c r="S949" s="84">
        <f t="shared" si="67"/>
        <v>0</v>
      </c>
      <c r="T949" s="133"/>
      <c r="U949" s="133"/>
      <c r="V949" s="133"/>
      <c r="W949" s="133"/>
      <c r="X949" s="133"/>
      <c r="Y949" s="133"/>
      <c r="Z949" s="133"/>
    </row>
    <row r="950" spans="1:26" ht="12.75" customHeight="1" x14ac:dyDescent="0.3">
      <c r="A950" s="131"/>
      <c r="B950" s="131"/>
      <c r="C950" s="131"/>
      <c r="D950" s="131"/>
      <c r="E950" s="131"/>
      <c r="F950" s="132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3"/>
      <c r="S950" s="84">
        <f t="shared" si="67"/>
        <v>0</v>
      </c>
      <c r="T950" s="133"/>
      <c r="U950" s="133"/>
      <c r="V950" s="133"/>
      <c r="W950" s="133"/>
      <c r="X950" s="133"/>
      <c r="Y950" s="133"/>
      <c r="Z950" s="133"/>
    </row>
    <row r="951" spans="1:26" ht="12.75" customHeight="1" x14ac:dyDescent="0.3">
      <c r="A951" s="131"/>
      <c r="B951" s="131"/>
      <c r="C951" s="131"/>
      <c r="D951" s="131"/>
      <c r="E951" s="131"/>
      <c r="F951" s="132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3"/>
      <c r="S951" s="84">
        <f t="shared" si="67"/>
        <v>0</v>
      </c>
      <c r="T951" s="133"/>
      <c r="U951" s="133"/>
      <c r="V951" s="133"/>
      <c r="W951" s="133"/>
      <c r="X951" s="133"/>
      <c r="Y951" s="133"/>
      <c r="Z951" s="133"/>
    </row>
    <row r="952" spans="1:26" ht="12.75" customHeight="1" x14ac:dyDescent="0.3">
      <c r="A952" s="131"/>
      <c r="B952" s="131"/>
      <c r="C952" s="131"/>
      <c r="D952" s="131"/>
      <c r="E952" s="131"/>
      <c r="F952" s="132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3"/>
      <c r="S952" s="84">
        <f t="shared" si="67"/>
        <v>0</v>
      </c>
      <c r="T952" s="133"/>
      <c r="U952" s="133"/>
      <c r="V952" s="133"/>
      <c r="W952" s="133"/>
      <c r="X952" s="133"/>
      <c r="Y952" s="133"/>
      <c r="Z952" s="133"/>
    </row>
    <row r="953" spans="1:26" ht="12.75" customHeight="1" x14ac:dyDescent="0.3">
      <c r="A953" s="131"/>
      <c r="B953" s="131"/>
      <c r="C953" s="131"/>
      <c r="D953" s="131"/>
      <c r="E953" s="131"/>
      <c r="F953" s="132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3"/>
      <c r="S953" s="84">
        <f t="shared" si="67"/>
        <v>0</v>
      </c>
      <c r="T953" s="133"/>
      <c r="U953" s="133"/>
      <c r="V953" s="133"/>
      <c r="W953" s="133"/>
      <c r="X953" s="133"/>
      <c r="Y953" s="133"/>
      <c r="Z953" s="133"/>
    </row>
    <row r="954" spans="1:26" ht="12.75" customHeight="1" x14ac:dyDescent="0.3">
      <c r="A954" s="131"/>
      <c r="B954" s="131"/>
      <c r="C954" s="131"/>
      <c r="D954" s="131"/>
      <c r="E954" s="131"/>
      <c r="F954" s="132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3"/>
      <c r="S954" s="84">
        <f t="shared" si="67"/>
        <v>0</v>
      </c>
      <c r="T954" s="133"/>
      <c r="U954" s="133"/>
      <c r="V954" s="133"/>
      <c r="W954" s="133"/>
      <c r="X954" s="133"/>
      <c r="Y954" s="133"/>
      <c r="Z954" s="133"/>
    </row>
    <row r="955" spans="1:26" ht="12.75" customHeight="1" x14ac:dyDescent="0.3">
      <c r="A955" s="131"/>
      <c r="B955" s="131"/>
      <c r="C955" s="131"/>
      <c r="D955" s="131"/>
      <c r="E955" s="131"/>
      <c r="F955" s="132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3"/>
      <c r="S955" s="84">
        <f t="shared" si="67"/>
        <v>0</v>
      </c>
      <c r="T955" s="133"/>
      <c r="U955" s="133"/>
      <c r="V955" s="133"/>
      <c r="W955" s="133"/>
      <c r="X955" s="133"/>
      <c r="Y955" s="133"/>
      <c r="Z955" s="133"/>
    </row>
    <row r="956" spans="1:26" ht="12.75" customHeight="1" x14ac:dyDescent="0.3">
      <c r="A956" s="131"/>
      <c r="B956" s="131"/>
      <c r="C956" s="131"/>
      <c r="D956" s="131"/>
      <c r="E956" s="131"/>
      <c r="F956" s="132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3"/>
      <c r="S956" s="84">
        <f t="shared" si="67"/>
        <v>0</v>
      </c>
      <c r="T956" s="133"/>
      <c r="U956" s="133"/>
      <c r="V956" s="133"/>
      <c r="W956" s="133"/>
      <c r="X956" s="133"/>
      <c r="Y956" s="133"/>
      <c r="Z956" s="133"/>
    </row>
    <row r="957" spans="1:26" ht="12.75" customHeight="1" x14ac:dyDescent="0.3">
      <c r="A957" s="131"/>
      <c r="B957" s="131"/>
      <c r="C957" s="131"/>
      <c r="D957" s="131"/>
      <c r="E957" s="131"/>
      <c r="F957" s="132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3"/>
      <c r="S957" s="84">
        <f t="shared" si="67"/>
        <v>0</v>
      </c>
      <c r="T957" s="133"/>
      <c r="U957" s="133"/>
      <c r="V957" s="133"/>
      <c r="W957" s="133"/>
      <c r="X957" s="133"/>
      <c r="Y957" s="133"/>
      <c r="Z957" s="133"/>
    </row>
    <row r="958" spans="1:26" ht="12.75" customHeight="1" x14ac:dyDescent="0.3">
      <c r="A958" s="131"/>
      <c r="B958" s="131"/>
      <c r="C958" s="131"/>
      <c r="D958" s="131"/>
      <c r="E958" s="131"/>
      <c r="F958" s="132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3"/>
      <c r="S958" s="84">
        <f t="shared" si="67"/>
        <v>0</v>
      </c>
      <c r="T958" s="133"/>
      <c r="U958" s="133"/>
      <c r="V958" s="133"/>
      <c r="W958" s="133"/>
      <c r="X958" s="133"/>
      <c r="Y958" s="133"/>
      <c r="Z958" s="133"/>
    </row>
    <row r="959" spans="1:26" ht="12.75" customHeight="1" x14ac:dyDescent="0.3">
      <c r="A959" s="131"/>
      <c r="B959" s="131"/>
      <c r="C959" s="131"/>
      <c r="D959" s="131"/>
      <c r="E959" s="131"/>
      <c r="F959" s="132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3"/>
      <c r="S959" s="84">
        <f t="shared" si="67"/>
        <v>0</v>
      </c>
      <c r="T959" s="133"/>
      <c r="U959" s="133"/>
      <c r="V959" s="133"/>
      <c r="W959" s="133"/>
      <c r="X959" s="133"/>
      <c r="Y959" s="133"/>
      <c r="Z959" s="133"/>
    </row>
    <row r="960" spans="1:26" ht="12.75" customHeight="1" x14ac:dyDescent="0.3">
      <c r="A960" s="131"/>
      <c r="B960" s="131"/>
      <c r="C960" s="131"/>
      <c r="D960" s="131"/>
      <c r="E960" s="131"/>
      <c r="F960" s="132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3"/>
      <c r="S960" s="84">
        <f t="shared" si="67"/>
        <v>0</v>
      </c>
      <c r="T960" s="133"/>
      <c r="U960" s="133"/>
      <c r="V960" s="133"/>
      <c r="W960" s="133"/>
      <c r="X960" s="133"/>
      <c r="Y960" s="133"/>
      <c r="Z960" s="133"/>
    </row>
    <row r="961" spans="1:26" ht="12.75" customHeight="1" x14ac:dyDescent="0.3">
      <c r="A961" s="131"/>
      <c r="B961" s="131"/>
      <c r="C961" s="131"/>
      <c r="D961" s="131"/>
      <c r="E961" s="131"/>
      <c r="F961" s="132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3"/>
      <c r="S961" s="84">
        <f t="shared" si="67"/>
        <v>0</v>
      </c>
      <c r="T961" s="133"/>
      <c r="U961" s="133"/>
      <c r="V961" s="133"/>
      <c r="W961" s="133"/>
      <c r="X961" s="133"/>
      <c r="Y961" s="133"/>
      <c r="Z961" s="133"/>
    </row>
    <row r="962" spans="1:26" ht="12.75" customHeight="1" x14ac:dyDescent="0.3">
      <c r="A962" s="131"/>
      <c r="B962" s="131"/>
      <c r="C962" s="131"/>
      <c r="D962" s="131"/>
      <c r="E962" s="131"/>
      <c r="F962" s="132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3"/>
      <c r="S962" s="84">
        <f t="shared" si="67"/>
        <v>0</v>
      </c>
      <c r="T962" s="133"/>
      <c r="U962" s="133"/>
      <c r="V962" s="133"/>
      <c r="W962" s="133"/>
      <c r="X962" s="133"/>
      <c r="Y962" s="133"/>
      <c r="Z962" s="133"/>
    </row>
    <row r="963" spans="1:26" ht="12.75" customHeight="1" x14ac:dyDescent="0.3">
      <c r="A963" s="131"/>
      <c r="B963" s="131"/>
      <c r="C963" s="131"/>
      <c r="D963" s="131"/>
      <c r="E963" s="131"/>
      <c r="F963" s="132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3"/>
      <c r="S963" s="84">
        <f t="shared" si="67"/>
        <v>0</v>
      </c>
      <c r="T963" s="133"/>
      <c r="U963" s="133"/>
      <c r="V963" s="133"/>
      <c r="W963" s="133"/>
      <c r="X963" s="133"/>
      <c r="Y963" s="133"/>
      <c r="Z963" s="133"/>
    </row>
    <row r="964" spans="1:26" ht="12.75" customHeight="1" x14ac:dyDescent="0.3">
      <c r="A964" s="131"/>
      <c r="B964" s="131"/>
      <c r="C964" s="131"/>
      <c r="D964" s="131"/>
      <c r="E964" s="131"/>
      <c r="F964" s="132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3"/>
      <c r="S964" s="84">
        <f t="shared" si="67"/>
        <v>0</v>
      </c>
      <c r="T964" s="133"/>
      <c r="U964" s="133"/>
      <c r="V964" s="133"/>
      <c r="W964" s="133"/>
      <c r="X964" s="133"/>
      <c r="Y964" s="133"/>
      <c r="Z964" s="133"/>
    </row>
    <row r="965" spans="1:26" ht="12.75" customHeight="1" x14ac:dyDescent="0.3">
      <c r="A965" s="131"/>
      <c r="B965" s="131"/>
      <c r="C965" s="131"/>
      <c r="D965" s="131"/>
      <c r="E965" s="131"/>
      <c r="F965" s="132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3"/>
      <c r="S965" s="84">
        <f t="shared" si="67"/>
        <v>0</v>
      </c>
      <c r="T965" s="133"/>
      <c r="U965" s="133"/>
      <c r="V965" s="133"/>
      <c r="W965" s="133"/>
      <c r="X965" s="133"/>
      <c r="Y965" s="133"/>
      <c r="Z965" s="133"/>
    </row>
    <row r="966" spans="1:26" ht="12.75" customHeight="1" x14ac:dyDescent="0.3">
      <c r="A966" s="131"/>
      <c r="B966" s="131"/>
      <c r="C966" s="131"/>
      <c r="D966" s="131"/>
      <c r="E966" s="131"/>
      <c r="F966" s="132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3"/>
      <c r="S966" s="84">
        <f t="shared" si="67"/>
        <v>0</v>
      </c>
      <c r="T966" s="133"/>
      <c r="U966" s="133"/>
      <c r="V966" s="133"/>
      <c r="W966" s="133"/>
      <c r="X966" s="133"/>
      <c r="Y966" s="133"/>
      <c r="Z966" s="133"/>
    </row>
    <row r="967" spans="1:26" ht="12.75" customHeight="1" x14ac:dyDescent="0.3">
      <c r="A967" s="131"/>
      <c r="B967" s="131"/>
      <c r="C967" s="131"/>
      <c r="D967" s="131"/>
      <c r="E967" s="131"/>
      <c r="F967" s="132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3"/>
      <c r="S967" s="84">
        <f t="shared" si="67"/>
        <v>0</v>
      </c>
      <c r="T967" s="133"/>
      <c r="U967" s="133"/>
      <c r="V967" s="133"/>
      <c r="W967" s="133"/>
      <c r="X967" s="133"/>
      <c r="Y967" s="133"/>
      <c r="Z967" s="133"/>
    </row>
    <row r="968" spans="1:26" ht="12.75" customHeight="1" x14ac:dyDescent="0.3">
      <c r="A968" s="131"/>
      <c r="B968" s="131"/>
      <c r="C968" s="131"/>
      <c r="D968" s="131"/>
      <c r="E968" s="131"/>
      <c r="F968" s="132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3"/>
      <c r="S968" s="84">
        <f t="shared" si="67"/>
        <v>0</v>
      </c>
      <c r="T968" s="133"/>
      <c r="U968" s="133"/>
      <c r="V968" s="133"/>
      <c r="W968" s="133"/>
      <c r="X968" s="133"/>
      <c r="Y968" s="133"/>
      <c r="Z968" s="133"/>
    </row>
    <row r="969" spans="1:26" ht="12.75" customHeight="1" x14ac:dyDescent="0.3">
      <c r="A969" s="131"/>
      <c r="B969" s="131"/>
      <c r="C969" s="131"/>
      <c r="D969" s="131"/>
      <c r="E969" s="131"/>
      <c r="F969" s="132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3"/>
      <c r="S969" s="84">
        <f t="shared" si="67"/>
        <v>0</v>
      </c>
      <c r="T969" s="133"/>
      <c r="U969" s="133"/>
      <c r="V969" s="133"/>
      <c r="W969" s="133"/>
      <c r="X969" s="133"/>
      <c r="Y969" s="133"/>
      <c r="Z969" s="133"/>
    </row>
    <row r="970" spans="1:26" ht="12.75" customHeight="1" x14ac:dyDescent="0.3">
      <c r="A970" s="131"/>
      <c r="B970" s="131"/>
      <c r="C970" s="131"/>
      <c r="D970" s="131"/>
      <c r="E970" s="131"/>
      <c r="F970" s="132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3"/>
      <c r="S970" s="84">
        <f t="shared" si="67"/>
        <v>0</v>
      </c>
      <c r="T970" s="133"/>
      <c r="U970" s="133"/>
      <c r="V970" s="133"/>
      <c r="W970" s="133"/>
      <c r="X970" s="133"/>
      <c r="Y970" s="133"/>
      <c r="Z970" s="133"/>
    </row>
    <row r="971" spans="1:26" ht="12.75" customHeight="1" x14ac:dyDescent="0.3">
      <c r="A971" s="131"/>
      <c r="B971" s="131"/>
      <c r="C971" s="131"/>
      <c r="D971" s="131"/>
      <c r="E971" s="131"/>
      <c r="F971" s="132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3"/>
      <c r="S971" s="84">
        <f t="shared" si="67"/>
        <v>0</v>
      </c>
      <c r="T971" s="133"/>
      <c r="U971" s="133"/>
      <c r="V971" s="133"/>
      <c r="W971" s="133"/>
      <c r="X971" s="133"/>
      <c r="Y971" s="133"/>
      <c r="Z971" s="133"/>
    </row>
    <row r="972" spans="1:26" ht="12.75" customHeight="1" x14ac:dyDescent="0.3">
      <c r="A972" s="131"/>
      <c r="B972" s="131"/>
      <c r="C972" s="131"/>
      <c r="D972" s="131"/>
      <c r="E972" s="131"/>
      <c r="F972" s="132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3"/>
      <c r="S972" s="84">
        <f t="shared" si="67"/>
        <v>0</v>
      </c>
      <c r="T972" s="133"/>
      <c r="U972" s="133"/>
      <c r="V972" s="133"/>
      <c r="W972" s="133"/>
      <c r="X972" s="133"/>
      <c r="Y972" s="133"/>
      <c r="Z972" s="133"/>
    </row>
    <row r="973" spans="1:26" ht="12.75" customHeight="1" x14ac:dyDescent="0.3">
      <c r="A973" s="131"/>
      <c r="B973" s="131"/>
      <c r="C973" s="131"/>
      <c r="D973" s="131"/>
      <c r="E973" s="131"/>
      <c r="F973" s="132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3"/>
      <c r="S973" s="84">
        <f t="shared" si="67"/>
        <v>0</v>
      </c>
      <c r="T973" s="133"/>
      <c r="U973" s="133"/>
      <c r="V973" s="133"/>
      <c r="W973" s="133"/>
      <c r="X973" s="133"/>
      <c r="Y973" s="133"/>
      <c r="Z973" s="133"/>
    </row>
    <row r="974" spans="1:26" ht="12.75" customHeight="1" x14ac:dyDescent="0.3">
      <c r="A974" s="131"/>
      <c r="B974" s="131"/>
      <c r="C974" s="131"/>
      <c r="D974" s="131"/>
      <c r="E974" s="131"/>
      <c r="F974" s="132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3"/>
      <c r="S974" s="84">
        <f t="shared" si="67"/>
        <v>0</v>
      </c>
      <c r="T974" s="133"/>
      <c r="U974" s="133"/>
      <c r="V974" s="133"/>
      <c r="W974" s="133"/>
      <c r="X974" s="133"/>
      <c r="Y974" s="133"/>
      <c r="Z974" s="133"/>
    </row>
    <row r="975" spans="1:26" ht="12.75" customHeight="1" x14ac:dyDescent="0.3">
      <c r="A975" s="131"/>
      <c r="B975" s="131"/>
      <c r="C975" s="131"/>
      <c r="D975" s="131"/>
      <c r="E975" s="131"/>
      <c r="F975" s="132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3"/>
      <c r="S975" s="84">
        <f t="shared" si="67"/>
        <v>0</v>
      </c>
      <c r="T975" s="133"/>
      <c r="U975" s="133"/>
      <c r="V975" s="133"/>
      <c r="W975" s="133"/>
      <c r="X975" s="133"/>
      <c r="Y975" s="133"/>
      <c r="Z975" s="133"/>
    </row>
    <row r="976" spans="1:26" ht="12.75" customHeight="1" x14ac:dyDescent="0.3">
      <c r="A976" s="131"/>
      <c r="B976" s="131"/>
      <c r="C976" s="131"/>
      <c r="D976" s="131"/>
      <c r="E976" s="131"/>
      <c r="F976" s="132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3"/>
      <c r="S976" s="84">
        <f t="shared" si="67"/>
        <v>0</v>
      </c>
      <c r="T976" s="133"/>
      <c r="U976" s="133"/>
      <c r="V976" s="133"/>
      <c r="W976" s="133"/>
      <c r="X976" s="133"/>
      <c r="Y976" s="133"/>
      <c r="Z976" s="133"/>
    </row>
    <row r="977" spans="1:26" ht="12.75" customHeight="1" x14ac:dyDescent="0.3">
      <c r="A977" s="131"/>
      <c r="B977" s="131"/>
      <c r="C977" s="131"/>
      <c r="D977" s="131"/>
      <c r="E977" s="131"/>
      <c r="F977" s="132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3"/>
      <c r="S977" s="84">
        <f t="shared" si="67"/>
        <v>0</v>
      </c>
      <c r="T977" s="133"/>
      <c r="U977" s="133"/>
      <c r="V977" s="133"/>
      <c r="W977" s="133"/>
      <c r="X977" s="133"/>
      <c r="Y977" s="133"/>
      <c r="Z977" s="133"/>
    </row>
    <row r="978" spans="1:26" ht="12.75" customHeight="1" x14ac:dyDescent="0.3">
      <c r="A978" s="131"/>
      <c r="B978" s="131"/>
      <c r="C978" s="131"/>
      <c r="D978" s="131"/>
      <c r="E978" s="131"/>
      <c r="F978" s="132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3"/>
      <c r="S978" s="84">
        <f t="shared" si="67"/>
        <v>0</v>
      </c>
      <c r="T978" s="133"/>
      <c r="U978" s="133"/>
      <c r="V978" s="133"/>
      <c r="W978" s="133"/>
      <c r="X978" s="133"/>
      <c r="Y978" s="133"/>
      <c r="Z978" s="133"/>
    </row>
    <row r="979" spans="1:26" ht="12.75" customHeight="1" x14ac:dyDescent="0.3">
      <c r="A979" s="131"/>
      <c r="B979" s="131"/>
      <c r="C979" s="131"/>
      <c r="D979" s="131"/>
      <c r="E979" s="131"/>
      <c r="F979" s="132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3"/>
      <c r="S979" s="84">
        <f t="shared" si="67"/>
        <v>0</v>
      </c>
      <c r="T979" s="133"/>
      <c r="U979" s="133"/>
      <c r="V979" s="133"/>
      <c r="W979" s="133"/>
      <c r="X979" s="133"/>
      <c r="Y979" s="133"/>
      <c r="Z979" s="133"/>
    </row>
    <row r="980" spans="1:26" ht="12.75" customHeight="1" x14ac:dyDescent="0.3">
      <c r="A980" s="131"/>
      <c r="B980" s="131"/>
      <c r="C980" s="131"/>
      <c r="D980" s="131"/>
      <c r="E980" s="131"/>
      <c r="F980" s="132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3"/>
      <c r="S980" s="84">
        <f t="shared" si="67"/>
        <v>0</v>
      </c>
      <c r="T980" s="133"/>
      <c r="U980" s="133"/>
      <c r="V980" s="133"/>
      <c r="W980" s="133"/>
      <c r="X980" s="133"/>
      <c r="Y980" s="133"/>
      <c r="Z980" s="133"/>
    </row>
    <row r="981" spans="1:26" ht="12.75" customHeight="1" x14ac:dyDescent="0.3">
      <c r="A981" s="131"/>
      <c r="B981" s="131"/>
      <c r="C981" s="131"/>
      <c r="D981" s="131"/>
      <c r="E981" s="131"/>
      <c r="F981" s="132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3"/>
      <c r="S981" s="84">
        <f t="shared" si="67"/>
        <v>0</v>
      </c>
      <c r="T981" s="133"/>
      <c r="U981" s="133"/>
      <c r="V981" s="133"/>
      <c r="W981" s="133"/>
      <c r="X981" s="133"/>
      <c r="Y981" s="133"/>
      <c r="Z981" s="133"/>
    </row>
    <row r="982" spans="1:26" ht="12.75" customHeight="1" x14ac:dyDescent="0.3">
      <c r="A982" s="131"/>
      <c r="B982" s="131"/>
      <c r="C982" s="131"/>
      <c r="D982" s="131"/>
      <c r="E982" s="131"/>
      <c r="F982" s="132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3"/>
      <c r="S982" s="84">
        <f t="shared" si="67"/>
        <v>0</v>
      </c>
      <c r="T982" s="133"/>
      <c r="U982" s="133"/>
      <c r="V982" s="133"/>
      <c r="W982" s="133"/>
      <c r="X982" s="133"/>
      <c r="Y982" s="133"/>
      <c r="Z982" s="133"/>
    </row>
    <row r="983" spans="1:26" ht="12.75" customHeight="1" x14ac:dyDescent="0.3">
      <c r="A983" s="131"/>
      <c r="B983" s="131"/>
      <c r="C983" s="131"/>
      <c r="D983" s="131"/>
      <c r="E983" s="131"/>
      <c r="F983" s="132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3"/>
      <c r="S983" s="84">
        <f t="shared" si="67"/>
        <v>0</v>
      </c>
      <c r="T983" s="133"/>
      <c r="U983" s="133"/>
      <c r="V983" s="133"/>
      <c r="W983" s="133"/>
      <c r="X983" s="133"/>
      <c r="Y983" s="133"/>
      <c r="Z983" s="133"/>
    </row>
    <row r="984" spans="1:26" ht="12.75" customHeight="1" x14ac:dyDescent="0.3">
      <c r="A984" s="131"/>
      <c r="B984" s="131"/>
      <c r="C984" s="131"/>
      <c r="D984" s="131"/>
      <c r="E984" s="131"/>
      <c r="F984" s="132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3"/>
      <c r="S984" s="84">
        <f t="shared" si="67"/>
        <v>0</v>
      </c>
      <c r="T984" s="133"/>
      <c r="U984" s="133"/>
      <c r="V984" s="133"/>
      <c r="W984" s="133"/>
      <c r="X984" s="133"/>
      <c r="Y984" s="133"/>
      <c r="Z984" s="133"/>
    </row>
    <row r="985" spans="1:26" ht="12.75" customHeight="1" x14ac:dyDescent="0.3">
      <c r="A985" s="131"/>
      <c r="B985" s="131"/>
      <c r="C985" s="131"/>
      <c r="D985" s="131"/>
      <c r="E985" s="131"/>
      <c r="F985" s="132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3"/>
      <c r="S985" s="84">
        <f t="shared" si="67"/>
        <v>0</v>
      </c>
      <c r="T985" s="133"/>
      <c r="U985" s="133"/>
      <c r="V985" s="133"/>
      <c r="W985" s="133"/>
      <c r="X985" s="133"/>
      <c r="Y985" s="133"/>
      <c r="Z985" s="133"/>
    </row>
    <row r="986" spans="1:26" ht="12.75" customHeight="1" x14ac:dyDescent="0.3">
      <c r="A986" s="131"/>
      <c r="B986" s="131"/>
      <c r="C986" s="131"/>
      <c r="D986" s="131"/>
      <c r="E986" s="131"/>
      <c r="F986" s="132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3"/>
      <c r="S986" s="84">
        <f t="shared" si="67"/>
        <v>0</v>
      </c>
      <c r="T986" s="133"/>
      <c r="U986" s="133"/>
      <c r="V986" s="133"/>
      <c r="W986" s="133"/>
      <c r="X986" s="133"/>
      <c r="Y986" s="133"/>
      <c r="Z986" s="133"/>
    </row>
    <row r="987" spans="1:26" ht="12.75" customHeight="1" x14ac:dyDescent="0.3">
      <c r="A987" s="131"/>
      <c r="B987" s="131"/>
      <c r="C987" s="131"/>
      <c r="D987" s="131"/>
      <c r="E987" s="131"/>
      <c r="F987" s="132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3"/>
      <c r="S987" s="84">
        <f t="shared" si="67"/>
        <v>0</v>
      </c>
      <c r="T987" s="133"/>
      <c r="U987" s="133"/>
      <c r="V987" s="133"/>
      <c r="W987" s="133"/>
      <c r="X987" s="133"/>
      <c r="Y987" s="133"/>
      <c r="Z987" s="133"/>
    </row>
    <row r="988" spans="1:26" ht="12.75" customHeight="1" x14ac:dyDescent="0.3">
      <c r="A988" s="131"/>
      <c r="B988" s="131"/>
      <c r="C988" s="131"/>
      <c r="D988" s="131"/>
      <c r="E988" s="131"/>
      <c r="F988" s="132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3"/>
      <c r="S988" s="84">
        <f t="shared" si="67"/>
        <v>0</v>
      </c>
      <c r="T988" s="133"/>
      <c r="U988" s="133"/>
      <c r="V988" s="133"/>
      <c r="W988" s="133"/>
      <c r="X988" s="133"/>
      <c r="Y988" s="133"/>
      <c r="Z988" s="133"/>
    </row>
    <row r="989" spans="1:26" ht="12.75" customHeight="1" x14ac:dyDescent="0.3">
      <c r="A989" s="131"/>
      <c r="B989" s="131"/>
      <c r="C989" s="131"/>
      <c r="D989" s="131"/>
      <c r="E989" s="131"/>
      <c r="F989" s="132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3"/>
      <c r="S989" s="84">
        <f t="shared" si="67"/>
        <v>0</v>
      </c>
      <c r="T989" s="133"/>
      <c r="U989" s="133"/>
      <c r="V989" s="133"/>
      <c r="W989" s="133"/>
      <c r="X989" s="133"/>
      <c r="Y989" s="133"/>
      <c r="Z989" s="133"/>
    </row>
    <row r="990" spans="1:26" ht="12.75" customHeight="1" x14ac:dyDescent="0.3">
      <c r="A990" s="131"/>
      <c r="B990" s="131"/>
      <c r="C990" s="131"/>
      <c r="D990" s="131"/>
      <c r="E990" s="131"/>
      <c r="F990" s="132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3"/>
      <c r="S990" s="84">
        <f t="shared" si="67"/>
        <v>0</v>
      </c>
      <c r="T990" s="133"/>
      <c r="U990" s="133"/>
      <c r="V990" s="133"/>
      <c r="W990" s="133"/>
      <c r="X990" s="133"/>
      <c r="Y990" s="133"/>
      <c r="Z990" s="133"/>
    </row>
    <row r="991" spans="1:26" ht="12.75" customHeight="1" x14ac:dyDescent="0.3">
      <c r="A991" s="131"/>
      <c r="B991" s="131"/>
      <c r="C991" s="131"/>
      <c r="D991" s="131"/>
      <c r="E991" s="131"/>
      <c r="F991" s="132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3"/>
      <c r="S991" s="84">
        <f t="shared" si="67"/>
        <v>0</v>
      </c>
      <c r="T991" s="133"/>
      <c r="U991" s="133"/>
      <c r="V991" s="133"/>
      <c r="W991" s="133"/>
      <c r="X991" s="133"/>
      <c r="Y991" s="133"/>
      <c r="Z991" s="133"/>
    </row>
    <row r="992" spans="1:26" ht="12.75" customHeight="1" x14ac:dyDescent="0.3">
      <c r="A992" s="131"/>
      <c r="B992" s="131"/>
      <c r="C992" s="131"/>
      <c r="D992" s="131"/>
      <c r="E992" s="131"/>
      <c r="F992" s="132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3"/>
      <c r="S992" s="84">
        <f t="shared" si="67"/>
        <v>0</v>
      </c>
      <c r="T992" s="133"/>
      <c r="U992" s="133"/>
      <c r="V992" s="133"/>
      <c r="W992" s="133"/>
      <c r="X992" s="133"/>
      <c r="Y992" s="133"/>
      <c r="Z992" s="133"/>
    </row>
    <row r="993" spans="1:26" ht="12.75" customHeight="1" x14ac:dyDescent="0.3">
      <c r="A993" s="131"/>
      <c r="B993" s="131"/>
      <c r="C993" s="131"/>
      <c r="D993" s="131"/>
      <c r="E993" s="131"/>
      <c r="F993" s="132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3"/>
      <c r="S993" s="84">
        <f t="shared" si="67"/>
        <v>0</v>
      </c>
      <c r="T993" s="133"/>
      <c r="U993" s="133"/>
      <c r="V993" s="133"/>
      <c r="W993" s="133"/>
      <c r="X993" s="133"/>
      <c r="Y993" s="133"/>
      <c r="Z993" s="133"/>
    </row>
    <row r="994" spans="1:26" ht="12.75" customHeight="1" x14ac:dyDescent="0.3">
      <c r="A994" s="131"/>
      <c r="B994" s="131"/>
      <c r="C994" s="131"/>
      <c r="D994" s="131"/>
      <c r="E994" s="131"/>
      <c r="F994" s="132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3"/>
      <c r="S994" s="84">
        <f t="shared" si="67"/>
        <v>0</v>
      </c>
      <c r="T994" s="133"/>
      <c r="U994" s="133"/>
      <c r="V994" s="133"/>
      <c r="W994" s="133"/>
      <c r="X994" s="133"/>
      <c r="Y994" s="133"/>
      <c r="Z994" s="133"/>
    </row>
    <row r="995" spans="1:26" ht="12.75" customHeight="1" x14ac:dyDescent="0.3">
      <c r="A995" s="131"/>
      <c r="B995" s="131"/>
      <c r="C995" s="131"/>
      <c r="D995" s="131"/>
      <c r="E995" s="131"/>
      <c r="F995" s="132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3"/>
      <c r="S995" s="84">
        <f t="shared" si="67"/>
        <v>0</v>
      </c>
      <c r="T995" s="133"/>
      <c r="U995" s="133"/>
      <c r="V995" s="133"/>
      <c r="W995" s="133"/>
      <c r="X995" s="133"/>
      <c r="Y995" s="133"/>
      <c r="Z995" s="133"/>
    </row>
    <row r="996" spans="1:26" ht="12.75" customHeight="1" x14ac:dyDescent="0.3">
      <c r="A996" s="131"/>
      <c r="B996" s="131"/>
      <c r="C996" s="131"/>
      <c r="D996" s="131"/>
      <c r="E996" s="131"/>
      <c r="F996" s="132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3"/>
      <c r="S996" s="84">
        <f t="shared" si="67"/>
        <v>0</v>
      </c>
      <c r="T996" s="133"/>
      <c r="U996" s="133"/>
      <c r="V996" s="133"/>
      <c r="W996" s="133"/>
      <c r="X996" s="133"/>
      <c r="Y996" s="133"/>
      <c r="Z996" s="133"/>
    </row>
    <row r="997" spans="1:26" ht="12.75" customHeight="1" x14ac:dyDescent="0.3">
      <c r="A997" s="131"/>
      <c r="B997" s="131"/>
      <c r="C997" s="131"/>
      <c r="D997" s="131"/>
      <c r="E997" s="131"/>
      <c r="F997" s="132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3"/>
      <c r="S997" s="84">
        <f t="shared" si="67"/>
        <v>0</v>
      </c>
      <c r="T997" s="133"/>
      <c r="U997" s="133"/>
      <c r="V997" s="133"/>
      <c r="W997" s="133"/>
      <c r="X997" s="133"/>
      <c r="Y997" s="133"/>
      <c r="Z997" s="133"/>
    </row>
    <row r="998" spans="1:26" ht="12.75" customHeight="1" x14ac:dyDescent="0.3">
      <c r="A998" s="131"/>
      <c r="B998" s="131"/>
      <c r="C998" s="131"/>
      <c r="D998" s="131"/>
      <c r="E998" s="131"/>
      <c r="F998" s="132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3"/>
      <c r="S998" s="84">
        <f t="shared" si="67"/>
        <v>0</v>
      </c>
      <c r="T998" s="133"/>
      <c r="U998" s="133"/>
      <c r="V998" s="133"/>
      <c r="W998" s="133"/>
      <c r="X998" s="133"/>
      <c r="Y998" s="133"/>
      <c r="Z998" s="133"/>
    </row>
    <row r="999" spans="1:26" ht="12.75" customHeight="1" x14ac:dyDescent="0.3">
      <c r="A999" s="131"/>
      <c r="B999" s="131"/>
      <c r="C999" s="131"/>
      <c r="D999" s="131"/>
      <c r="E999" s="131"/>
      <c r="F999" s="132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3"/>
      <c r="R999" s="133"/>
      <c r="S999" s="84">
        <f t="shared" si="67"/>
        <v>0</v>
      </c>
      <c r="T999" s="133"/>
      <c r="U999" s="133"/>
      <c r="V999" s="133"/>
      <c r="W999" s="133"/>
      <c r="X999" s="133"/>
      <c r="Y999" s="133"/>
      <c r="Z999" s="133"/>
    </row>
    <row r="1000" spans="1:26" ht="12.75" customHeight="1" x14ac:dyDescent="0.3">
      <c r="A1000" s="131"/>
      <c r="B1000" s="131"/>
      <c r="C1000" s="131"/>
      <c r="D1000" s="131"/>
      <c r="E1000" s="131"/>
      <c r="F1000" s="132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  <row r="1001" spans="1:26" ht="12.75" customHeight="1" x14ac:dyDescent="0.3">
      <c r="A1001" s="131"/>
      <c r="B1001" s="131"/>
      <c r="C1001" s="131"/>
      <c r="D1001" s="131"/>
      <c r="E1001" s="131"/>
      <c r="F1001" s="132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</row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V1001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3" max="3" width="23.6640625" customWidth="1"/>
    <col min="10" max="11" width="13" customWidth="1"/>
    <col min="12" max="15" width="12.44140625" customWidth="1"/>
    <col min="16" max="16" width="8" customWidth="1"/>
    <col min="17" max="17" width="11.5546875" customWidth="1"/>
  </cols>
  <sheetData>
    <row r="1" spans="1:22" x14ac:dyDescent="0.3">
      <c r="A1" s="135" t="s">
        <v>222</v>
      </c>
      <c r="B1" s="136" t="s">
        <v>1</v>
      </c>
      <c r="C1" s="136" t="s">
        <v>2</v>
      </c>
      <c r="D1" s="136" t="s">
        <v>3</v>
      </c>
      <c r="E1" s="136" t="s">
        <v>4</v>
      </c>
      <c r="F1" s="137" t="s">
        <v>5</v>
      </c>
      <c r="G1" s="136" t="s">
        <v>6</v>
      </c>
      <c r="H1" s="138" t="s">
        <v>7</v>
      </c>
      <c r="I1" s="138" t="s">
        <v>8</v>
      </c>
      <c r="J1" s="138" t="s">
        <v>11</v>
      </c>
      <c r="K1" s="138" t="s">
        <v>12</v>
      </c>
      <c r="L1" s="138" t="s">
        <v>13</v>
      </c>
      <c r="M1" s="138" t="s">
        <v>14</v>
      </c>
      <c r="N1" s="138" t="s">
        <v>15</v>
      </c>
      <c r="O1" s="5" t="s">
        <v>16</v>
      </c>
      <c r="P1" s="5" t="s">
        <v>17</v>
      </c>
      <c r="Q1" s="78" t="s">
        <v>223</v>
      </c>
      <c r="R1" s="4" t="s">
        <v>595</v>
      </c>
      <c r="S1" s="4" t="s">
        <v>596</v>
      </c>
      <c r="T1" s="4" t="s">
        <v>23</v>
      </c>
      <c r="U1" s="4" t="s">
        <v>597</v>
      </c>
      <c r="V1" s="4" t="s">
        <v>598</v>
      </c>
    </row>
    <row r="2" spans="1:22" x14ac:dyDescent="0.3">
      <c r="A2" s="139">
        <v>1</v>
      </c>
      <c r="B2" s="140" t="s">
        <v>599</v>
      </c>
      <c r="C2" s="140" t="s">
        <v>600</v>
      </c>
      <c r="D2" s="140" t="s">
        <v>601</v>
      </c>
      <c r="E2" s="140" t="s">
        <v>602</v>
      </c>
      <c r="F2" s="141">
        <v>39737</v>
      </c>
      <c r="G2" s="140" t="s">
        <v>30</v>
      </c>
      <c r="H2" s="142">
        <v>24</v>
      </c>
      <c r="I2" s="142">
        <v>31</v>
      </c>
      <c r="J2" s="142">
        <v>40</v>
      </c>
      <c r="K2" s="143">
        <v>24</v>
      </c>
      <c r="L2" s="143">
        <v>20</v>
      </c>
      <c r="M2" s="143">
        <v>32</v>
      </c>
      <c r="N2" s="143">
        <f t="shared" ref="N2:N14" si="0">SUM(H2:L2)</f>
        <v>139</v>
      </c>
      <c r="O2" s="144">
        <f t="shared" ref="O2:O14" si="1">(N2/400)*100</f>
        <v>34.75</v>
      </c>
      <c r="P2" s="13">
        <f t="shared" ref="P2:P35" si="2">O2+30</f>
        <v>64.75</v>
      </c>
      <c r="Q2" s="84">
        <f t="shared" ref="Q2:Q256" si="3">SUM(R2:V2)</f>
        <v>289</v>
      </c>
      <c r="R2" s="14">
        <f t="shared" ref="R2:V2" si="4">H2+30</f>
        <v>54</v>
      </c>
      <c r="S2" s="14">
        <f t="shared" si="4"/>
        <v>61</v>
      </c>
      <c r="T2" s="14">
        <f t="shared" si="4"/>
        <v>70</v>
      </c>
      <c r="U2" s="14">
        <f t="shared" si="4"/>
        <v>54</v>
      </c>
      <c r="V2" s="14">
        <f t="shared" si="4"/>
        <v>50</v>
      </c>
    </row>
    <row r="3" spans="1:22" x14ac:dyDescent="0.3">
      <c r="A3" s="139">
        <v>2</v>
      </c>
      <c r="B3" s="140" t="s">
        <v>603</v>
      </c>
      <c r="C3" s="140" t="s">
        <v>604</v>
      </c>
      <c r="D3" s="140" t="s">
        <v>605</v>
      </c>
      <c r="E3" s="140" t="s">
        <v>606</v>
      </c>
      <c r="F3" s="141">
        <v>39834</v>
      </c>
      <c r="G3" s="140" t="s">
        <v>30</v>
      </c>
      <c r="H3" s="142">
        <v>44</v>
      </c>
      <c r="I3" s="142">
        <v>55</v>
      </c>
      <c r="J3" s="142">
        <v>32</v>
      </c>
      <c r="K3" s="143">
        <v>36</v>
      </c>
      <c r="L3" s="143">
        <v>36</v>
      </c>
      <c r="M3" s="143">
        <v>43</v>
      </c>
      <c r="N3" s="143">
        <f t="shared" si="0"/>
        <v>203</v>
      </c>
      <c r="O3" s="144">
        <f t="shared" si="1"/>
        <v>50.749999999999993</v>
      </c>
      <c r="P3" s="13">
        <f t="shared" si="2"/>
        <v>80.75</v>
      </c>
      <c r="Q3" s="84">
        <f t="shared" si="3"/>
        <v>353</v>
      </c>
      <c r="R3" s="14">
        <f t="shared" ref="R3:V3" si="5">H3+30</f>
        <v>74</v>
      </c>
      <c r="S3" s="14">
        <f t="shared" si="5"/>
        <v>85</v>
      </c>
      <c r="T3" s="14">
        <f t="shared" si="5"/>
        <v>62</v>
      </c>
      <c r="U3" s="14">
        <f t="shared" si="5"/>
        <v>66</v>
      </c>
      <c r="V3" s="14">
        <f t="shared" si="5"/>
        <v>66</v>
      </c>
    </row>
    <row r="4" spans="1:22" x14ac:dyDescent="0.3">
      <c r="A4" s="139">
        <v>3</v>
      </c>
      <c r="B4" s="140" t="s">
        <v>607</v>
      </c>
      <c r="C4" s="140" t="s">
        <v>608</v>
      </c>
      <c r="D4" s="140" t="s">
        <v>609</v>
      </c>
      <c r="E4" s="140" t="s">
        <v>610</v>
      </c>
      <c r="F4" s="141">
        <v>40015</v>
      </c>
      <c r="G4" s="140" t="s">
        <v>39</v>
      </c>
      <c r="H4" s="142">
        <v>35</v>
      </c>
      <c r="I4" s="142">
        <v>49</v>
      </c>
      <c r="J4" s="142">
        <v>48</v>
      </c>
      <c r="K4" s="143">
        <v>29</v>
      </c>
      <c r="L4" s="143">
        <v>33</v>
      </c>
      <c r="M4" s="143">
        <v>33</v>
      </c>
      <c r="N4" s="143">
        <f t="shared" si="0"/>
        <v>194</v>
      </c>
      <c r="O4" s="144">
        <f t="shared" si="1"/>
        <v>48.5</v>
      </c>
      <c r="P4" s="13">
        <f t="shared" si="2"/>
        <v>78.5</v>
      </c>
      <c r="Q4" s="84">
        <f t="shared" si="3"/>
        <v>344</v>
      </c>
      <c r="R4" s="14">
        <f t="shared" ref="R4:V4" si="6">H4+30</f>
        <v>65</v>
      </c>
      <c r="S4" s="14">
        <f t="shared" si="6"/>
        <v>79</v>
      </c>
      <c r="T4" s="14">
        <f t="shared" si="6"/>
        <v>78</v>
      </c>
      <c r="U4" s="14">
        <f t="shared" si="6"/>
        <v>59</v>
      </c>
      <c r="V4" s="14">
        <f t="shared" si="6"/>
        <v>63</v>
      </c>
    </row>
    <row r="5" spans="1:22" x14ac:dyDescent="0.3">
      <c r="A5" s="139">
        <v>4</v>
      </c>
      <c r="B5" s="140" t="s">
        <v>611</v>
      </c>
      <c r="C5" s="140" t="s">
        <v>612</v>
      </c>
      <c r="D5" s="140" t="s">
        <v>613</v>
      </c>
      <c r="E5" s="140" t="s">
        <v>614</v>
      </c>
      <c r="F5" s="141">
        <v>39709</v>
      </c>
      <c r="G5" s="140" t="s">
        <v>39</v>
      </c>
      <c r="H5" s="142">
        <v>22</v>
      </c>
      <c r="I5" s="142">
        <v>50</v>
      </c>
      <c r="J5" s="142">
        <v>25</v>
      </c>
      <c r="K5" s="145">
        <v>19</v>
      </c>
      <c r="L5" s="143">
        <v>26</v>
      </c>
      <c r="M5" s="143">
        <v>33</v>
      </c>
      <c r="N5" s="143">
        <f t="shared" si="0"/>
        <v>142</v>
      </c>
      <c r="O5" s="144">
        <f t="shared" si="1"/>
        <v>35.5</v>
      </c>
      <c r="P5" s="13">
        <f t="shared" si="2"/>
        <v>65.5</v>
      </c>
      <c r="Q5" s="84">
        <f t="shared" si="3"/>
        <v>292</v>
      </c>
      <c r="R5" s="14">
        <f t="shared" ref="R5:V5" si="7">H5+30</f>
        <v>52</v>
      </c>
      <c r="S5" s="14">
        <f t="shared" si="7"/>
        <v>80</v>
      </c>
      <c r="T5" s="14">
        <f t="shared" si="7"/>
        <v>55</v>
      </c>
      <c r="U5" s="14">
        <f t="shared" si="7"/>
        <v>49</v>
      </c>
      <c r="V5" s="14">
        <f t="shared" si="7"/>
        <v>56</v>
      </c>
    </row>
    <row r="6" spans="1:22" x14ac:dyDescent="0.3">
      <c r="A6" s="139">
        <v>5</v>
      </c>
      <c r="B6" s="140" t="s">
        <v>615</v>
      </c>
      <c r="C6" s="140" t="s">
        <v>616</v>
      </c>
      <c r="D6" s="140" t="s">
        <v>617</v>
      </c>
      <c r="E6" s="140" t="s">
        <v>618</v>
      </c>
      <c r="F6" s="141">
        <v>40019</v>
      </c>
      <c r="G6" s="140" t="s">
        <v>39</v>
      </c>
      <c r="H6" s="142">
        <v>34</v>
      </c>
      <c r="I6" s="142">
        <v>40</v>
      </c>
      <c r="J6" s="142">
        <v>30</v>
      </c>
      <c r="K6" s="143">
        <v>22</v>
      </c>
      <c r="L6" s="143">
        <v>27</v>
      </c>
      <c r="M6" s="143">
        <v>26</v>
      </c>
      <c r="N6" s="143">
        <f t="shared" si="0"/>
        <v>153</v>
      </c>
      <c r="O6" s="144">
        <f t="shared" si="1"/>
        <v>38.25</v>
      </c>
      <c r="P6" s="13">
        <f t="shared" si="2"/>
        <v>68.25</v>
      </c>
      <c r="Q6" s="84">
        <f t="shared" si="3"/>
        <v>303</v>
      </c>
      <c r="R6" s="14">
        <f t="shared" ref="R6:V6" si="8">H6+30</f>
        <v>64</v>
      </c>
      <c r="S6" s="14">
        <f t="shared" si="8"/>
        <v>70</v>
      </c>
      <c r="T6" s="14">
        <f t="shared" si="8"/>
        <v>60</v>
      </c>
      <c r="U6" s="14">
        <f t="shared" si="8"/>
        <v>52</v>
      </c>
      <c r="V6" s="14">
        <f t="shared" si="8"/>
        <v>57</v>
      </c>
    </row>
    <row r="7" spans="1:22" x14ac:dyDescent="0.3">
      <c r="A7" s="139">
        <v>6</v>
      </c>
      <c r="B7" s="140" t="s">
        <v>619</v>
      </c>
      <c r="C7" s="140" t="s">
        <v>620</v>
      </c>
      <c r="D7" s="140" t="s">
        <v>621</v>
      </c>
      <c r="E7" s="140" t="s">
        <v>622</v>
      </c>
      <c r="F7" s="141">
        <v>40091</v>
      </c>
      <c r="G7" s="140" t="s">
        <v>30</v>
      </c>
      <c r="H7" s="142">
        <v>21</v>
      </c>
      <c r="I7" s="142">
        <v>43</v>
      </c>
      <c r="J7" s="142">
        <v>30</v>
      </c>
      <c r="K7" s="143">
        <v>21</v>
      </c>
      <c r="L7" s="145">
        <v>18</v>
      </c>
      <c r="M7" s="143">
        <v>34</v>
      </c>
      <c r="N7" s="143">
        <f t="shared" si="0"/>
        <v>133</v>
      </c>
      <c r="O7" s="144">
        <f t="shared" si="1"/>
        <v>33.25</v>
      </c>
      <c r="P7" s="13">
        <f t="shared" si="2"/>
        <v>63.25</v>
      </c>
      <c r="Q7" s="84">
        <f t="shared" si="3"/>
        <v>283</v>
      </c>
      <c r="R7" s="14">
        <f t="shared" ref="R7:V7" si="9">H7+30</f>
        <v>51</v>
      </c>
      <c r="S7" s="14">
        <f t="shared" si="9"/>
        <v>73</v>
      </c>
      <c r="T7" s="14">
        <f t="shared" si="9"/>
        <v>60</v>
      </c>
      <c r="U7" s="14">
        <f t="shared" si="9"/>
        <v>51</v>
      </c>
      <c r="V7" s="14">
        <f t="shared" si="9"/>
        <v>48</v>
      </c>
    </row>
    <row r="8" spans="1:22" x14ac:dyDescent="0.3">
      <c r="A8" s="139">
        <v>7</v>
      </c>
      <c r="B8" s="140" t="s">
        <v>623</v>
      </c>
      <c r="C8" s="140" t="s">
        <v>624</v>
      </c>
      <c r="D8" s="140" t="s">
        <v>625</v>
      </c>
      <c r="E8" s="140" t="s">
        <v>626</v>
      </c>
      <c r="F8" s="141">
        <v>39940</v>
      </c>
      <c r="G8" s="140" t="s">
        <v>30</v>
      </c>
      <c r="H8" s="142">
        <v>25</v>
      </c>
      <c r="I8" s="142">
        <v>43</v>
      </c>
      <c r="J8" s="142">
        <v>37</v>
      </c>
      <c r="K8" s="143">
        <v>49</v>
      </c>
      <c r="L8" s="143">
        <v>41</v>
      </c>
      <c r="M8" s="143">
        <v>30</v>
      </c>
      <c r="N8" s="143">
        <f t="shared" si="0"/>
        <v>195</v>
      </c>
      <c r="O8" s="144">
        <f t="shared" si="1"/>
        <v>48.75</v>
      </c>
      <c r="P8" s="13">
        <f t="shared" si="2"/>
        <v>78.75</v>
      </c>
      <c r="Q8" s="84">
        <f t="shared" si="3"/>
        <v>345</v>
      </c>
      <c r="R8" s="14">
        <f t="shared" ref="R8:V8" si="10">H8+30</f>
        <v>55</v>
      </c>
      <c r="S8" s="14">
        <f t="shared" si="10"/>
        <v>73</v>
      </c>
      <c r="T8" s="14">
        <f t="shared" si="10"/>
        <v>67</v>
      </c>
      <c r="U8" s="14">
        <f t="shared" si="10"/>
        <v>79</v>
      </c>
      <c r="V8" s="14">
        <f t="shared" si="10"/>
        <v>71</v>
      </c>
    </row>
    <row r="9" spans="1:22" x14ac:dyDescent="0.3">
      <c r="A9" s="139">
        <v>8</v>
      </c>
      <c r="B9" s="140" t="s">
        <v>627</v>
      </c>
      <c r="C9" s="140" t="s">
        <v>628</v>
      </c>
      <c r="D9" s="140" t="s">
        <v>629</v>
      </c>
      <c r="E9" s="140" t="s">
        <v>630</v>
      </c>
      <c r="F9" s="141">
        <v>39942</v>
      </c>
      <c r="G9" s="140" t="s">
        <v>30</v>
      </c>
      <c r="H9" s="142">
        <v>34</v>
      </c>
      <c r="I9" s="142">
        <v>53</v>
      </c>
      <c r="J9" s="142">
        <v>49</v>
      </c>
      <c r="K9" s="143">
        <v>30</v>
      </c>
      <c r="L9" s="143">
        <v>48</v>
      </c>
      <c r="M9" s="143">
        <v>38</v>
      </c>
      <c r="N9" s="143">
        <f t="shared" si="0"/>
        <v>214</v>
      </c>
      <c r="O9" s="144">
        <f t="shared" si="1"/>
        <v>53.5</v>
      </c>
      <c r="P9" s="13">
        <f t="shared" si="2"/>
        <v>83.5</v>
      </c>
      <c r="Q9" s="84">
        <f t="shared" si="3"/>
        <v>364</v>
      </c>
      <c r="R9" s="14">
        <f t="shared" ref="R9:V9" si="11">H9+30</f>
        <v>64</v>
      </c>
      <c r="S9" s="14">
        <f t="shared" si="11"/>
        <v>83</v>
      </c>
      <c r="T9" s="14">
        <f t="shared" si="11"/>
        <v>79</v>
      </c>
      <c r="U9" s="14">
        <f t="shared" si="11"/>
        <v>60</v>
      </c>
      <c r="V9" s="14">
        <f t="shared" si="11"/>
        <v>78</v>
      </c>
    </row>
    <row r="10" spans="1:22" x14ac:dyDescent="0.3">
      <c r="A10" s="139">
        <v>9</v>
      </c>
      <c r="B10" s="140" t="s">
        <v>631</v>
      </c>
      <c r="C10" s="140" t="s">
        <v>632</v>
      </c>
      <c r="D10" s="140" t="s">
        <v>633</v>
      </c>
      <c r="E10" s="140" t="s">
        <v>634</v>
      </c>
      <c r="F10" s="141">
        <v>39788</v>
      </c>
      <c r="G10" s="140" t="s">
        <v>39</v>
      </c>
      <c r="H10" s="142">
        <v>31</v>
      </c>
      <c r="I10" s="142">
        <v>45</v>
      </c>
      <c r="J10" s="142">
        <v>23</v>
      </c>
      <c r="K10" s="146">
        <v>18</v>
      </c>
      <c r="L10" s="143">
        <v>28</v>
      </c>
      <c r="M10" s="143">
        <v>36</v>
      </c>
      <c r="N10" s="143">
        <f t="shared" si="0"/>
        <v>145</v>
      </c>
      <c r="O10" s="144">
        <f t="shared" si="1"/>
        <v>36.25</v>
      </c>
      <c r="P10" s="13">
        <f t="shared" si="2"/>
        <v>66.25</v>
      </c>
      <c r="Q10" s="84">
        <f t="shared" si="3"/>
        <v>295</v>
      </c>
      <c r="R10" s="14">
        <f t="shared" ref="R10:V10" si="12">H10+30</f>
        <v>61</v>
      </c>
      <c r="S10" s="14">
        <f t="shared" si="12"/>
        <v>75</v>
      </c>
      <c r="T10" s="14">
        <f t="shared" si="12"/>
        <v>53</v>
      </c>
      <c r="U10" s="14">
        <f t="shared" si="12"/>
        <v>48</v>
      </c>
      <c r="V10" s="14">
        <f t="shared" si="12"/>
        <v>58</v>
      </c>
    </row>
    <row r="11" spans="1:22" x14ac:dyDescent="0.3">
      <c r="A11" s="139">
        <v>10</v>
      </c>
      <c r="B11" s="140" t="s">
        <v>635</v>
      </c>
      <c r="C11" s="140" t="s">
        <v>636</v>
      </c>
      <c r="D11" s="140" t="s">
        <v>637</v>
      </c>
      <c r="E11" s="140" t="s">
        <v>638</v>
      </c>
      <c r="F11" s="141">
        <v>40203</v>
      </c>
      <c r="G11" s="140" t="s">
        <v>30</v>
      </c>
      <c r="H11" s="142">
        <v>31</v>
      </c>
      <c r="I11" s="142">
        <v>49</v>
      </c>
      <c r="J11" s="142">
        <v>43</v>
      </c>
      <c r="K11" s="143">
        <v>50</v>
      </c>
      <c r="L11" s="143">
        <v>39</v>
      </c>
      <c r="M11" s="143">
        <v>48</v>
      </c>
      <c r="N11" s="143">
        <f t="shared" si="0"/>
        <v>212</v>
      </c>
      <c r="O11" s="144">
        <f t="shared" si="1"/>
        <v>53</v>
      </c>
      <c r="P11" s="13">
        <f t="shared" si="2"/>
        <v>83</v>
      </c>
      <c r="Q11" s="84">
        <f t="shared" si="3"/>
        <v>362</v>
      </c>
      <c r="R11" s="14">
        <f t="shared" ref="R11:V11" si="13">H11+30</f>
        <v>61</v>
      </c>
      <c r="S11" s="14">
        <f t="shared" si="13"/>
        <v>79</v>
      </c>
      <c r="T11" s="14">
        <f t="shared" si="13"/>
        <v>73</v>
      </c>
      <c r="U11" s="14">
        <f t="shared" si="13"/>
        <v>80</v>
      </c>
      <c r="V11" s="14">
        <f t="shared" si="13"/>
        <v>69</v>
      </c>
    </row>
    <row r="12" spans="1:22" x14ac:dyDescent="0.3">
      <c r="A12" s="139">
        <v>11</v>
      </c>
      <c r="B12" s="140" t="s">
        <v>639</v>
      </c>
      <c r="C12" s="140" t="s">
        <v>640</v>
      </c>
      <c r="D12" s="140" t="s">
        <v>641</v>
      </c>
      <c r="E12" s="140" t="s">
        <v>123</v>
      </c>
      <c r="F12" s="141">
        <v>40056</v>
      </c>
      <c r="G12" s="140" t="s">
        <v>39</v>
      </c>
      <c r="H12" s="142">
        <v>37</v>
      </c>
      <c r="I12" s="142">
        <v>58</v>
      </c>
      <c r="J12" s="142">
        <v>51</v>
      </c>
      <c r="K12" s="143">
        <v>38</v>
      </c>
      <c r="L12" s="143">
        <v>43</v>
      </c>
      <c r="M12" s="143">
        <v>37</v>
      </c>
      <c r="N12" s="143">
        <f t="shared" si="0"/>
        <v>227</v>
      </c>
      <c r="O12" s="144">
        <f t="shared" si="1"/>
        <v>56.75</v>
      </c>
      <c r="P12" s="13">
        <f t="shared" si="2"/>
        <v>86.75</v>
      </c>
      <c r="Q12" s="84">
        <f t="shared" si="3"/>
        <v>377</v>
      </c>
      <c r="R12" s="14">
        <f t="shared" ref="R12:V12" si="14">H12+30</f>
        <v>67</v>
      </c>
      <c r="S12" s="14">
        <f t="shared" si="14"/>
        <v>88</v>
      </c>
      <c r="T12" s="14">
        <f t="shared" si="14"/>
        <v>81</v>
      </c>
      <c r="U12" s="14">
        <f t="shared" si="14"/>
        <v>68</v>
      </c>
      <c r="V12" s="14">
        <f t="shared" si="14"/>
        <v>73</v>
      </c>
    </row>
    <row r="13" spans="1:22" x14ac:dyDescent="0.3">
      <c r="A13" s="139">
        <v>12</v>
      </c>
      <c r="B13" s="140" t="s">
        <v>642</v>
      </c>
      <c r="C13" s="140" t="s">
        <v>643</v>
      </c>
      <c r="D13" s="140" t="s">
        <v>644</v>
      </c>
      <c r="E13" s="140" t="s">
        <v>645</v>
      </c>
      <c r="F13" s="141">
        <v>39809</v>
      </c>
      <c r="G13" s="140" t="s">
        <v>30</v>
      </c>
      <c r="H13" s="142">
        <v>22</v>
      </c>
      <c r="I13" s="142">
        <v>25</v>
      </c>
      <c r="J13" s="142">
        <v>17</v>
      </c>
      <c r="K13" s="146">
        <v>15</v>
      </c>
      <c r="L13" s="145">
        <v>7</v>
      </c>
      <c r="M13" s="143">
        <v>28</v>
      </c>
      <c r="N13" s="143">
        <f t="shared" si="0"/>
        <v>86</v>
      </c>
      <c r="O13" s="144">
        <f t="shared" si="1"/>
        <v>21.5</v>
      </c>
      <c r="P13" s="13">
        <f t="shared" si="2"/>
        <v>51.5</v>
      </c>
      <c r="Q13" s="84">
        <f t="shared" si="3"/>
        <v>236</v>
      </c>
      <c r="R13" s="14">
        <f t="shared" ref="R13:V13" si="15">H13+30</f>
        <v>52</v>
      </c>
      <c r="S13" s="14">
        <f t="shared" si="15"/>
        <v>55</v>
      </c>
      <c r="T13" s="14">
        <f t="shared" si="15"/>
        <v>47</v>
      </c>
      <c r="U13" s="14">
        <f t="shared" si="15"/>
        <v>45</v>
      </c>
      <c r="V13" s="14">
        <f t="shared" si="15"/>
        <v>37</v>
      </c>
    </row>
    <row r="14" spans="1:22" x14ac:dyDescent="0.3">
      <c r="A14" s="139">
        <v>13</v>
      </c>
      <c r="B14" s="140" t="s">
        <v>646</v>
      </c>
      <c r="C14" s="140" t="s">
        <v>647</v>
      </c>
      <c r="D14" s="140" t="s">
        <v>648</v>
      </c>
      <c r="E14" s="140" t="s">
        <v>649</v>
      </c>
      <c r="F14" s="141">
        <v>40072</v>
      </c>
      <c r="G14" s="140" t="s">
        <v>39</v>
      </c>
      <c r="H14" s="142">
        <v>30</v>
      </c>
      <c r="I14" s="142">
        <v>49</v>
      </c>
      <c r="J14" s="142">
        <v>25</v>
      </c>
      <c r="K14" s="143">
        <v>23</v>
      </c>
      <c r="L14" s="143">
        <v>22</v>
      </c>
      <c r="M14" s="143">
        <v>27</v>
      </c>
      <c r="N14" s="143">
        <f t="shared" si="0"/>
        <v>149</v>
      </c>
      <c r="O14" s="144">
        <f t="shared" si="1"/>
        <v>37.25</v>
      </c>
      <c r="P14" s="13">
        <f t="shared" si="2"/>
        <v>67.25</v>
      </c>
      <c r="Q14" s="84">
        <f t="shared" si="3"/>
        <v>299</v>
      </c>
      <c r="R14" s="14">
        <f t="shared" ref="R14:V14" si="16">H14+30</f>
        <v>60</v>
      </c>
      <c r="S14" s="14">
        <f t="shared" si="16"/>
        <v>79</v>
      </c>
      <c r="T14" s="14">
        <f t="shared" si="16"/>
        <v>55</v>
      </c>
      <c r="U14" s="14">
        <f t="shared" si="16"/>
        <v>53</v>
      </c>
      <c r="V14" s="14">
        <f t="shared" si="16"/>
        <v>52</v>
      </c>
    </row>
    <row r="15" spans="1:22" x14ac:dyDescent="0.3">
      <c r="A15" s="139">
        <v>14</v>
      </c>
      <c r="B15" s="147" t="s">
        <v>650</v>
      </c>
      <c r="C15" s="147" t="s">
        <v>651</v>
      </c>
      <c r="D15" s="147" t="s">
        <v>652</v>
      </c>
      <c r="E15" s="147" t="s">
        <v>653</v>
      </c>
      <c r="F15" s="148">
        <v>40037</v>
      </c>
      <c r="G15" s="147" t="s">
        <v>30</v>
      </c>
      <c r="H15" s="149">
        <v>26</v>
      </c>
      <c r="I15" s="149">
        <v>29</v>
      </c>
      <c r="J15" s="150">
        <v>16</v>
      </c>
      <c r="K15" s="151">
        <v>27</v>
      </c>
      <c r="L15" s="152">
        <v>15</v>
      </c>
      <c r="M15" s="151">
        <v>28</v>
      </c>
      <c r="N15" s="152">
        <v>141</v>
      </c>
      <c r="O15" s="151">
        <v>35.25</v>
      </c>
      <c r="P15" s="13">
        <f t="shared" si="2"/>
        <v>65.25</v>
      </c>
      <c r="Q15" s="84">
        <f t="shared" si="3"/>
        <v>263</v>
      </c>
      <c r="R15" s="14">
        <f t="shared" ref="R15:V15" si="17">H15+30</f>
        <v>56</v>
      </c>
      <c r="S15" s="14">
        <f t="shared" si="17"/>
        <v>59</v>
      </c>
      <c r="T15" s="14">
        <f t="shared" si="17"/>
        <v>46</v>
      </c>
      <c r="U15" s="14">
        <f t="shared" si="17"/>
        <v>57</v>
      </c>
      <c r="V15" s="14">
        <f t="shared" si="17"/>
        <v>45</v>
      </c>
    </row>
    <row r="16" spans="1:22" x14ac:dyDescent="0.3">
      <c r="A16" s="139">
        <v>15</v>
      </c>
      <c r="B16" s="140" t="s">
        <v>654</v>
      </c>
      <c r="C16" s="140" t="s">
        <v>655</v>
      </c>
      <c r="D16" s="140" t="s">
        <v>656</v>
      </c>
      <c r="E16" s="140" t="s">
        <v>657</v>
      </c>
      <c r="F16" s="141">
        <v>40042</v>
      </c>
      <c r="G16" s="140" t="s">
        <v>30</v>
      </c>
      <c r="H16" s="142">
        <v>27</v>
      </c>
      <c r="I16" s="142">
        <v>46</v>
      </c>
      <c r="J16" s="142">
        <v>59</v>
      </c>
      <c r="K16" s="143">
        <v>35</v>
      </c>
      <c r="L16" s="143">
        <v>31</v>
      </c>
      <c r="M16" s="143">
        <v>27</v>
      </c>
      <c r="N16" s="143">
        <f t="shared" ref="N16:N35" si="18">SUM(H16:L16)</f>
        <v>198</v>
      </c>
      <c r="O16" s="144">
        <f t="shared" ref="O16:O35" si="19">(N16/400)*100</f>
        <v>49.5</v>
      </c>
      <c r="P16" s="13">
        <f t="shared" si="2"/>
        <v>79.5</v>
      </c>
      <c r="Q16" s="84">
        <f t="shared" si="3"/>
        <v>348</v>
      </c>
      <c r="R16" s="14">
        <f t="shared" ref="R16:V16" si="20">H16+30</f>
        <v>57</v>
      </c>
      <c r="S16" s="14">
        <f t="shared" si="20"/>
        <v>76</v>
      </c>
      <c r="T16" s="14">
        <f t="shared" si="20"/>
        <v>89</v>
      </c>
      <c r="U16" s="14">
        <f t="shared" si="20"/>
        <v>65</v>
      </c>
      <c r="V16" s="14">
        <f t="shared" si="20"/>
        <v>61</v>
      </c>
    </row>
    <row r="17" spans="1:22" x14ac:dyDescent="0.3">
      <c r="A17" s="139">
        <v>16</v>
      </c>
      <c r="B17" s="140" t="s">
        <v>658</v>
      </c>
      <c r="C17" s="140" t="s">
        <v>659</v>
      </c>
      <c r="D17" s="140" t="s">
        <v>660</v>
      </c>
      <c r="E17" s="140" t="s">
        <v>661</v>
      </c>
      <c r="F17" s="141">
        <v>39646</v>
      </c>
      <c r="G17" s="140" t="s">
        <v>39</v>
      </c>
      <c r="H17" s="142">
        <v>24</v>
      </c>
      <c r="I17" s="142">
        <v>46</v>
      </c>
      <c r="J17" s="142">
        <v>30</v>
      </c>
      <c r="K17" s="146">
        <v>12</v>
      </c>
      <c r="L17" s="145">
        <v>12</v>
      </c>
      <c r="M17" s="143">
        <v>28</v>
      </c>
      <c r="N17" s="143">
        <f t="shared" si="18"/>
        <v>124</v>
      </c>
      <c r="O17" s="144">
        <f t="shared" si="19"/>
        <v>31</v>
      </c>
      <c r="P17" s="13">
        <f t="shared" si="2"/>
        <v>61</v>
      </c>
      <c r="Q17" s="84">
        <f t="shared" si="3"/>
        <v>274</v>
      </c>
      <c r="R17" s="14">
        <f t="shared" ref="R17:V17" si="21">H17+30</f>
        <v>54</v>
      </c>
      <c r="S17" s="14">
        <f t="shared" si="21"/>
        <v>76</v>
      </c>
      <c r="T17" s="14">
        <f t="shared" si="21"/>
        <v>60</v>
      </c>
      <c r="U17" s="14">
        <f t="shared" si="21"/>
        <v>42</v>
      </c>
      <c r="V17" s="14">
        <f t="shared" si="21"/>
        <v>42</v>
      </c>
    </row>
    <row r="18" spans="1:22" x14ac:dyDescent="0.3">
      <c r="A18" s="139">
        <v>17</v>
      </c>
      <c r="B18" s="140" t="s">
        <v>662</v>
      </c>
      <c r="C18" s="140" t="s">
        <v>663</v>
      </c>
      <c r="D18" s="140" t="s">
        <v>664</v>
      </c>
      <c r="E18" s="140" t="s">
        <v>665</v>
      </c>
      <c r="F18" s="141">
        <v>39923</v>
      </c>
      <c r="G18" s="140" t="s">
        <v>39</v>
      </c>
      <c r="H18" s="142">
        <v>20</v>
      </c>
      <c r="I18" s="142">
        <v>34</v>
      </c>
      <c r="J18" s="142">
        <v>30</v>
      </c>
      <c r="K18" s="146">
        <v>14</v>
      </c>
      <c r="L18" s="145">
        <v>13</v>
      </c>
      <c r="M18" s="143">
        <v>36</v>
      </c>
      <c r="N18" s="143">
        <f t="shared" si="18"/>
        <v>111</v>
      </c>
      <c r="O18" s="144">
        <f t="shared" si="19"/>
        <v>27.750000000000004</v>
      </c>
      <c r="P18" s="13">
        <f t="shared" si="2"/>
        <v>57.75</v>
      </c>
      <c r="Q18" s="84">
        <f t="shared" si="3"/>
        <v>261</v>
      </c>
      <c r="R18" s="14">
        <f t="shared" ref="R18:V18" si="22">H18+30</f>
        <v>50</v>
      </c>
      <c r="S18" s="14">
        <f t="shared" si="22"/>
        <v>64</v>
      </c>
      <c r="T18" s="14">
        <f t="shared" si="22"/>
        <v>60</v>
      </c>
      <c r="U18" s="14">
        <f t="shared" si="22"/>
        <v>44</v>
      </c>
      <c r="V18" s="14">
        <f t="shared" si="22"/>
        <v>43</v>
      </c>
    </row>
    <row r="19" spans="1:22" x14ac:dyDescent="0.3">
      <c r="A19" s="139">
        <v>18</v>
      </c>
      <c r="B19" s="140" t="s">
        <v>666</v>
      </c>
      <c r="C19" s="140" t="s">
        <v>667</v>
      </c>
      <c r="D19" s="140" t="s">
        <v>668</v>
      </c>
      <c r="E19" s="140" t="s">
        <v>669</v>
      </c>
      <c r="F19" s="141">
        <v>39961</v>
      </c>
      <c r="G19" s="140" t="s">
        <v>30</v>
      </c>
      <c r="H19" s="142">
        <v>34</v>
      </c>
      <c r="I19" s="142">
        <v>45</v>
      </c>
      <c r="J19" s="142">
        <v>21</v>
      </c>
      <c r="K19" s="146">
        <v>19</v>
      </c>
      <c r="L19" s="143">
        <v>25</v>
      </c>
      <c r="M19" s="143">
        <v>34</v>
      </c>
      <c r="N19" s="143">
        <f t="shared" si="18"/>
        <v>144</v>
      </c>
      <c r="O19" s="144">
        <f t="shared" si="19"/>
        <v>36</v>
      </c>
      <c r="P19" s="13">
        <f t="shared" si="2"/>
        <v>66</v>
      </c>
      <c r="Q19" s="84">
        <f t="shared" si="3"/>
        <v>294</v>
      </c>
      <c r="R19" s="14">
        <f t="shared" ref="R19:V19" si="23">H19+30</f>
        <v>64</v>
      </c>
      <c r="S19" s="14">
        <f t="shared" si="23"/>
        <v>75</v>
      </c>
      <c r="T19" s="14">
        <f t="shared" si="23"/>
        <v>51</v>
      </c>
      <c r="U19" s="14">
        <f t="shared" si="23"/>
        <v>49</v>
      </c>
      <c r="V19" s="14">
        <f t="shared" si="23"/>
        <v>55</v>
      </c>
    </row>
    <row r="20" spans="1:22" x14ac:dyDescent="0.3">
      <c r="A20" s="139">
        <v>19</v>
      </c>
      <c r="B20" s="140" t="s">
        <v>670</v>
      </c>
      <c r="C20" s="140" t="s">
        <v>671</v>
      </c>
      <c r="D20" s="140" t="s">
        <v>672</v>
      </c>
      <c r="E20" s="140" t="s">
        <v>673</v>
      </c>
      <c r="F20" s="141">
        <v>39988</v>
      </c>
      <c r="G20" s="140" t="s">
        <v>30</v>
      </c>
      <c r="H20" s="142">
        <v>30</v>
      </c>
      <c r="I20" s="142">
        <v>36</v>
      </c>
      <c r="J20" s="142">
        <v>38</v>
      </c>
      <c r="K20" s="143">
        <v>38</v>
      </c>
      <c r="L20" s="143">
        <v>29</v>
      </c>
      <c r="M20" s="143">
        <v>44</v>
      </c>
      <c r="N20" s="143">
        <f t="shared" si="18"/>
        <v>171</v>
      </c>
      <c r="O20" s="144">
        <f t="shared" si="19"/>
        <v>42.75</v>
      </c>
      <c r="P20" s="13">
        <f t="shared" si="2"/>
        <v>72.75</v>
      </c>
      <c r="Q20" s="84">
        <f t="shared" si="3"/>
        <v>321</v>
      </c>
      <c r="R20" s="14">
        <f t="shared" ref="R20:V20" si="24">H20+30</f>
        <v>60</v>
      </c>
      <c r="S20" s="14">
        <f t="shared" si="24"/>
        <v>66</v>
      </c>
      <c r="T20" s="14">
        <f t="shared" si="24"/>
        <v>68</v>
      </c>
      <c r="U20" s="14">
        <f t="shared" si="24"/>
        <v>68</v>
      </c>
      <c r="V20" s="14">
        <f t="shared" si="24"/>
        <v>59</v>
      </c>
    </row>
    <row r="21" spans="1:22" x14ac:dyDescent="0.3">
      <c r="A21" s="139">
        <v>20</v>
      </c>
      <c r="B21" s="140" t="s">
        <v>674</v>
      </c>
      <c r="C21" s="140" t="s">
        <v>675</v>
      </c>
      <c r="D21" s="140" t="s">
        <v>676</v>
      </c>
      <c r="E21" s="140" t="s">
        <v>677</v>
      </c>
      <c r="F21" s="141">
        <v>39935</v>
      </c>
      <c r="G21" s="140" t="s">
        <v>30</v>
      </c>
      <c r="H21" s="142">
        <v>21</v>
      </c>
      <c r="I21" s="142">
        <v>34</v>
      </c>
      <c r="J21" s="142">
        <v>36</v>
      </c>
      <c r="K21" s="146">
        <v>16</v>
      </c>
      <c r="L21" s="143">
        <v>21</v>
      </c>
      <c r="M21" s="143">
        <v>43</v>
      </c>
      <c r="N21" s="143">
        <f t="shared" si="18"/>
        <v>128</v>
      </c>
      <c r="O21" s="144">
        <f t="shared" si="19"/>
        <v>32</v>
      </c>
      <c r="P21" s="13">
        <f t="shared" si="2"/>
        <v>62</v>
      </c>
      <c r="Q21" s="84">
        <f t="shared" si="3"/>
        <v>278</v>
      </c>
      <c r="R21" s="14">
        <f t="shared" ref="R21:V21" si="25">H21+30</f>
        <v>51</v>
      </c>
      <c r="S21" s="14">
        <f t="shared" si="25"/>
        <v>64</v>
      </c>
      <c r="T21" s="14">
        <f t="shared" si="25"/>
        <v>66</v>
      </c>
      <c r="U21" s="14">
        <f t="shared" si="25"/>
        <v>46</v>
      </c>
      <c r="V21" s="14">
        <f t="shared" si="25"/>
        <v>51</v>
      </c>
    </row>
    <row r="22" spans="1:22" x14ac:dyDescent="0.3">
      <c r="A22" s="139">
        <v>21</v>
      </c>
      <c r="B22" s="140" t="s">
        <v>678</v>
      </c>
      <c r="C22" s="140" t="s">
        <v>679</v>
      </c>
      <c r="D22" s="140" t="s">
        <v>680</v>
      </c>
      <c r="E22" s="140" t="s">
        <v>681</v>
      </c>
      <c r="F22" s="141">
        <v>39773</v>
      </c>
      <c r="G22" s="140" t="s">
        <v>30</v>
      </c>
      <c r="H22" s="142">
        <v>21</v>
      </c>
      <c r="I22" s="142">
        <v>29</v>
      </c>
      <c r="J22" s="153">
        <v>10</v>
      </c>
      <c r="K22" s="143">
        <v>23</v>
      </c>
      <c r="L22" s="146">
        <v>18</v>
      </c>
      <c r="M22" s="143">
        <v>26</v>
      </c>
      <c r="N22" s="143">
        <f t="shared" si="18"/>
        <v>101</v>
      </c>
      <c r="O22" s="144">
        <f t="shared" si="19"/>
        <v>25.25</v>
      </c>
      <c r="P22" s="13">
        <f t="shared" si="2"/>
        <v>55.25</v>
      </c>
      <c r="Q22" s="84">
        <f t="shared" si="3"/>
        <v>251</v>
      </c>
      <c r="R22" s="14">
        <f t="shared" ref="R22:V22" si="26">H22+30</f>
        <v>51</v>
      </c>
      <c r="S22" s="14">
        <f t="shared" si="26"/>
        <v>59</v>
      </c>
      <c r="T22" s="14">
        <f t="shared" si="26"/>
        <v>40</v>
      </c>
      <c r="U22" s="14">
        <f t="shared" si="26"/>
        <v>53</v>
      </c>
      <c r="V22" s="14">
        <f t="shared" si="26"/>
        <v>48</v>
      </c>
    </row>
    <row r="23" spans="1:22" x14ac:dyDescent="0.3">
      <c r="A23" s="139">
        <v>22</v>
      </c>
      <c r="B23" s="140" t="s">
        <v>682</v>
      </c>
      <c r="C23" s="140" t="s">
        <v>303</v>
      </c>
      <c r="D23" s="140" t="s">
        <v>683</v>
      </c>
      <c r="E23" s="140" t="s">
        <v>684</v>
      </c>
      <c r="F23" s="141">
        <v>39916</v>
      </c>
      <c r="G23" s="140" t="s">
        <v>30</v>
      </c>
      <c r="H23" s="142">
        <v>21</v>
      </c>
      <c r="I23" s="142">
        <v>35</v>
      </c>
      <c r="J23" s="142">
        <v>21</v>
      </c>
      <c r="K23" s="146">
        <v>19</v>
      </c>
      <c r="L23" s="143">
        <v>27</v>
      </c>
      <c r="M23" s="143">
        <v>38</v>
      </c>
      <c r="N23" s="143">
        <f t="shared" si="18"/>
        <v>123</v>
      </c>
      <c r="O23" s="144">
        <f t="shared" si="19"/>
        <v>30.75</v>
      </c>
      <c r="P23" s="13">
        <f t="shared" si="2"/>
        <v>60.75</v>
      </c>
      <c r="Q23" s="84">
        <f t="shared" si="3"/>
        <v>273</v>
      </c>
      <c r="R23" s="14">
        <f t="shared" ref="R23:V23" si="27">H23+30</f>
        <v>51</v>
      </c>
      <c r="S23" s="14">
        <f t="shared" si="27"/>
        <v>65</v>
      </c>
      <c r="T23" s="14">
        <f t="shared" si="27"/>
        <v>51</v>
      </c>
      <c r="U23" s="14">
        <f t="shared" si="27"/>
        <v>49</v>
      </c>
      <c r="V23" s="14">
        <f t="shared" si="27"/>
        <v>57</v>
      </c>
    </row>
    <row r="24" spans="1:22" x14ac:dyDescent="0.3">
      <c r="A24" s="139">
        <v>23</v>
      </c>
      <c r="B24" s="140" t="s">
        <v>685</v>
      </c>
      <c r="C24" s="140" t="s">
        <v>686</v>
      </c>
      <c r="D24" s="140" t="s">
        <v>687</v>
      </c>
      <c r="E24" s="140" t="s">
        <v>688</v>
      </c>
      <c r="F24" s="141">
        <v>40134</v>
      </c>
      <c r="G24" s="140" t="s">
        <v>30</v>
      </c>
      <c r="H24" s="142">
        <v>45</v>
      </c>
      <c r="I24" s="142">
        <v>57</v>
      </c>
      <c r="J24" s="142">
        <v>63</v>
      </c>
      <c r="K24" s="143">
        <v>42</v>
      </c>
      <c r="L24" s="143">
        <v>35</v>
      </c>
      <c r="M24" s="143">
        <v>48</v>
      </c>
      <c r="N24" s="143">
        <f t="shared" si="18"/>
        <v>242</v>
      </c>
      <c r="O24" s="144">
        <f t="shared" si="19"/>
        <v>60.5</v>
      </c>
      <c r="P24" s="13">
        <f t="shared" si="2"/>
        <v>90.5</v>
      </c>
      <c r="Q24" s="84">
        <f t="shared" si="3"/>
        <v>392</v>
      </c>
      <c r="R24" s="14">
        <f t="shared" ref="R24:V24" si="28">H24+30</f>
        <v>75</v>
      </c>
      <c r="S24" s="14">
        <f t="shared" si="28"/>
        <v>87</v>
      </c>
      <c r="T24" s="14">
        <f t="shared" si="28"/>
        <v>93</v>
      </c>
      <c r="U24" s="14">
        <f t="shared" si="28"/>
        <v>72</v>
      </c>
      <c r="V24" s="14">
        <f t="shared" si="28"/>
        <v>65</v>
      </c>
    </row>
    <row r="25" spans="1:22" x14ac:dyDescent="0.3">
      <c r="A25" s="139">
        <v>24</v>
      </c>
      <c r="B25" s="140" t="s">
        <v>689</v>
      </c>
      <c r="C25" s="140" t="s">
        <v>690</v>
      </c>
      <c r="D25" s="140" t="s">
        <v>691</v>
      </c>
      <c r="E25" s="140" t="s">
        <v>692</v>
      </c>
      <c r="F25" s="141">
        <v>39971</v>
      </c>
      <c r="G25" s="140" t="s">
        <v>39</v>
      </c>
      <c r="H25" s="142">
        <v>33</v>
      </c>
      <c r="I25" s="142">
        <v>48</v>
      </c>
      <c r="J25" s="142">
        <v>29</v>
      </c>
      <c r="K25" s="146">
        <v>18</v>
      </c>
      <c r="L25" s="143">
        <v>33</v>
      </c>
      <c r="M25" s="143">
        <v>33</v>
      </c>
      <c r="N25" s="143">
        <f t="shared" si="18"/>
        <v>161</v>
      </c>
      <c r="O25" s="144">
        <f t="shared" si="19"/>
        <v>40.25</v>
      </c>
      <c r="P25" s="13">
        <f t="shared" si="2"/>
        <v>70.25</v>
      </c>
      <c r="Q25" s="84">
        <f t="shared" si="3"/>
        <v>311</v>
      </c>
      <c r="R25" s="14">
        <f t="shared" ref="R25:V25" si="29">H25+30</f>
        <v>63</v>
      </c>
      <c r="S25" s="14">
        <f t="shared" si="29"/>
        <v>78</v>
      </c>
      <c r="T25" s="14">
        <f t="shared" si="29"/>
        <v>59</v>
      </c>
      <c r="U25" s="14">
        <f t="shared" si="29"/>
        <v>48</v>
      </c>
      <c r="V25" s="14">
        <f t="shared" si="29"/>
        <v>63</v>
      </c>
    </row>
    <row r="26" spans="1:22" x14ac:dyDescent="0.3">
      <c r="A26" s="139">
        <v>25</v>
      </c>
      <c r="B26" s="140" t="s">
        <v>693</v>
      </c>
      <c r="C26" s="140" t="s">
        <v>694</v>
      </c>
      <c r="D26" s="140" t="s">
        <v>695</v>
      </c>
      <c r="E26" s="140" t="s">
        <v>696</v>
      </c>
      <c r="F26" s="141">
        <v>40025</v>
      </c>
      <c r="G26" s="140" t="s">
        <v>30</v>
      </c>
      <c r="H26" s="142">
        <v>34</v>
      </c>
      <c r="I26" s="142">
        <v>42</v>
      </c>
      <c r="J26" s="142">
        <v>31</v>
      </c>
      <c r="K26" s="143">
        <v>31</v>
      </c>
      <c r="L26" s="143">
        <v>26</v>
      </c>
      <c r="M26" s="143">
        <v>30</v>
      </c>
      <c r="N26" s="143">
        <f t="shared" si="18"/>
        <v>164</v>
      </c>
      <c r="O26" s="144">
        <f t="shared" si="19"/>
        <v>41</v>
      </c>
      <c r="P26" s="13">
        <f t="shared" si="2"/>
        <v>71</v>
      </c>
      <c r="Q26" s="84">
        <f t="shared" si="3"/>
        <v>314</v>
      </c>
      <c r="R26" s="14">
        <f t="shared" ref="R26:V26" si="30">H26+30</f>
        <v>64</v>
      </c>
      <c r="S26" s="14">
        <f t="shared" si="30"/>
        <v>72</v>
      </c>
      <c r="T26" s="14">
        <f t="shared" si="30"/>
        <v>61</v>
      </c>
      <c r="U26" s="14">
        <f t="shared" si="30"/>
        <v>61</v>
      </c>
      <c r="V26" s="14">
        <f t="shared" si="30"/>
        <v>56</v>
      </c>
    </row>
    <row r="27" spans="1:22" x14ac:dyDescent="0.3">
      <c r="A27" s="139">
        <v>26</v>
      </c>
      <c r="B27" s="140" t="s">
        <v>697</v>
      </c>
      <c r="C27" s="140" t="s">
        <v>698</v>
      </c>
      <c r="D27" s="140" t="s">
        <v>699</v>
      </c>
      <c r="E27" s="140" t="s">
        <v>700</v>
      </c>
      <c r="F27" s="141">
        <v>39935</v>
      </c>
      <c r="G27" s="140" t="s">
        <v>39</v>
      </c>
      <c r="H27" s="142">
        <v>25</v>
      </c>
      <c r="I27" s="142">
        <v>42</v>
      </c>
      <c r="J27" s="153">
        <v>11</v>
      </c>
      <c r="K27" s="143">
        <v>20</v>
      </c>
      <c r="L27" s="143">
        <v>24</v>
      </c>
      <c r="M27" s="143">
        <v>33</v>
      </c>
      <c r="N27" s="143">
        <f t="shared" si="18"/>
        <v>122</v>
      </c>
      <c r="O27" s="144">
        <f t="shared" si="19"/>
        <v>30.5</v>
      </c>
      <c r="P27" s="13">
        <f t="shared" si="2"/>
        <v>60.5</v>
      </c>
      <c r="Q27" s="84">
        <f t="shared" si="3"/>
        <v>272</v>
      </c>
      <c r="R27" s="14">
        <f t="shared" ref="R27:V27" si="31">H27+30</f>
        <v>55</v>
      </c>
      <c r="S27" s="14">
        <f t="shared" si="31"/>
        <v>72</v>
      </c>
      <c r="T27" s="14">
        <f t="shared" si="31"/>
        <v>41</v>
      </c>
      <c r="U27" s="14">
        <f t="shared" si="31"/>
        <v>50</v>
      </c>
      <c r="V27" s="14">
        <f t="shared" si="31"/>
        <v>54</v>
      </c>
    </row>
    <row r="28" spans="1:22" x14ac:dyDescent="0.3">
      <c r="A28" s="139">
        <v>27</v>
      </c>
      <c r="B28" s="140" t="s">
        <v>701</v>
      </c>
      <c r="C28" s="140" t="s">
        <v>702</v>
      </c>
      <c r="D28" s="140" t="s">
        <v>703</v>
      </c>
      <c r="E28" s="140" t="s">
        <v>704</v>
      </c>
      <c r="F28" s="141">
        <v>39911</v>
      </c>
      <c r="G28" s="140" t="s">
        <v>30</v>
      </c>
      <c r="H28" s="142">
        <v>41</v>
      </c>
      <c r="I28" s="142">
        <v>52</v>
      </c>
      <c r="J28" s="142">
        <v>52</v>
      </c>
      <c r="K28" s="143">
        <v>35</v>
      </c>
      <c r="L28" s="143">
        <v>44</v>
      </c>
      <c r="M28" s="143">
        <v>41</v>
      </c>
      <c r="N28" s="143">
        <f t="shared" si="18"/>
        <v>224</v>
      </c>
      <c r="O28" s="144">
        <f t="shared" si="19"/>
        <v>56.000000000000007</v>
      </c>
      <c r="P28" s="13">
        <f t="shared" si="2"/>
        <v>86</v>
      </c>
      <c r="Q28" s="84">
        <f t="shared" si="3"/>
        <v>374</v>
      </c>
      <c r="R28" s="14">
        <f t="shared" ref="R28:V28" si="32">H28+30</f>
        <v>71</v>
      </c>
      <c r="S28" s="14">
        <f t="shared" si="32"/>
        <v>82</v>
      </c>
      <c r="T28" s="14">
        <f t="shared" si="32"/>
        <v>82</v>
      </c>
      <c r="U28" s="14">
        <f t="shared" si="32"/>
        <v>65</v>
      </c>
      <c r="V28" s="14">
        <f t="shared" si="32"/>
        <v>74</v>
      </c>
    </row>
    <row r="29" spans="1:22" x14ac:dyDescent="0.3">
      <c r="A29" s="139">
        <v>28</v>
      </c>
      <c r="B29" s="140" t="s">
        <v>705</v>
      </c>
      <c r="C29" s="140" t="s">
        <v>706</v>
      </c>
      <c r="D29" s="140" t="s">
        <v>707</v>
      </c>
      <c r="E29" s="140" t="s">
        <v>708</v>
      </c>
      <c r="F29" s="141">
        <v>39774</v>
      </c>
      <c r="G29" s="140" t="s">
        <v>39</v>
      </c>
      <c r="H29" s="142">
        <v>39</v>
      </c>
      <c r="I29" s="142">
        <v>44</v>
      </c>
      <c r="J29" s="142">
        <v>23</v>
      </c>
      <c r="K29" s="143">
        <v>25</v>
      </c>
      <c r="L29" s="145">
        <v>19</v>
      </c>
      <c r="M29" s="143">
        <v>38</v>
      </c>
      <c r="N29" s="143">
        <f t="shared" si="18"/>
        <v>150</v>
      </c>
      <c r="O29" s="144">
        <f t="shared" si="19"/>
        <v>37.5</v>
      </c>
      <c r="P29" s="13">
        <f t="shared" si="2"/>
        <v>67.5</v>
      </c>
      <c r="Q29" s="84">
        <f t="shared" si="3"/>
        <v>300</v>
      </c>
      <c r="R29" s="14">
        <f t="shared" ref="R29:V29" si="33">H29+30</f>
        <v>69</v>
      </c>
      <c r="S29" s="14">
        <f t="shared" si="33"/>
        <v>74</v>
      </c>
      <c r="T29" s="14">
        <f t="shared" si="33"/>
        <v>53</v>
      </c>
      <c r="U29" s="14">
        <f t="shared" si="33"/>
        <v>55</v>
      </c>
      <c r="V29" s="14">
        <f t="shared" si="33"/>
        <v>49</v>
      </c>
    </row>
    <row r="30" spans="1:22" x14ac:dyDescent="0.3">
      <c r="A30" s="139">
        <v>29</v>
      </c>
      <c r="B30" s="140" t="s">
        <v>709</v>
      </c>
      <c r="C30" s="140" t="s">
        <v>710</v>
      </c>
      <c r="D30" s="140" t="s">
        <v>711</v>
      </c>
      <c r="E30" s="140" t="s">
        <v>712</v>
      </c>
      <c r="F30" s="141">
        <v>39803</v>
      </c>
      <c r="G30" s="140" t="s">
        <v>39</v>
      </c>
      <c r="H30" s="142">
        <v>22</v>
      </c>
      <c r="I30" s="142">
        <v>48</v>
      </c>
      <c r="J30" s="142">
        <v>29</v>
      </c>
      <c r="K30" s="143">
        <v>29</v>
      </c>
      <c r="L30" s="143">
        <v>25</v>
      </c>
      <c r="M30" s="143">
        <v>43</v>
      </c>
      <c r="N30" s="143">
        <f t="shared" si="18"/>
        <v>153</v>
      </c>
      <c r="O30" s="144">
        <f t="shared" si="19"/>
        <v>38.25</v>
      </c>
      <c r="P30" s="13">
        <f t="shared" si="2"/>
        <v>68.25</v>
      </c>
      <c r="Q30" s="84">
        <f t="shared" si="3"/>
        <v>303</v>
      </c>
      <c r="R30" s="14">
        <f t="shared" ref="R30:V30" si="34">H30+30</f>
        <v>52</v>
      </c>
      <c r="S30" s="14">
        <f t="shared" si="34"/>
        <v>78</v>
      </c>
      <c r="T30" s="14">
        <f t="shared" si="34"/>
        <v>59</v>
      </c>
      <c r="U30" s="14">
        <f t="shared" si="34"/>
        <v>59</v>
      </c>
      <c r="V30" s="14">
        <f t="shared" si="34"/>
        <v>55</v>
      </c>
    </row>
    <row r="31" spans="1:22" x14ac:dyDescent="0.3">
      <c r="A31" s="139">
        <v>30</v>
      </c>
      <c r="B31" s="140" t="s">
        <v>713</v>
      </c>
      <c r="C31" s="140" t="s">
        <v>714</v>
      </c>
      <c r="D31" s="140" t="s">
        <v>715</v>
      </c>
      <c r="E31" s="140" t="s">
        <v>716</v>
      </c>
      <c r="F31" s="141">
        <v>40094</v>
      </c>
      <c r="G31" s="140" t="s">
        <v>30</v>
      </c>
      <c r="H31" s="142">
        <v>35</v>
      </c>
      <c r="I31" s="142">
        <v>46</v>
      </c>
      <c r="J31" s="142">
        <v>38</v>
      </c>
      <c r="K31" s="143">
        <v>37</v>
      </c>
      <c r="L31" s="143">
        <v>29</v>
      </c>
      <c r="M31" s="143">
        <v>38</v>
      </c>
      <c r="N31" s="143">
        <f t="shared" si="18"/>
        <v>185</v>
      </c>
      <c r="O31" s="144">
        <f t="shared" si="19"/>
        <v>46.25</v>
      </c>
      <c r="P31" s="13">
        <f t="shared" si="2"/>
        <v>76.25</v>
      </c>
      <c r="Q31" s="84">
        <f t="shared" si="3"/>
        <v>335</v>
      </c>
      <c r="R31" s="14">
        <f t="shared" ref="R31:V31" si="35">H31+30</f>
        <v>65</v>
      </c>
      <c r="S31" s="14">
        <f t="shared" si="35"/>
        <v>76</v>
      </c>
      <c r="T31" s="14">
        <f t="shared" si="35"/>
        <v>68</v>
      </c>
      <c r="U31" s="14">
        <f t="shared" si="35"/>
        <v>67</v>
      </c>
      <c r="V31" s="14">
        <f t="shared" si="35"/>
        <v>59</v>
      </c>
    </row>
    <row r="32" spans="1:22" x14ac:dyDescent="0.3">
      <c r="A32" s="139">
        <v>31</v>
      </c>
      <c r="B32" s="140" t="s">
        <v>717</v>
      </c>
      <c r="C32" s="140" t="s">
        <v>718</v>
      </c>
      <c r="D32" s="140" t="s">
        <v>719</v>
      </c>
      <c r="E32" s="140" t="s">
        <v>720</v>
      </c>
      <c r="F32" s="141">
        <v>40016</v>
      </c>
      <c r="G32" s="140" t="s">
        <v>39</v>
      </c>
      <c r="H32" s="142">
        <v>30</v>
      </c>
      <c r="I32" s="142">
        <v>34</v>
      </c>
      <c r="J32" s="153">
        <v>12</v>
      </c>
      <c r="K32" s="143">
        <v>20</v>
      </c>
      <c r="L32" s="143">
        <v>21</v>
      </c>
      <c r="M32" s="143">
        <v>35</v>
      </c>
      <c r="N32" s="143">
        <f t="shared" si="18"/>
        <v>117</v>
      </c>
      <c r="O32" s="144">
        <f t="shared" si="19"/>
        <v>29.25</v>
      </c>
      <c r="P32" s="13">
        <f t="shared" si="2"/>
        <v>59.25</v>
      </c>
      <c r="Q32" s="84">
        <f t="shared" si="3"/>
        <v>267</v>
      </c>
      <c r="R32" s="14">
        <f t="shared" ref="R32:V32" si="36">H32+30</f>
        <v>60</v>
      </c>
      <c r="S32" s="14">
        <f t="shared" si="36"/>
        <v>64</v>
      </c>
      <c r="T32" s="14">
        <f t="shared" si="36"/>
        <v>42</v>
      </c>
      <c r="U32" s="14">
        <f t="shared" si="36"/>
        <v>50</v>
      </c>
      <c r="V32" s="14">
        <f t="shared" si="36"/>
        <v>51</v>
      </c>
    </row>
    <row r="33" spans="1:22" x14ac:dyDescent="0.3">
      <c r="A33" s="139">
        <v>32</v>
      </c>
      <c r="B33" s="140" t="s">
        <v>721</v>
      </c>
      <c r="C33" s="140" t="s">
        <v>722</v>
      </c>
      <c r="D33" s="140" t="s">
        <v>723</v>
      </c>
      <c r="E33" s="140" t="s">
        <v>724</v>
      </c>
      <c r="F33" s="141">
        <v>40046</v>
      </c>
      <c r="G33" s="140" t="s">
        <v>30</v>
      </c>
      <c r="H33" s="142">
        <v>27</v>
      </c>
      <c r="I33" s="142">
        <v>39</v>
      </c>
      <c r="J33" s="142">
        <v>23</v>
      </c>
      <c r="K33" s="143">
        <v>25</v>
      </c>
      <c r="L33" s="143">
        <v>33</v>
      </c>
      <c r="M33" s="143">
        <v>32</v>
      </c>
      <c r="N33" s="143">
        <f t="shared" si="18"/>
        <v>147</v>
      </c>
      <c r="O33" s="144">
        <f t="shared" si="19"/>
        <v>36.75</v>
      </c>
      <c r="P33" s="13">
        <f t="shared" si="2"/>
        <v>66.75</v>
      </c>
      <c r="Q33" s="84">
        <f t="shared" si="3"/>
        <v>297</v>
      </c>
      <c r="R33" s="14">
        <f t="shared" ref="R33:V33" si="37">H33+30</f>
        <v>57</v>
      </c>
      <c r="S33" s="14">
        <f t="shared" si="37"/>
        <v>69</v>
      </c>
      <c r="T33" s="14">
        <f t="shared" si="37"/>
        <v>53</v>
      </c>
      <c r="U33" s="14">
        <f t="shared" si="37"/>
        <v>55</v>
      </c>
      <c r="V33" s="14">
        <f t="shared" si="37"/>
        <v>63</v>
      </c>
    </row>
    <row r="34" spans="1:22" x14ac:dyDescent="0.3">
      <c r="A34" s="139">
        <v>33</v>
      </c>
      <c r="B34" s="140" t="s">
        <v>725</v>
      </c>
      <c r="C34" s="140" t="s">
        <v>726</v>
      </c>
      <c r="D34" s="140" t="s">
        <v>727</v>
      </c>
      <c r="E34" s="140" t="s">
        <v>728</v>
      </c>
      <c r="F34" s="141">
        <v>39684</v>
      </c>
      <c r="G34" s="140" t="s">
        <v>30</v>
      </c>
      <c r="H34" s="142">
        <v>30</v>
      </c>
      <c r="I34" s="142">
        <v>44</v>
      </c>
      <c r="J34" s="142">
        <v>29</v>
      </c>
      <c r="K34" s="143">
        <v>28</v>
      </c>
      <c r="L34" s="145">
        <v>17</v>
      </c>
      <c r="M34" s="143">
        <v>35</v>
      </c>
      <c r="N34" s="143">
        <f t="shared" si="18"/>
        <v>148</v>
      </c>
      <c r="O34" s="144">
        <f t="shared" si="19"/>
        <v>37</v>
      </c>
      <c r="P34" s="13">
        <f t="shared" si="2"/>
        <v>67</v>
      </c>
      <c r="Q34" s="84">
        <f t="shared" si="3"/>
        <v>298</v>
      </c>
      <c r="R34" s="14">
        <f t="shared" ref="R34:V34" si="38">H34+30</f>
        <v>60</v>
      </c>
      <c r="S34" s="14">
        <f t="shared" si="38"/>
        <v>74</v>
      </c>
      <c r="T34" s="14">
        <f t="shared" si="38"/>
        <v>59</v>
      </c>
      <c r="U34" s="14">
        <f t="shared" si="38"/>
        <v>58</v>
      </c>
      <c r="V34" s="14">
        <f t="shared" si="38"/>
        <v>47</v>
      </c>
    </row>
    <row r="35" spans="1:22" x14ac:dyDescent="0.3">
      <c r="A35" s="139">
        <v>34</v>
      </c>
      <c r="B35" s="140" t="s">
        <v>729</v>
      </c>
      <c r="C35" s="140" t="s">
        <v>730</v>
      </c>
      <c r="D35" s="140" t="s">
        <v>731</v>
      </c>
      <c r="E35" s="140" t="s">
        <v>732</v>
      </c>
      <c r="F35" s="141">
        <v>39835</v>
      </c>
      <c r="G35" s="140" t="s">
        <v>30</v>
      </c>
      <c r="H35" s="142">
        <v>20</v>
      </c>
      <c r="I35" s="142">
        <v>36</v>
      </c>
      <c r="J35" s="142">
        <v>34</v>
      </c>
      <c r="K35" s="146">
        <v>17</v>
      </c>
      <c r="L35" s="145">
        <v>19</v>
      </c>
      <c r="M35" s="143">
        <v>34</v>
      </c>
      <c r="N35" s="143">
        <f t="shared" si="18"/>
        <v>126</v>
      </c>
      <c r="O35" s="144">
        <f t="shared" si="19"/>
        <v>31.5</v>
      </c>
      <c r="P35" s="13">
        <f t="shared" si="2"/>
        <v>61.5</v>
      </c>
      <c r="Q35" s="84">
        <f t="shared" si="3"/>
        <v>276</v>
      </c>
      <c r="R35" s="14">
        <f t="shared" ref="R35:V35" si="39">H35+30</f>
        <v>50</v>
      </c>
      <c r="S35" s="14">
        <f t="shared" si="39"/>
        <v>66</v>
      </c>
      <c r="T35" s="14">
        <f t="shared" si="39"/>
        <v>64</v>
      </c>
      <c r="U35" s="14">
        <f t="shared" si="39"/>
        <v>47</v>
      </c>
      <c r="V35" s="14">
        <f t="shared" si="39"/>
        <v>49</v>
      </c>
    </row>
    <row r="36" spans="1:22" x14ac:dyDescent="0.3">
      <c r="B36" s="154"/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5"/>
      <c r="P36" s="13"/>
      <c r="Q36" s="84">
        <f t="shared" si="3"/>
        <v>0</v>
      </c>
      <c r="R36" s="154"/>
      <c r="S36" s="154"/>
      <c r="T36" s="154"/>
      <c r="U36" s="154"/>
      <c r="V36" s="154"/>
    </row>
    <row r="37" spans="1:22" x14ac:dyDescent="0.3">
      <c r="O37" s="156"/>
      <c r="P37" s="13"/>
      <c r="Q37" s="84">
        <f t="shared" si="3"/>
        <v>0</v>
      </c>
    </row>
    <row r="38" spans="1:22" x14ac:dyDescent="0.3">
      <c r="O38" s="156"/>
      <c r="P38" s="13"/>
      <c r="Q38" s="84">
        <f t="shared" si="3"/>
        <v>0</v>
      </c>
    </row>
    <row r="39" spans="1:22" x14ac:dyDescent="0.3">
      <c r="O39" s="156"/>
      <c r="P39" s="13"/>
      <c r="Q39" s="84">
        <f t="shared" si="3"/>
        <v>0</v>
      </c>
    </row>
    <row r="40" spans="1:22" x14ac:dyDescent="0.3">
      <c r="D40" s="64" t="s">
        <v>216</v>
      </c>
      <c r="E40" s="65">
        <v>0</v>
      </c>
      <c r="O40" s="156"/>
      <c r="P40" s="13"/>
      <c r="Q40" s="84">
        <f t="shared" si="3"/>
        <v>0</v>
      </c>
    </row>
    <row r="41" spans="1:22" x14ac:dyDescent="0.3">
      <c r="D41" s="66" t="s">
        <v>217</v>
      </c>
      <c r="E41" s="67">
        <v>1</v>
      </c>
      <c r="O41" s="156"/>
      <c r="P41" s="13"/>
      <c r="Q41" s="84">
        <f t="shared" si="3"/>
        <v>0</v>
      </c>
    </row>
    <row r="42" spans="1:22" x14ac:dyDescent="0.3">
      <c r="D42" s="68" t="s">
        <v>218</v>
      </c>
      <c r="E42" s="67">
        <v>6</v>
      </c>
      <c r="O42" s="156"/>
      <c r="P42" s="13"/>
      <c r="Q42" s="84">
        <f t="shared" si="3"/>
        <v>0</v>
      </c>
    </row>
    <row r="43" spans="1:22" x14ac:dyDescent="0.3">
      <c r="D43" s="69" t="s">
        <v>219</v>
      </c>
      <c r="E43" s="67">
        <v>23</v>
      </c>
      <c r="O43" s="156"/>
      <c r="P43" s="13"/>
      <c r="Q43" s="84">
        <f t="shared" si="3"/>
        <v>0</v>
      </c>
    </row>
    <row r="44" spans="1:22" x14ac:dyDescent="0.3">
      <c r="D44" s="70" t="s">
        <v>220</v>
      </c>
      <c r="E44" s="67">
        <v>4</v>
      </c>
      <c r="O44" s="156"/>
      <c r="P44" s="13"/>
      <c r="Q44" s="84">
        <f t="shared" si="3"/>
        <v>0</v>
      </c>
    </row>
    <row r="45" spans="1:22" x14ac:dyDescent="0.3">
      <c r="D45" s="71" t="s">
        <v>221</v>
      </c>
      <c r="E45" s="67">
        <v>0</v>
      </c>
      <c r="O45" s="156"/>
      <c r="P45" s="13"/>
      <c r="Q45" s="84">
        <f t="shared" si="3"/>
        <v>0</v>
      </c>
    </row>
    <row r="46" spans="1:22" x14ac:dyDescent="0.3">
      <c r="E46" s="72">
        <f>SUM(E40:E45)</f>
        <v>34</v>
      </c>
      <c r="O46" s="156"/>
      <c r="P46" s="13"/>
      <c r="Q46" s="84">
        <f t="shared" si="3"/>
        <v>0</v>
      </c>
    </row>
    <row r="47" spans="1:22" x14ac:dyDescent="0.3">
      <c r="O47" s="156"/>
      <c r="P47" s="13"/>
      <c r="Q47" s="84">
        <f t="shared" si="3"/>
        <v>0</v>
      </c>
    </row>
    <row r="48" spans="1:22" x14ac:dyDescent="0.3">
      <c r="O48" s="156"/>
      <c r="P48" s="13"/>
      <c r="Q48" s="84">
        <f t="shared" si="3"/>
        <v>0</v>
      </c>
    </row>
    <row r="49" spans="15:17" x14ac:dyDescent="0.3">
      <c r="O49" s="156"/>
      <c r="Q49" s="84">
        <f t="shared" si="3"/>
        <v>0</v>
      </c>
    </row>
    <row r="50" spans="15:17" x14ac:dyDescent="0.3">
      <c r="O50" s="156"/>
      <c r="Q50" s="84">
        <f t="shared" si="3"/>
        <v>0</v>
      </c>
    </row>
    <row r="51" spans="15:17" x14ac:dyDescent="0.3">
      <c r="O51" s="156"/>
      <c r="Q51" s="84">
        <f t="shared" si="3"/>
        <v>0</v>
      </c>
    </row>
    <row r="52" spans="15:17" x14ac:dyDescent="0.3">
      <c r="O52" s="156"/>
      <c r="Q52" s="84">
        <f t="shared" si="3"/>
        <v>0</v>
      </c>
    </row>
    <row r="53" spans="15:17" x14ac:dyDescent="0.3">
      <c r="O53" s="156"/>
      <c r="Q53" s="84">
        <f t="shared" si="3"/>
        <v>0</v>
      </c>
    </row>
    <row r="54" spans="15:17" x14ac:dyDescent="0.3">
      <c r="O54" s="156"/>
      <c r="Q54" s="84">
        <f t="shared" si="3"/>
        <v>0</v>
      </c>
    </row>
    <row r="55" spans="15:17" x14ac:dyDescent="0.3">
      <c r="O55" s="156"/>
      <c r="Q55" s="84">
        <f t="shared" si="3"/>
        <v>0</v>
      </c>
    </row>
    <row r="56" spans="15:17" x14ac:dyDescent="0.3">
      <c r="O56" s="156"/>
      <c r="Q56" s="84">
        <f t="shared" si="3"/>
        <v>0</v>
      </c>
    </row>
    <row r="57" spans="15:17" x14ac:dyDescent="0.3">
      <c r="O57" s="156"/>
      <c r="Q57" s="84">
        <f t="shared" si="3"/>
        <v>0</v>
      </c>
    </row>
    <row r="58" spans="15:17" x14ac:dyDescent="0.3">
      <c r="O58" s="156"/>
      <c r="Q58" s="84">
        <f t="shared" si="3"/>
        <v>0</v>
      </c>
    </row>
    <row r="59" spans="15:17" x14ac:dyDescent="0.3">
      <c r="O59" s="156"/>
      <c r="Q59" s="84">
        <f t="shared" si="3"/>
        <v>0</v>
      </c>
    </row>
    <row r="60" spans="15:17" x14ac:dyDescent="0.3">
      <c r="O60" s="156"/>
      <c r="Q60" s="84">
        <f t="shared" si="3"/>
        <v>0</v>
      </c>
    </row>
    <row r="61" spans="15:17" x14ac:dyDescent="0.3">
      <c r="O61" s="156"/>
      <c r="Q61" s="84">
        <f t="shared" si="3"/>
        <v>0</v>
      </c>
    </row>
    <row r="62" spans="15:17" x14ac:dyDescent="0.3">
      <c r="O62" s="156"/>
      <c r="Q62" s="84">
        <f t="shared" si="3"/>
        <v>0</v>
      </c>
    </row>
    <row r="63" spans="15:17" x14ac:dyDescent="0.3">
      <c r="O63" s="156"/>
      <c r="Q63" s="84">
        <f t="shared" si="3"/>
        <v>0</v>
      </c>
    </row>
    <row r="64" spans="15:17" x14ac:dyDescent="0.3">
      <c r="O64" s="156"/>
      <c r="Q64" s="84">
        <f t="shared" si="3"/>
        <v>0</v>
      </c>
    </row>
    <row r="65" spans="15:17" x14ac:dyDescent="0.3">
      <c r="O65" s="156"/>
      <c r="Q65" s="84">
        <f t="shared" si="3"/>
        <v>0</v>
      </c>
    </row>
    <row r="66" spans="15:17" x14ac:dyDescent="0.3">
      <c r="O66" s="156"/>
      <c r="Q66" s="84">
        <f t="shared" si="3"/>
        <v>0</v>
      </c>
    </row>
    <row r="67" spans="15:17" x14ac:dyDescent="0.3">
      <c r="O67" s="156"/>
      <c r="Q67" s="84">
        <f t="shared" si="3"/>
        <v>0</v>
      </c>
    </row>
    <row r="68" spans="15:17" x14ac:dyDescent="0.3">
      <c r="O68" s="156"/>
      <c r="Q68" s="84">
        <f t="shared" si="3"/>
        <v>0</v>
      </c>
    </row>
    <row r="69" spans="15:17" x14ac:dyDescent="0.3">
      <c r="O69" s="156"/>
      <c r="Q69" s="84">
        <f t="shared" si="3"/>
        <v>0</v>
      </c>
    </row>
    <row r="70" spans="15:17" x14ac:dyDescent="0.3">
      <c r="O70" s="156"/>
      <c r="Q70" s="84">
        <f t="shared" si="3"/>
        <v>0</v>
      </c>
    </row>
    <row r="71" spans="15:17" x14ac:dyDescent="0.3">
      <c r="O71" s="156"/>
      <c r="Q71" s="84">
        <f t="shared" si="3"/>
        <v>0</v>
      </c>
    </row>
    <row r="72" spans="15:17" x14ac:dyDescent="0.3">
      <c r="O72" s="156"/>
      <c r="Q72" s="84">
        <f t="shared" si="3"/>
        <v>0</v>
      </c>
    </row>
    <row r="73" spans="15:17" x14ac:dyDescent="0.3">
      <c r="O73" s="156"/>
      <c r="Q73" s="84">
        <f t="shared" si="3"/>
        <v>0</v>
      </c>
    </row>
    <row r="74" spans="15:17" x14ac:dyDescent="0.3">
      <c r="O74" s="156"/>
      <c r="Q74" s="84">
        <f t="shared" si="3"/>
        <v>0</v>
      </c>
    </row>
    <row r="75" spans="15:17" x14ac:dyDescent="0.3">
      <c r="O75" s="156"/>
      <c r="Q75" s="84">
        <f t="shared" si="3"/>
        <v>0</v>
      </c>
    </row>
    <row r="76" spans="15:17" x14ac:dyDescent="0.3">
      <c r="O76" s="156"/>
      <c r="Q76" s="84">
        <f t="shared" si="3"/>
        <v>0</v>
      </c>
    </row>
    <row r="77" spans="15:17" x14ac:dyDescent="0.3">
      <c r="O77" s="156"/>
      <c r="Q77" s="84">
        <f t="shared" si="3"/>
        <v>0</v>
      </c>
    </row>
    <row r="78" spans="15:17" x14ac:dyDescent="0.3">
      <c r="O78" s="156"/>
      <c r="Q78" s="84">
        <f t="shared" si="3"/>
        <v>0</v>
      </c>
    </row>
    <row r="79" spans="15:17" x14ac:dyDescent="0.3">
      <c r="O79" s="156"/>
      <c r="Q79" s="84">
        <f t="shared" si="3"/>
        <v>0</v>
      </c>
    </row>
    <row r="80" spans="15:17" x14ac:dyDescent="0.3">
      <c r="O80" s="156"/>
      <c r="Q80" s="84">
        <f t="shared" si="3"/>
        <v>0</v>
      </c>
    </row>
    <row r="81" spans="15:17" x14ac:dyDescent="0.3">
      <c r="O81" s="156"/>
      <c r="Q81" s="84">
        <f t="shared" si="3"/>
        <v>0</v>
      </c>
    </row>
    <row r="82" spans="15:17" x14ac:dyDescent="0.3">
      <c r="O82" s="156"/>
      <c r="Q82" s="84">
        <f t="shared" si="3"/>
        <v>0</v>
      </c>
    </row>
    <row r="83" spans="15:17" x14ac:dyDescent="0.3">
      <c r="O83" s="156"/>
      <c r="Q83" s="84">
        <f t="shared" si="3"/>
        <v>0</v>
      </c>
    </row>
    <row r="84" spans="15:17" x14ac:dyDescent="0.3">
      <c r="O84" s="156"/>
      <c r="Q84" s="84">
        <f t="shared" si="3"/>
        <v>0</v>
      </c>
    </row>
    <row r="85" spans="15:17" x14ac:dyDescent="0.3">
      <c r="O85" s="156"/>
      <c r="Q85" s="84">
        <f t="shared" si="3"/>
        <v>0</v>
      </c>
    </row>
    <row r="86" spans="15:17" x14ac:dyDescent="0.3">
      <c r="O86" s="156"/>
      <c r="Q86" s="84">
        <f t="shared" si="3"/>
        <v>0</v>
      </c>
    </row>
    <row r="87" spans="15:17" x14ac:dyDescent="0.3">
      <c r="O87" s="156"/>
      <c r="Q87" s="84">
        <f t="shared" si="3"/>
        <v>0</v>
      </c>
    </row>
    <row r="88" spans="15:17" x14ac:dyDescent="0.3">
      <c r="O88" s="156"/>
      <c r="Q88" s="84">
        <f t="shared" si="3"/>
        <v>0</v>
      </c>
    </row>
    <row r="89" spans="15:17" x14ac:dyDescent="0.3">
      <c r="O89" s="156"/>
      <c r="Q89" s="84">
        <f t="shared" si="3"/>
        <v>0</v>
      </c>
    </row>
    <row r="90" spans="15:17" x14ac:dyDescent="0.3">
      <c r="O90" s="156"/>
      <c r="Q90" s="84">
        <f t="shared" si="3"/>
        <v>0</v>
      </c>
    </row>
    <row r="91" spans="15:17" x14ac:dyDescent="0.3">
      <c r="O91" s="156"/>
      <c r="Q91" s="84">
        <f t="shared" si="3"/>
        <v>0</v>
      </c>
    </row>
    <row r="92" spans="15:17" x14ac:dyDescent="0.3">
      <c r="O92" s="156"/>
      <c r="Q92" s="84">
        <f t="shared" si="3"/>
        <v>0</v>
      </c>
    </row>
    <row r="93" spans="15:17" x14ac:dyDescent="0.3">
      <c r="O93" s="156"/>
      <c r="Q93" s="84">
        <f t="shared" si="3"/>
        <v>0</v>
      </c>
    </row>
    <row r="94" spans="15:17" x14ac:dyDescent="0.3">
      <c r="O94" s="156"/>
      <c r="Q94" s="84">
        <f t="shared" si="3"/>
        <v>0</v>
      </c>
    </row>
    <row r="95" spans="15:17" x14ac:dyDescent="0.3">
      <c r="O95" s="156"/>
      <c r="Q95" s="84">
        <f t="shared" si="3"/>
        <v>0</v>
      </c>
    </row>
    <row r="96" spans="15:17" x14ac:dyDescent="0.3">
      <c r="O96" s="156"/>
      <c r="Q96" s="84">
        <f t="shared" si="3"/>
        <v>0</v>
      </c>
    </row>
    <row r="97" spans="15:17" x14ac:dyDescent="0.3">
      <c r="O97" s="156"/>
      <c r="Q97" s="84">
        <f t="shared" si="3"/>
        <v>0</v>
      </c>
    </row>
    <row r="98" spans="15:17" x14ac:dyDescent="0.3">
      <c r="O98" s="156"/>
      <c r="Q98" s="84">
        <f t="shared" si="3"/>
        <v>0</v>
      </c>
    </row>
    <row r="99" spans="15:17" x14ac:dyDescent="0.3">
      <c r="O99" s="156"/>
      <c r="Q99" s="84">
        <f t="shared" si="3"/>
        <v>0</v>
      </c>
    </row>
    <row r="100" spans="15:17" x14ac:dyDescent="0.3">
      <c r="O100" s="156"/>
      <c r="Q100" s="84">
        <f t="shared" si="3"/>
        <v>0</v>
      </c>
    </row>
    <row r="101" spans="15:17" x14ac:dyDescent="0.3">
      <c r="O101" s="156"/>
      <c r="Q101" s="84">
        <f t="shared" si="3"/>
        <v>0</v>
      </c>
    </row>
    <row r="102" spans="15:17" x14ac:dyDescent="0.3">
      <c r="O102" s="156"/>
      <c r="Q102" s="84">
        <f t="shared" si="3"/>
        <v>0</v>
      </c>
    </row>
    <row r="103" spans="15:17" x14ac:dyDescent="0.3">
      <c r="O103" s="156"/>
      <c r="Q103" s="84">
        <f t="shared" si="3"/>
        <v>0</v>
      </c>
    </row>
    <row r="104" spans="15:17" x14ac:dyDescent="0.3">
      <c r="O104" s="156"/>
      <c r="Q104" s="84">
        <f t="shared" si="3"/>
        <v>0</v>
      </c>
    </row>
    <row r="105" spans="15:17" x14ac:dyDescent="0.3">
      <c r="O105" s="156"/>
      <c r="Q105" s="84">
        <f t="shared" si="3"/>
        <v>0</v>
      </c>
    </row>
    <row r="106" spans="15:17" x14ac:dyDescent="0.3">
      <c r="O106" s="156"/>
      <c r="Q106" s="84">
        <f t="shared" si="3"/>
        <v>0</v>
      </c>
    </row>
    <row r="107" spans="15:17" x14ac:dyDescent="0.3">
      <c r="O107" s="156"/>
      <c r="Q107" s="84">
        <f t="shared" si="3"/>
        <v>0</v>
      </c>
    </row>
    <row r="108" spans="15:17" x14ac:dyDescent="0.3">
      <c r="O108" s="156"/>
      <c r="Q108" s="84">
        <f t="shared" si="3"/>
        <v>0</v>
      </c>
    </row>
    <row r="109" spans="15:17" x14ac:dyDescent="0.3">
      <c r="O109" s="156"/>
      <c r="Q109" s="84">
        <f t="shared" si="3"/>
        <v>0</v>
      </c>
    </row>
    <row r="110" spans="15:17" x14ac:dyDescent="0.3">
      <c r="O110" s="156"/>
      <c r="Q110" s="84">
        <f t="shared" si="3"/>
        <v>0</v>
      </c>
    </row>
    <row r="111" spans="15:17" x14ac:dyDescent="0.3">
      <c r="O111" s="156"/>
      <c r="Q111" s="84">
        <f t="shared" si="3"/>
        <v>0</v>
      </c>
    </row>
    <row r="112" spans="15:17" x14ac:dyDescent="0.3">
      <c r="O112" s="156"/>
      <c r="Q112" s="84">
        <f t="shared" si="3"/>
        <v>0</v>
      </c>
    </row>
    <row r="113" spans="15:17" x14ac:dyDescent="0.3">
      <c r="O113" s="156"/>
      <c r="Q113" s="84">
        <f t="shared" si="3"/>
        <v>0</v>
      </c>
    </row>
    <row r="114" spans="15:17" x14ac:dyDescent="0.3">
      <c r="O114" s="156"/>
      <c r="Q114" s="84">
        <f t="shared" si="3"/>
        <v>0</v>
      </c>
    </row>
    <row r="115" spans="15:17" x14ac:dyDescent="0.3">
      <c r="O115" s="156"/>
      <c r="Q115" s="84">
        <f t="shared" si="3"/>
        <v>0</v>
      </c>
    </row>
    <row r="116" spans="15:17" x14ac:dyDescent="0.3">
      <c r="O116" s="156"/>
      <c r="Q116" s="84">
        <f t="shared" si="3"/>
        <v>0</v>
      </c>
    </row>
    <row r="117" spans="15:17" x14ac:dyDescent="0.3">
      <c r="O117" s="156"/>
      <c r="Q117" s="84">
        <f t="shared" si="3"/>
        <v>0</v>
      </c>
    </row>
    <row r="118" spans="15:17" x14ac:dyDescent="0.3">
      <c r="O118" s="156"/>
      <c r="Q118" s="84">
        <f t="shared" si="3"/>
        <v>0</v>
      </c>
    </row>
    <row r="119" spans="15:17" x14ac:dyDescent="0.3">
      <c r="O119" s="156"/>
      <c r="Q119" s="84">
        <f t="shared" si="3"/>
        <v>0</v>
      </c>
    </row>
    <row r="120" spans="15:17" x14ac:dyDescent="0.3">
      <c r="O120" s="156"/>
      <c r="Q120" s="84">
        <f t="shared" si="3"/>
        <v>0</v>
      </c>
    </row>
    <row r="121" spans="15:17" x14ac:dyDescent="0.3">
      <c r="O121" s="156"/>
      <c r="Q121" s="84">
        <f t="shared" si="3"/>
        <v>0</v>
      </c>
    </row>
    <row r="122" spans="15:17" x14ac:dyDescent="0.3">
      <c r="O122" s="156"/>
      <c r="Q122" s="84">
        <f t="shared" si="3"/>
        <v>0</v>
      </c>
    </row>
    <row r="123" spans="15:17" x14ac:dyDescent="0.3">
      <c r="O123" s="156"/>
      <c r="Q123" s="84">
        <f t="shared" si="3"/>
        <v>0</v>
      </c>
    </row>
    <row r="124" spans="15:17" x14ac:dyDescent="0.3">
      <c r="O124" s="156"/>
      <c r="Q124" s="84">
        <f t="shared" si="3"/>
        <v>0</v>
      </c>
    </row>
    <row r="125" spans="15:17" x14ac:dyDescent="0.3">
      <c r="O125" s="156"/>
      <c r="Q125" s="84">
        <f t="shared" si="3"/>
        <v>0</v>
      </c>
    </row>
    <row r="126" spans="15:17" x14ac:dyDescent="0.3">
      <c r="O126" s="156"/>
      <c r="Q126" s="84">
        <f t="shared" si="3"/>
        <v>0</v>
      </c>
    </row>
    <row r="127" spans="15:17" x14ac:dyDescent="0.3">
      <c r="O127" s="156"/>
      <c r="Q127" s="84">
        <f t="shared" si="3"/>
        <v>0</v>
      </c>
    </row>
    <row r="128" spans="15:17" x14ac:dyDescent="0.3">
      <c r="O128" s="156"/>
      <c r="Q128" s="84">
        <f t="shared" si="3"/>
        <v>0</v>
      </c>
    </row>
    <row r="129" spans="15:17" x14ac:dyDescent="0.3">
      <c r="O129" s="156"/>
      <c r="Q129" s="84">
        <f t="shared" si="3"/>
        <v>0</v>
      </c>
    </row>
    <row r="130" spans="15:17" x14ac:dyDescent="0.3">
      <c r="O130" s="156"/>
      <c r="Q130" s="84">
        <f t="shared" si="3"/>
        <v>0</v>
      </c>
    </row>
    <row r="131" spans="15:17" x14ac:dyDescent="0.3">
      <c r="O131" s="156"/>
      <c r="Q131" s="84">
        <f t="shared" si="3"/>
        <v>0</v>
      </c>
    </row>
    <row r="132" spans="15:17" x14ac:dyDescent="0.3">
      <c r="O132" s="156"/>
      <c r="Q132" s="84">
        <f t="shared" si="3"/>
        <v>0</v>
      </c>
    </row>
    <row r="133" spans="15:17" x14ac:dyDescent="0.3">
      <c r="O133" s="156"/>
      <c r="Q133" s="84">
        <f t="shared" si="3"/>
        <v>0</v>
      </c>
    </row>
    <row r="134" spans="15:17" x14ac:dyDescent="0.3">
      <c r="O134" s="156"/>
      <c r="Q134" s="84">
        <f t="shared" si="3"/>
        <v>0</v>
      </c>
    </row>
    <row r="135" spans="15:17" x14ac:dyDescent="0.3">
      <c r="O135" s="156"/>
      <c r="Q135" s="84">
        <f t="shared" si="3"/>
        <v>0</v>
      </c>
    </row>
    <row r="136" spans="15:17" x14ac:dyDescent="0.3">
      <c r="O136" s="156"/>
      <c r="Q136" s="84">
        <f t="shared" si="3"/>
        <v>0</v>
      </c>
    </row>
    <row r="137" spans="15:17" x14ac:dyDescent="0.3">
      <c r="O137" s="156"/>
      <c r="Q137" s="84">
        <f t="shared" si="3"/>
        <v>0</v>
      </c>
    </row>
    <row r="138" spans="15:17" x14ac:dyDescent="0.3">
      <c r="O138" s="156"/>
      <c r="Q138" s="84">
        <f t="shared" si="3"/>
        <v>0</v>
      </c>
    </row>
    <row r="139" spans="15:17" x14ac:dyDescent="0.3">
      <c r="O139" s="156"/>
      <c r="Q139" s="84">
        <f t="shared" si="3"/>
        <v>0</v>
      </c>
    </row>
    <row r="140" spans="15:17" x14ac:dyDescent="0.3">
      <c r="O140" s="156"/>
      <c r="Q140" s="84">
        <f t="shared" si="3"/>
        <v>0</v>
      </c>
    </row>
    <row r="141" spans="15:17" x14ac:dyDescent="0.3">
      <c r="O141" s="156"/>
      <c r="Q141" s="84">
        <f t="shared" si="3"/>
        <v>0</v>
      </c>
    </row>
    <row r="142" spans="15:17" x14ac:dyDescent="0.3">
      <c r="O142" s="156"/>
      <c r="Q142" s="84">
        <f t="shared" si="3"/>
        <v>0</v>
      </c>
    </row>
    <row r="143" spans="15:17" x14ac:dyDescent="0.3">
      <c r="O143" s="156"/>
      <c r="Q143" s="84">
        <f t="shared" si="3"/>
        <v>0</v>
      </c>
    </row>
    <row r="144" spans="15:17" x14ac:dyDescent="0.3">
      <c r="O144" s="156"/>
      <c r="Q144" s="84">
        <f t="shared" si="3"/>
        <v>0</v>
      </c>
    </row>
    <row r="145" spans="15:17" x14ac:dyDescent="0.3">
      <c r="O145" s="156"/>
      <c r="Q145" s="84">
        <f t="shared" si="3"/>
        <v>0</v>
      </c>
    </row>
    <row r="146" spans="15:17" x14ac:dyDescent="0.3">
      <c r="O146" s="156"/>
      <c r="Q146" s="84">
        <f t="shared" si="3"/>
        <v>0</v>
      </c>
    </row>
    <row r="147" spans="15:17" x14ac:dyDescent="0.3">
      <c r="O147" s="156"/>
      <c r="Q147" s="84">
        <f t="shared" si="3"/>
        <v>0</v>
      </c>
    </row>
    <row r="148" spans="15:17" x14ac:dyDescent="0.3">
      <c r="O148" s="156"/>
      <c r="Q148" s="84">
        <f t="shared" si="3"/>
        <v>0</v>
      </c>
    </row>
    <row r="149" spans="15:17" x14ac:dyDescent="0.3">
      <c r="O149" s="156"/>
      <c r="Q149" s="84">
        <f t="shared" si="3"/>
        <v>0</v>
      </c>
    </row>
    <row r="150" spans="15:17" x14ac:dyDescent="0.3">
      <c r="O150" s="156"/>
      <c r="Q150" s="84">
        <f t="shared" si="3"/>
        <v>0</v>
      </c>
    </row>
    <row r="151" spans="15:17" x14ac:dyDescent="0.3">
      <c r="O151" s="156"/>
      <c r="Q151" s="84">
        <f t="shared" si="3"/>
        <v>0</v>
      </c>
    </row>
    <row r="152" spans="15:17" x14ac:dyDescent="0.3">
      <c r="O152" s="156"/>
      <c r="Q152" s="84">
        <f t="shared" si="3"/>
        <v>0</v>
      </c>
    </row>
    <row r="153" spans="15:17" x14ac:dyDescent="0.3">
      <c r="O153" s="156"/>
      <c r="Q153" s="84">
        <f t="shared" si="3"/>
        <v>0</v>
      </c>
    </row>
    <row r="154" spans="15:17" x14ac:dyDescent="0.3">
      <c r="O154" s="156"/>
      <c r="Q154" s="84">
        <f t="shared" si="3"/>
        <v>0</v>
      </c>
    </row>
    <row r="155" spans="15:17" x14ac:dyDescent="0.3">
      <c r="O155" s="156"/>
      <c r="Q155" s="84">
        <f t="shared" si="3"/>
        <v>0</v>
      </c>
    </row>
    <row r="156" spans="15:17" x14ac:dyDescent="0.3">
      <c r="O156" s="156"/>
      <c r="Q156" s="84">
        <f t="shared" si="3"/>
        <v>0</v>
      </c>
    </row>
    <row r="157" spans="15:17" x14ac:dyDescent="0.3">
      <c r="O157" s="156"/>
      <c r="Q157" s="84">
        <f t="shared" si="3"/>
        <v>0</v>
      </c>
    </row>
    <row r="158" spans="15:17" x14ac:dyDescent="0.3">
      <c r="O158" s="156"/>
      <c r="Q158" s="84">
        <f t="shared" si="3"/>
        <v>0</v>
      </c>
    </row>
    <row r="159" spans="15:17" x14ac:dyDescent="0.3">
      <c r="O159" s="156"/>
      <c r="Q159" s="84">
        <f t="shared" si="3"/>
        <v>0</v>
      </c>
    </row>
    <row r="160" spans="15:17" x14ac:dyDescent="0.3">
      <c r="O160" s="156"/>
      <c r="Q160" s="84">
        <f t="shared" si="3"/>
        <v>0</v>
      </c>
    </row>
    <row r="161" spans="15:17" x14ac:dyDescent="0.3">
      <c r="O161" s="156"/>
      <c r="Q161" s="84">
        <f t="shared" si="3"/>
        <v>0</v>
      </c>
    </row>
    <row r="162" spans="15:17" x14ac:dyDescent="0.3">
      <c r="O162" s="156"/>
      <c r="Q162" s="84">
        <f t="shared" si="3"/>
        <v>0</v>
      </c>
    </row>
    <row r="163" spans="15:17" x14ac:dyDescent="0.3">
      <c r="O163" s="156"/>
      <c r="Q163" s="84">
        <f t="shared" si="3"/>
        <v>0</v>
      </c>
    </row>
    <row r="164" spans="15:17" x14ac:dyDescent="0.3">
      <c r="O164" s="156"/>
      <c r="Q164" s="84">
        <f t="shared" si="3"/>
        <v>0</v>
      </c>
    </row>
    <row r="165" spans="15:17" x14ac:dyDescent="0.3">
      <c r="O165" s="156"/>
      <c r="Q165" s="84">
        <f t="shared" si="3"/>
        <v>0</v>
      </c>
    </row>
    <row r="166" spans="15:17" x14ac:dyDescent="0.3">
      <c r="O166" s="156"/>
      <c r="Q166" s="84">
        <f t="shared" si="3"/>
        <v>0</v>
      </c>
    </row>
    <row r="167" spans="15:17" x14ac:dyDescent="0.3">
      <c r="O167" s="156"/>
      <c r="Q167" s="84">
        <f t="shared" si="3"/>
        <v>0</v>
      </c>
    </row>
    <row r="168" spans="15:17" x14ac:dyDescent="0.3">
      <c r="O168" s="156"/>
      <c r="Q168" s="84">
        <f t="shared" si="3"/>
        <v>0</v>
      </c>
    </row>
    <row r="169" spans="15:17" x14ac:dyDescent="0.3">
      <c r="O169" s="156"/>
      <c r="Q169" s="84">
        <f t="shared" si="3"/>
        <v>0</v>
      </c>
    </row>
    <row r="170" spans="15:17" x14ac:dyDescent="0.3">
      <c r="O170" s="156"/>
      <c r="Q170" s="84">
        <f t="shared" si="3"/>
        <v>0</v>
      </c>
    </row>
    <row r="171" spans="15:17" x14ac:dyDescent="0.3">
      <c r="O171" s="156"/>
      <c r="Q171" s="84">
        <f t="shared" si="3"/>
        <v>0</v>
      </c>
    </row>
    <row r="172" spans="15:17" x14ac:dyDescent="0.3">
      <c r="O172" s="156"/>
      <c r="Q172" s="84">
        <f t="shared" si="3"/>
        <v>0</v>
      </c>
    </row>
    <row r="173" spans="15:17" x14ac:dyDescent="0.3">
      <c r="O173" s="156"/>
      <c r="Q173" s="84">
        <f t="shared" si="3"/>
        <v>0</v>
      </c>
    </row>
    <row r="174" spans="15:17" x14ac:dyDescent="0.3">
      <c r="O174" s="156"/>
      <c r="Q174" s="84">
        <f t="shared" si="3"/>
        <v>0</v>
      </c>
    </row>
    <row r="175" spans="15:17" x14ac:dyDescent="0.3">
      <c r="O175" s="156"/>
      <c r="Q175" s="84">
        <f t="shared" si="3"/>
        <v>0</v>
      </c>
    </row>
    <row r="176" spans="15:17" x14ac:dyDescent="0.3">
      <c r="O176" s="156"/>
      <c r="Q176" s="84">
        <f t="shared" si="3"/>
        <v>0</v>
      </c>
    </row>
    <row r="177" spans="15:17" x14ac:dyDescent="0.3">
      <c r="O177" s="156"/>
      <c r="Q177" s="84">
        <f t="shared" si="3"/>
        <v>0</v>
      </c>
    </row>
    <row r="178" spans="15:17" x14ac:dyDescent="0.3">
      <c r="O178" s="156"/>
      <c r="Q178" s="84">
        <f t="shared" si="3"/>
        <v>0</v>
      </c>
    </row>
    <row r="179" spans="15:17" x14ac:dyDescent="0.3">
      <c r="O179" s="156"/>
      <c r="Q179" s="84">
        <f t="shared" si="3"/>
        <v>0</v>
      </c>
    </row>
    <row r="180" spans="15:17" x14ac:dyDescent="0.3">
      <c r="O180" s="156"/>
      <c r="Q180" s="84">
        <f t="shared" si="3"/>
        <v>0</v>
      </c>
    </row>
    <row r="181" spans="15:17" x14ac:dyDescent="0.3">
      <c r="O181" s="156"/>
      <c r="Q181" s="84">
        <f t="shared" si="3"/>
        <v>0</v>
      </c>
    </row>
    <row r="182" spans="15:17" x14ac:dyDescent="0.3">
      <c r="O182" s="156"/>
      <c r="Q182" s="84">
        <f t="shared" si="3"/>
        <v>0</v>
      </c>
    </row>
    <row r="183" spans="15:17" x14ac:dyDescent="0.3">
      <c r="O183" s="156"/>
      <c r="Q183" s="84">
        <f t="shared" si="3"/>
        <v>0</v>
      </c>
    </row>
    <row r="184" spans="15:17" x14ac:dyDescent="0.3">
      <c r="O184" s="156"/>
      <c r="Q184" s="84">
        <f t="shared" si="3"/>
        <v>0</v>
      </c>
    </row>
    <row r="185" spans="15:17" x14ac:dyDescent="0.3">
      <c r="O185" s="156"/>
      <c r="Q185" s="84">
        <f t="shared" si="3"/>
        <v>0</v>
      </c>
    </row>
    <row r="186" spans="15:17" x14ac:dyDescent="0.3">
      <c r="O186" s="156"/>
      <c r="Q186" s="84">
        <f t="shared" si="3"/>
        <v>0</v>
      </c>
    </row>
    <row r="187" spans="15:17" x14ac:dyDescent="0.3">
      <c r="O187" s="156"/>
      <c r="Q187" s="84">
        <f t="shared" si="3"/>
        <v>0</v>
      </c>
    </row>
    <row r="188" spans="15:17" x14ac:dyDescent="0.3">
      <c r="O188" s="156"/>
      <c r="Q188" s="84">
        <f t="shared" si="3"/>
        <v>0</v>
      </c>
    </row>
    <row r="189" spans="15:17" x14ac:dyDescent="0.3">
      <c r="O189" s="156"/>
      <c r="Q189" s="84">
        <f t="shared" si="3"/>
        <v>0</v>
      </c>
    </row>
    <row r="190" spans="15:17" x14ac:dyDescent="0.3">
      <c r="O190" s="156"/>
      <c r="Q190" s="84">
        <f t="shared" si="3"/>
        <v>0</v>
      </c>
    </row>
    <row r="191" spans="15:17" x14ac:dyDescent="0.3">
      <c r="O191" s="156"/>
      <c r="Q191" s="84">
        <f t="shared" si="3"/>
        <v>0</v>
      </c>
    </row>
    <row r="192" spans="15:17" x14ac:dyDescent="0.3">
      <c r="O192" s="156"/>
      <c r="Q192" s="84">
        <f t="shared" si="3"/>
        <v>0</v>
      </c>
    </row>
    <row r="193" spans="15:17" x14ac:dyDescent="0.3">
      <c r="O193" s="156"/>
      <c r="Q193" s="84">
        <f t="shared" si="3"/>
        <v>0</v>
      </c>
    </row>
    <row r="194" spans="15:17" x14ac:dyDescent="0.3">
      <c r="O194" s="156"/>
      <c r="Q194" s="84">
        <f t="shared" si="3"/>
        <v>0</v>
      </c>
    </row>
    <row r="195" spans="15:17" x14ac:dyDescent="0.3">
      <c r="O195" s="156"/>
      <c r="Q195" s="84">
        <f t="shared" si="3"/>
        <v>0</v>
      </c>
    </row>
    <row r="196" spans="15:17" x14ac:dyDescent="0.3">
      <c r="O196" s="156"/>
      <c r="Q196" s="84">
        <f t="shared" si="3"/>
        <v>0</v>
      </c>
    </row>
    <row r="197" spans="15:17" x14ac:dyDescent="0.3">
      <c r="O197" s="156"/>
      <c r="Q197" s="84">
        <f t="shared" si="3"/>
        <v>0</v>
      </c>
    </row>
    <row r="198" spans="15:17" x14ac:dyDescent="0.3">
      <c r="O198" s="156"/>
      <c r="Q198" s="84">
        <f t="shared" si="3"/>
        <v>0</v>
      </c>
    </row>
    <row r="199" spans="15:17" x14ac:dyDescent="0.3">
      <c r="O199" s="156"/>
      <c r="Q199" s="84">
        <f t="shared" si="3"/>
        <v>0</v>
      </c>
    </row>
    <row r="200" spans="15:17" x14ac:dyDescent="0.3">
      <c r="O200" s="156"/>
      <c r="Q200" s="84">
        <f t="shared" si="3"/>
        <v>0</v>
      </c>
    </row>
    <row r="201" spans="15:17" x14ac:dyDescent="0.3">
      <c r="O201" s="156"/>
      <c r="Q201" s="84">
        <f t="shared" si="3"/>
        <v>0</v>
      </c>
    </row>
    <row r="202" spans="15:17" x14ac:dyDescent="0.3">
      <c r="O202" s="156"/>
      <c r="Q202" s="84">
        <f t="shared" si="3"/>
        <v>0</v>
      </c>
    </row>
    <row r="203" spans="15:17" x14ac:dyDescent="0.3">
      <c r="O203" s="156"/>
      <c r="Q203" s="84">
        <f t="shared" si="3"/>
        <v>0</v>
      </c>
    </row>
    <row r="204" spans="15:17" x14ac:dyDescent="0.3">
      <c r="O204" s="156"/>
      <c r="Q204" s="84">
        <f t="shared" si="3"/>
        <v>0</v>
      </c>
    </row>
    <row r="205" spans="15:17" x14ac:dyDescent="0.3">
      <c r="O205" s="156"/>
      <c r="Q205" s="84">
        <f t="shared" si="3"/>
        <v>0</v>
      </c>
    </row>
    <row r="206" spans="15:17" x14ac:dyDescent="0.3">
      <c r="O206" s="156"/>
      <c r="Q206" s="84">
        <f t="shared" si="3"/>
        <v>0</v>
      </c>
    </row>
    <row r="207" spans="15:17" x14ac:dyDescent="0.3">
      <c r="O207" s="156"/>
      <c r="Q207" s="84">
        <f t="shared" si="3"/>
        <v>0</v>
      </c>
    </row>
    <row r="208" spans="15:17" x14ac:dyDescent="0.3">
      <c r="O208" s="156"/>
      <c r="Q208" s="84">
        <f t="shared" si="3"/>
        <v>0</v>
      </c>
    </row>
    <row r="209" spans="15:17" x14ac:dyDescent="0.3">
      <c r="O209" s="156"/>
      <c r="Q209" s="84">
        <f t="shared" si="3"/>
        <v>0</v>
      </c>
    </row>
    <row r="210" spans="15:17" x14ac:dyDescent="0.3">
      <c r="O210" s="156"/>
      <c r="Q210" s="84">
        <f t="shared" si="3"/>
        <v>0</v>
      </c>
    </row>
    <row r="211" spans="15:17" x14ac:dyDescent="0.3">
      <c r="O211" s="156"/>
      <c r="Q211" s="84">
        <f t="shared" si="3"/>
        <v>0</v>
      </c>
    </row>
    <row r="212" spans="15:17" x14ac:dyDescent="0.3">
      <c r="O212" s="156"/>
      <c r="Q212" s="84">
        <f t="shared" si="3"/>
        <v>0</v>
      </c>
    </row>
    <row r="213" spans="15:17" x14ac:dyDescent="0.3">
      <c r="O213" s="156"/>
      <c r="Q213" s="84">
        <f t="shared" si="3"/>
        <v>0</v>
      </c>
    </row>
    <row r="214" spans="15:17" x14ac:dyDescent="0.3">
      <c r="O214" s="156"/>
      <c r="Q214" s="84">
        <f t="shared" si="3"/>
        <v>0</v>
      </c>
    </row>
    <row r="215" spans="15:17" x14ac:dyDescent="0.3">
      <c r="O215" s="156"/>
      <c r="Q215" s="84">
        <f t="shared" si="3"/>
        <v>0</v>
      </c>
    </row>
    <row r="216" spans="15:17" x14ac:dyDescent="0.3">
      <c r="O216" s="156"/>
      <c r="Q216" s="84">
        <f t="shared" si="3"/>
        <v>0</v>
      </c>
    </row>
    <row r="217" spans="15:17" x14ac:dyDescent="0.3">
      <c r="O217" s="156"/>
      <c r="Q217" s="84">
        <f t="shared" si="3"/>
        <v>0</v>
      </c>
    </row>
    <row r="218" spans="15:17" x14ac:dyDescent="0.3">
      <c r="O218" s="156"/>
      <c r="Q218" s="84">
        <f t="shared" si="3"/>
        <v>0</v>
      </c>
    </row>
    <row r="219" spans="15:17" x14ac:dyDescent="0.3">
      <c r="O219" s="156"/>
      <c r="Q219" s="84">
        <f t="shared" si="3"/>
        <v>0</v>
      </c>
    </row>
    <row r="220" spans="15:17" x14ac:dyDescent="0.3">
      <c r="O220" s="156"/>
      <c r="Q220" s="84">
        <f t="shared" si="3"/>
        <v>0</v>
      </c>
    </row>
    <row r="221" spans="15:17" x14ac:dyDescent="0.3">
      <c r="O221" s="156"/>
      <c r="Q221" s="84">
        <f t="shared" si="3"/>
        <v>0</v>
      </c>
    </row>
    <row r="222" spans="15:17" x14ac:dyDescent="0.3">
      <c r="O222" s="156"/>
      <c r="Q222" s="84">
        <f t="shared" si="3"/>
        <v>0</v>
      </c>
    </row>
    <row r="223" spans="15:17" x14ac:dyDescent="0.3">
      <c r="O223" s="156"/>
      <c r="Q223" s="84">
        <f t="shared" si="3"/>
        <v>0</v>
      </c>
    </row>
    <row r="224" spans="15:17" x14ac:dyDescent="0.3">
      <c r="O224" s="156"/>
      <c r="Q224" s="84">
        <f t="shared" si="3"/>
        <v>0</v>
      </c>
    </row>
    <row r="225" spans="15:17" x14ac:dyDescent="0.3">
      <c r="O225" s="156"/>
      <c r="Q225" s="84">
        <f t="shared" si="3"/>
        <v>0</v>
      </c>
    </row>
    <row r="226" spans="15:17" x14ac:dyDescent="0.3">
      <c r="O226" s="156"/>
      <c r="Q226" s="84">
        <f t="shared" si="3"/>
        <v>0</v>
      </c>
    </row>
    <row r="227" spans="15:17" x14ac:dyDescent="0.3">
      <c r="O227" s="156"/>
      <c r="Q227" s="84">
        <f t="shared" si="3"/>
        <v>0</v>
      </c>
    </row>
    <row r="228" spans="15:17" x14ac:dyDescent="0.3">
      <c r="O228" s="156"/>
      <c r="Q228" s="84">
        <f t="shared" si="3"/>
        <v>0</v>
      </c>
    </row>
    <row r="229" spans="15:17" x14ac:dyDescent="0.3">
      <c r="O229" s="156"/>
      <c r="Q229" s="84">
        <f t="shared" si="3"/>
        <v>0</v>
      </c>
    </row>
    <row r="230" spans="15:17" x14ac:dyDescent="0.3">
      <c r="O230" s="156"/>
      <c r="Q230" s="84">
        <f t="shared" si="3"/>
        <v>0</v>
      </c>
    </row>
    <row r="231" spans="15:17" x14ac:dyDescent="0.3">
      <c r="O231" s="156"/>
      <c r="Q231" s="84">
        <f t="shared" si="3"/>
        <v>0</v>
      </c>
    </row>
    <row r="232" spans="15:17" x14ac:dyDescent="0.3">
      <c r="O232" s="156"/>
      <c r="Q232" s="84">
        <f t="shared" si="3"/>
        <v>0</v>
      </c>
    </row>
    <row r="233" spans="15:17" x14ac:dyDescent="0.3">
      <c r="O233" s="156"/>
      <c r="Q233" s="84">
        <f t="shared" si="3"/>
        <v>0</v>
      </c>
    </row>
    <row r="234" spans="15:17" x14ac:dyDescent="0.3">
      <c r="O234" s="156"/>
      <c r="Q234" s="84">
        <f t="shared" si="3"/>
        <v>0</v>
      </c>
    </row>
    <row r="235" spans="15:17" x14ac:dyDescent="0.3">
      <c r="O235" s="156"/>
      <c r="Q235" s="84">
        <f t="shared" si="3"/>
        <v>0</v>
      </c>
    </row>
    <row r="236" spans="15:17" x14ac:dyDescent="0.3">
      <c r="O236" s="156"/>
      <c r="Q236" s="84">
        <f t="shared" si="3"/>
        <v>0</v>
      </c>
    </row>
    <row r="237" spans="15:17" x14ac:dyDescent="0.3">
      <c r="O237" s="156"/>
      <c r="Q237" s="84">
        <f t="shared" si="3"/>
        <v>0</v>
      </c>
    </row>
    <row r="238" spans="15:17" x14ac:dyDescent="0.3">
      <c r="O238" s="156"/>
      <c r="Q238" s="84">
        <f t="shared" si="3"/>
        <v>0</v>
      </c>
    </row>
    <row r="239" spans="15:17" x14ac:dyDescent="0.3">
      <c r="O239" s="156"/>
      <c r="Q239" s="84">
        <f t="shared" si="3"/>
        <v>0</v>
      </c>
    </row>
    <row r="240" spans="15:17" x14ac:dyDescent="0.3">
      <c r="O240" s="156"/>
      <c r="Q240" s="84">
        <f t="shared" si="3"/>
        <v>0</v>
      </c>
    </row>
    <row r="241" spans="15:17" x14ac:dyDescent="0.3">
      <c r="O241" s="156"/>
      <c r="Q241" s="84">
        <f t="shared" si="3"/>
        <v>0</v>
      </c>
    </row>
    <row r="242" spans="15:17" x14ac:dyDescent="0.3">
      <c r="O242" s="156"/>
      <c r="Q242" s="84">
        <f t="shared" si="3"/>
        <v>0</v>
      </c>
    </row>
    <row r="243" spans="15:17" x14ac:dyDescent="0.3">
      <c r="O243" s="156"/>
      <c r="Q243" s="84">
        <f t="shared" si="3"/>
        <v>0</v>
      </c>
    </row>
    <row r="244" spans="15:17" x14ac:dyDescent="0.3">
      <c r="O244" s="156"/>
      <c r="Q244" s="84">
        <f t="shared" si="3"/>
        <v>0</v>
      </c>
    </row>
    <row r="245" spans="15:17" x14ac:dyDescent="0.3">
      <c r="O245" s="156"/>
      <c r="Q245" s="84">
        <f t="shared" si="3"/>
        <v>0</v>
      </c>
    </row>
    <row r="246" spans="15:17" x14ac:dyDescent="0.3">
      <c r="O246" s="156"/>
      <c r="Q246" s="84">
        <f t="shared" si="3"/>
        <v>0</v>
      </c>
    </row>
    <row r="247" spans="15:17" x14ac:dyDescent="0.3">
      <c r="O247" s="156"/>
      <c r="Q247" s="84">
        <f t="shared" si="3"/>
        <v>0</v>
      </c>
    </row>
    <row r="248" spans="15:17" x14ac:dyDescent="0.3">
      <c r="O248" s="156"/>
      <c r="Q248" s="84">
        <f t="shared" si="3"/>
        <v>0</v>
      </c>
    </row>
    <row r="249" spans="15:17" x14ac:dyDescent="0.3">
      <c r="O249" s="156"/>
      <c r="Q249" s="84">
        <f t="shared" si="3"/>
        <v>0</v>
      </c>
    </row>
    <row r="250" spans="15:17" x14ac:dyDescent="0.3">
      <c r="O250" s="156"/>
      <c r="Q250" s="84">
        <f t="shared" si="3"/>
        <v>0</v>
      </c>
    </row>
    <row r="251" spans="15:17" x14ac:dyDescent="0.3">
      <c r="O251" s="156"/>
      <c r="Q251" s="84">
        <f t="shared" si="3"/>
        <v>0</v>
      </c>
    </row>
    <row r="252" spans="15:17" x14ac:dyDescent="0.3">
      <c r="O252" s="156"/>
      <c r="Q252" s="84">
        <f t="shared" si="3"/>
        <v>0</v>
      </c>
    </row>
    <row r="253" spans="15:17" x14ac:dyDescent="0.3">
      <c r="O253" s="156"/>
      <c r="Q253" s="84">
        <f t="shared" si="3"/>
        <v>0</v>
      </c>
    </row>
    <row r="254" spans="15:17" x14ac:dyDescent="0.3">
      <c r="O254" s="156"/>
      <c r="Q254" s="84">
        <f t="shared" si="3"/>
        <v>0</v>
      </c>
    </row>
    <row r="255" spans="15:17" x14ac:dyDescent="0.3">
      <c r="O255" s="156"/>
      <c r="Q255" s="84">
        <f t="shared" si="3"/>
        <v>0</v>
      </c>
    </row>
    <row r="256" spans="15:17" x14ac:dyDescent="0.3">
      <c r="O256" s="156"/>
      <c r="Q256" s="84">
        <f t="shared" si="3"/>
        <v>0</v>
      </c>
    </row>
    <row r="257" spans="15:17" x14ac:dyDescent="0.3">
      <c r="O257" s="156"/>
      <c r="Q257" s="84">
        <f t="shared" ref="Q257:Q511" si="40">SUM(R257:V257)</f>
        <v>0</v>
      </c>
    </row>
    <row r="258" spans="15:17" x14ac:dyDescent="0.3">
      <c r="O258" s="156"/>
      <c r="Q258" s="84">
        <f t="shared" si="40"/>
        <v>0</v>
      </c>
    </row>
    <row r="259" spans="15:17" x14ac:dyDescent="0.3">
      <c r="O259" s="156"/>
      <c r="Q259" s="84">
        <f t="shared" si="40"/>
        <v>0</v>
      </c>
    </row>
    <row r="260" spans="15:17" x14ac:dyDescent="0.3">
      <c r="O260" s="156"/>
      <c r="Q260" s="84">
        <f t="shared" si="40"/>
        <v>0</v>
      </c>
    </row>
    <row r="261" spans="15:17" x14ac:dyDescent="0.3">
      <c r="O261" s="156"/>
      <c r="Q261" s="84">
        <f t="shared" si="40"/>
        <v>0</v>
      </c>
    </row>
    <row r="262" spans="15:17" x14ac:dyDescent="0.3">
      <c r="O262" s="156"/>
      <c r="Q262" s="84">
        <f t="shared" si="40"/>
        <v>0</v>
      </c>
    </row>
    <row r="263" spans="15:17" x14ac:dyDescent="0.3">
      <c r="O263" s="156"/>
      <c r="Q263" s="84">
        <f t="shared" si="40"/>
        <v>0</v>
      </c>
    </row>
    <row r="264" spans="15:17" x14ac:dyDescent="0.3">
      <c r="O264" s="156"/>
      <c r="Q264" s="84">
        <f t="shared" si="40"/>
        <v>0</v>
      </c>
    </row>
    <row r="265" spans="15:17" x14ac:dyDescent="0.3">
      <c r="O265" s="156"/>
      <c r="Q265" s="84">
        <f t="shared" si="40"/>
        <v>0</v>
      </c>
    </row>
    <row r="266" spans="15:17" x14ac:dyDescent="0.3">
      <c r="O266" s="156"/>
      <c r="Q266" s="84">
        <f t="shared" si="40"/>
        <v>0</v>
      </c>
    </row>
    <row r="267" spans="15:17" x14ac:dyDescent="0.3">
      <c r="O267" s="156"/>
      <c r="Q267" s="84">
        <f t="shared" si="40"/>
        <v>0</v>
      </c>
    </row>
    <row r="268" spans="15:17" x14ac:dyDescent="0.3">
      <c r="O268" s="156"/>
      <c r="Q268" s="84">
        <f t="shared" si="40"/>
        <v>0</v>
      </c>
    </row>
    <row r="269" spans="15:17" x14ac:dyDescent="0.3">
      <c r="O269" s="156"/>
      <c r="Q269" s="84">
        <f t="shared" si="40"/>
        <v>0</v>
      </c>
    </row>
    <row r="270" spans="15:17" x14ac:dyDescent="0.3">
      <c r="O270" s="156"/>
      <c r="Q270" s="84">
        <f t="shared" si="40"/>
        <v>0</v>
      </c>
    </row>
    <row r="271" spans="15:17" x14ac:dyDescent="0.3">
      <c r="O271" s="156"/>
      <c r="Q271" s="84">
        <f t="shared" si="40"/>
        <v>0</v>
      </c>
    </row>
    <row r="272" spans="15:17" x14ac:dyDescent="0.3">
      <c r="O272" s="156"/>
      <c r="Q272" s="84">
        <f t="shared" si="40"/>
        <v>0</v>
      </c>
    </row>
    <row r="273" spans="15:17" x14ac:dyDescent="0.3">
      <c r="O273" s="156"/>
      <c r="Q273" s="84">
        <f t="shared" si="40"/>
        <v>0</v>
      </c>
    </row>
    <row r="274" spans="15:17" x14ac:dyDescent="0.3">
      <c r="O274" s="156"/>
      <c r="Q274" s="84">
        <f t="shared" si="40"/>
        <v>0</v>
      </c>
    </row>
    <row r="275" spans="15:17" x14ac:dyDescent="0.3">
      <c r="O275" s="156"/>
      <c r="Q275" s="84">
        <f t="shared" si="40"/>
        <v>0</v>
      </c>
    </row>
    <row r="276" spans="15:17" x14ac:dyDescent="0.3">
      <c r="O276" s="156"/>
      <c r="Q276" s="84">
        <f t="shared" si="40"/>
        <v>0</v>
      </c>
    </row>
    <row r="277" spans="15:17" x14ac:dyDescent="0.3">
      <c r="O277" s="156"/>
      <c r="Q277" s="84">
        <f t="shared" si="40"/>
        <v>0</v>
      </c>
    </row>
    <row r="278" spans="15:17" x14ac:dyDescent="0.3">
      <c r="O278" s="156"/>
      <c r="Q278" s="84">
        <f t="shared" si="40"/>
        <v>0</v>
      </c>
    </row>
    <row r="279" spans="15:17" x14ac:dyDescent="0.3">
      <c r="O279" s="156"/>
      <c r="Q279" s="84">
        <f t="shared" si="40"/>
        <v>0</v>
      </c>
    </row>
    <row r="280" spans="15:17" x14ac:dyDescent="0.3">
      <c r="O280" s="156"/>
      <c r="Q280" s="84">
        <f t="shared" si="40"/>
        <v>0</v>
      </c>
    </row>
    <row r="281" spans="15:17" x14ac:dyDescent="0.3">
      <c r="O281" s="156"/>
      <c r="Q281" s="84">
        <f t="shared" si="40"/>
        <v>0</v>
      </c>
    </row>
    <row r="282" spans="15:17" x14ac:dyDescent="0.3">
      <c r="O282" s="156"/>
      <c r="Q282" s="84">
        <f t="shared" si="40"/>
        <v>0</v>
      </c>
    </row>
    <row r="283" spans="15:17" x14ac:dyDescent="0.3">
      <c r="O283" s="156"/>
      <c r="Q283" s="84">
        <f t="shared" si="40"/>
        <v>0</v>
      </c>
    </row>
    <row r="284" spans="15:17" x14ac:dyDescent="0.3">
      <c r="O284" s="156"/>
      <c r="Q284" s="84">
        <f t="shared" si="40"/>
        <v>0</v>
      </c>
    </row>
    <row r="285" spans="15:17" x14ac:dyDescent="0.3">
      <c r="O285" s="156"/>
      <c r="Q285" s="84">
        <f t="shared" si="40"/>
        <v>0</v>
      </c>
    </row>
    <row r="286" spans="15:17" x14ac:dyDescent="0.3">
      <c r="O286" s="156"/>
      <c r="Q286" s="84">
        <f t="shared" si="40"/>
        <v>0</v>
      </c>
    </row>
    <row r="287" spans="15:17" x14ac:dyDescent="0.3">
      <c r="O287" s="156"/>
      <c r="Q287" s="84">
        <f t="shared" si="40"/>
        <v>0</v>
      </c>
    </row>
    <row r="288" spans="15:17" x14ac:dyDescent="0.3">
      <c r="O288" s="156"/>
      <c r="Q288" s="84">
        <f t="shared" si="40"/>
        <v>0</v>
      </c>
    </row>
    <row r="289" spans="15:17" x14ac:dyDescent="0.3">
      <c r="O289" s="156"/>
      <c r="Q289" s="84">
        <f t="shared" si="40"/>
        <v>0</v>
      </c>
    </row>
    <row r="290" spans="15:17" x14ac:dyDescent="0.3">
      <c r="O290" s="156"/>
      <c r="Q290" s="84">
        <f t="shared" si="40"/>
        <v>0</v>
      </c>
    </row>
    <row r="291" spans="15:17" x14ac:dyDescent="0.3">
      <c r="O291" s="156"/>
      <c r="Q291" s="84">
        <f t="shared" si="40"/>
        <v>0</v>
      </c>
    </row>
    <row r="292" spans="15:17" x14ac:dyDescent="0.3">
      <c r="O292" s="156"/>
      <c r="Q292" s="84">
        <f t="shared" si="40"/>
        <v>0</v>
      </c>
    </row>
    <row r="293" spans="15:17" x14ac:dyDescent="0.3">
      <c r="O293" s="156"/>
      <c r="Q293" s="84">
        <f t="shared" si="40"/>
        <v>0</v>
      </c>
    </row>
    <row r="294" spans="15:17" x14ac:dyDescent="0.3">
      <c r="O294" s="156"/>
      <c r="Q294" s="84">
        <f t="shared" si="40"/>
        <v>0</v>
      </c>
    </row>
    <row r="295" spans="15:17" x14ac:dyDescent="0.3">
      <c r="O295" s="156"/>
      <c r="Q295" s="84">
        <f t="shared" si="40"/>
        <v>0</v>
      </c>
    </row>
    <row r="296" spans="15:17" x14ac:dyDescent="0.3">
      <c r="O296" s="156"/>
      <c r="Q296" s="84">
        <f t="shared" si="40"/>
        <v>0</v>
      </c>
    </row>
    <row r="297" spans="15:17" x14ac:dyDescent="0.3">
      <c r="O297" s="156"/>
      <c r="Q297" s="84">
        <f t="shared" si="40"/>
        <v>0</v>
      </c>
    </row>
    <row r="298" spans="15:17" x14ac:dyDescent="0.3">
      <c r="O298" s="156"/>
      <c r="Q298" s="84">
        <f t="shared" si="40"/>
        <v>0</v>
      </c>
    </row>
    <row r="299" spans="15:17" x14ac:dyDescent="0.3">
      <c r="O299" s="156"/>
      <c r="Q299" s="84">
        <f t="shared" si="40"/>
        <v>0</v>
      </c>
    </row>
    <row r="300" spans="15:17" x14ac:dyDescent="0.3">
      <c r="O300" s="156"/>
      <c r="Q300" s="84">
        <f t="shared" si="40"/>
        <v>0</v>
      </c>
    </row>
    <row r="301" spans="15:17" x14ac:dyDescent="0.3">
      <c r="O301" s="156"/>
      <c r="Q301" s="84">
        <f t="shared" si="40"/>
        <v>0</v>
      </c>
    </row>
    <row r="302" spans="15:17" x14ac:dyDescent="0.3">
      <c r="O302" s="156"/>
      <c r="Q302" s="84">
        <f t="shared" si="40"/>
        <v>0</v>
      </c>
    </row>
    <row r="303" spans="15:17" x14ac:dyDescent="0.3">
      <c r="O303" s="156"/>
      <c r="Q303" s="84">
        <f t="shared" si="40"/>
        <v>0</v>
      </c>
    </row>
    <row r="304" spans="15:17" x14ac:dyDescent="0.3">
      <c r="O304" s="156"/>
      <c r="Q304" s="84">
        <f t="shared" si="40"/>
        <v>0</v>
      </c>
    </row>
    <row r="305" spans="15:17" x14ac:dyDescent="0.3">
      <c r="O305" s="156"/>
      <c r="Q305" s="84">
        <f t="shared" si="40"/>
        <v>0</v>
      </c>
    </row>
    <row r="306" spans="15:17" x14ac:dyDescent="0.3">
      <c r="O306" s="156"/>
      <c r="Q306" s="84">
        <f t="shared" si="40"/>
        <v>0</v>
      </c>
    </row>
    <row r="307" spans="15:17" x14ac:dyDescent="0.3">
      <c r="O307" s="156"/>
      <c r="Q307" s="84">
        <f t="shared" si="40"/>
        <v>0</v>
      </c>
    </row>
    <row r="308" spans="15:17" x14ac:dyDescent="0.3">
      <c r="O308" s="156"/>
      <c r="Q308" s="84">
        <f t="shared" si="40"/>
        <v>0</v>
      </c>
    </row>
    <row r="309" spans="15:17" x14ac:dyDescent="0.3">
      <c r="O309" s="156"/>
      <c r="Q309" s="84">
        <f t="shared" si="40"/>
        <v>0</v>
      </c>
    </row>
    <row r="310" spans="15:17" x14ac:dyDescent="0.3">
      <c r="O310" s="156"/>
      <c r="Q310" s="84">
        <f t="shared" si="40"/>
        <v>0</v>
      </c>
    </row>
    <row r="311" spans="15:17" x14ac:dyDescent="0.3">
      <c r="O311" s="156"/>
      <c r="Q311" s="84">
        <f t="shared" si="40"/>
        <v>0</v>
      </c>
    </row>
    <row r="312" spans="15:17" x14ac:dyDescent="0.3">
      <c r="O312" s="156"/>
      <c r="Q312" s="84">
        <f t="shared" si="40"/>
        <v>0</v>
      </c>
    </row>
    <row r="313" spans="15:17" x14ac:dyDescent="0.3">
      <c r="O313" s="156"/>
      <c r="Q313" s="84">
        <f t="shared" si="40"/>
        <v>0</v>
      </c>
    </row>
    <row r="314" spans="15:17" x14ac:dyDescent="0.3">
      <c r="O314" s="156"/>
      <c r="Q314" s="84">
        <f t="shared" si="40"/>
        <v>0</v>
      </c>
    </row>
    <row r="315" spans="15:17" x14ac:dyDescent="0.3">
      <c r="O315" s="156"/>
      <c r="Q315" s="84">
        <f t="shared" si="40"/>
        <v>0</v>
      </c>
    </row>
    <row r="316" spans="15:17" x14ac:dyDescent="0.3">
      <c r="O316" s="156"/>
      <c r="Q316" s="84">
        <f t="shared" si="40"/>
        <v>0</v>
      </c>
    </row>
    <row r="317" spans="15:17" x14ac:dyDescent="0.3">
      <c r="O317" s="156"/>
      <c r="Q317" s="84">
        <f t="shared" si="40"/>
        <v>0</v>
      </c>
    </row>
    <row r="318" spans="15:17" x14ac:dyDescent="0.3">
      <c r="O318" s="156"/>
      <c r="Q318" s="84">
        <f t="shared" si="40"/>
        <v>0</v>
      </c>
    </row>
    <row r="319" spans="15:17" x14ac:dyDescent="0.3">
      <c r="O319" s="156"/>
      <c r="Q319" s="84">
        <f t="shared" si="40"/>
        <v>0</v>
      </c>
    </row>
    <row r="320" spans="15:17" x14ac:dyDescent="0.3">
      <c r="O320" s="156"/>
      <c r="Q320" s="84">
        <f t="shared" si="40"/>
        <v>0</v>
      </c>
    </row>
    <row r="321" spans="15:17" x14ac:dyDescent="0.3">
      <c r="O321" s="156"/>
      <c r="Q321" s="84">
        <f t="shared" si="40"/>
        <v>0</v>
      </c>
    </row>
    <row r="322" spans="15:17" x14ac:dyDescent="0.3">
      <c r="O322" s="156"/>
      <c r="Q322" s="84">
        <f t="shared" si="40"/>
        <v>0</v>
      </c>
    </row>
    <row r="323" spans="15:17" x14ac:dyDescent="0.3">
      <c r="O323" s="156"/>
      <c r="Q323" s="84">
        <f t="shared" si="40"/>
        <v>0</v>
      </c>
    </row>
    <row r="324" spans="15:17" x14ac:dyDescent="0.3">
      <c r="O324" s="156"/>
      <c r="Q324" s="84">
        <f t="shared" si="40"/>
        <v>0</v>
      </c>
    </row>
    <row r="325" spans="15:17" x14ac:dyDescent="0.3">
      <c r="O325" s="156"/>
      <c r="Q325" s="84">
        <f t="shared" si="40"/>
        <v>0</v>
      </c>
    </row>
    <row r="326" spans="15:17" x14ac:dyDescent="0.3">
      <c r="O326" s="156"/>
      <c r="Q326" s="84">
        <f t="shared" si="40"/>
        <v>0</v>
      </c>
    </row>
    <row r="327" spans="15:17" x14ac:dyDescent="0.3">
      <c r="O327" s="156"/>
      <c r="Q327" s="84">
        <f t="shared" si="40"/>
        <v>0</v>
      </c>
    </row>
    <row r="328" spans="15:17" x14ac:dyDescent="0.3">
      <c r="O328" s="156"/>
      <c r="Q328" s="84">
        <f t="shared" si="40"/>
        <v>0</v>
      </c>
    </row>
    <row r="329" spans="15:17" x14ac:dyDescent="0.3">
      <c r="O329" s="156"/>
      <c r="Q329" s="84">
        <f t="shared" si="40"/>
        <v>0</v>
      </c>
    </row>
    <row r="330" spans="15:17" x14ac:dyDescent="0.3">
      <c r="O330" s="156"/>
      <c r="Q330" s="84">
        <f t="shared" si="40"/>
        <v>0</v>
      </c>
    </row>
    <row r="331" spans="15:17" x14ac:dyDescent="0.3">
      <c r="O331" s="156"/>
      <c r="Q331" s="84">
        <f t="shared" si="40"/>
        <v>0</v>
      </c>
    </row>
    <row r="332" spans="15:17" x14ac:dyDescent="0.3">
      <c r="O332" s="156"/>
      <c r="Q332" s="84">
        <f t="shared" si="40"/>
        <v>0</v>
      </c>
    </row>
    <row r="333" spans="15:17" x14ac:dyDescent="0.3">
      <c r="O333" s="156"/>
      <c r="Q333" s="84">
        <f t="shared" si="40"/>
        <v>0</v>
      </c>
    </row>
    <row r="334" spans="15:17" x14ac:dyDescent="0.3">
      <c r="O334" s="156"/>
      <c r="Q334" s="84">
        <f t="shared" si="40"/>
        <v>0</v>
      </c>
    </row>
    <row r="335" spans="15:17" x14ac:dyDescent="0.3">
      <c r="O335" s="156"/>
      <c r="Q335" s="84">
        <f t="shared" si="40"/>
        <v>0</v>
      </c>
    </row>
    <row r="336" spans="15:17" x14ac:dyDescent="0.3">
      <c r="O336" s="156"/>
      <c r="Q336" s="84">
        <f t="shared" si="40"/>
        <v>0</v>
      </c>
    </row>
    <row r="337" spans="15:17" x14ac:dyDescent="0.3">
      <c r="O337" s="156"/>
      <c r="Q337" s="84">
        <f t="shared" si="40"/>
        <v>0</v>
      </c>
    </row>
    <row r="338" spans="15:17" x14ac:dyDescent="0.3">
      <c r="O338" s="156"/>
      <c r="Q338" s="84">
        <f t="shared" si="40"/>
        <v>0</v>
      </c>
    </row>
    <row r="339" spans="15:17" x14ac:dyDescent="0.3">
      <c r="O339" s="156"/>
      <c r="Q339" s="84">
        <f t="shared" si="40"/>
        <v>0</v>
      </c>
    </row>
    <row r="340" spans="15:17" x14ac:dyDescent="0.3">
      <c r="O340" s="156"/>
      <c r="Q340" s="84">
        <f t="shared" si="40"/>
        <v>0</v>
      </c>
    </row>
    <row r="341" spans="15:17" x14ac:dyDescent="0.3">
      <c r="O341" s="156"/>
      <c r="Q341" s="84">
        <f t="shared" si="40"/>
        <v>0</v>
      </c>
    </row>
    <row r="342" spans="15:17" x14ac:dyDescent="0.3">
      <c r="O342" s="156"/>
      <c r="Q342" s="84">
        <f t="shared" si="40"/>
        <v>0</v>
      </c>
    </row>
    <row r="343" spans="15:17" x14ac:dyDescent="0.3">
      <c r="O343" s="156"/>
      <c r="Q343" s="84">
        <f t="shared" si="40"/>
        <v>0</v>
      </c>
    </row>
    <row r="344" spans="15:17" x14ac:dyDescent="0.3">
      <c r="O344" s="156"/>
      <c r="Q344" s="84">
        <f t="shared" si="40"/>
        <v>0</v>
      </c>
    </row>
    <row r="345" spans="15:17" x14ac:dyDescent="0.3">
      <c r="O345" s="156"/>
      <c r="Q345" s="84">
        <f t="shared" si="40"/>
        <v>0</v>
      </c>
    </row>
    <row r="346" spans="15:17" x14ac:dyDescent="0.3">
      <c r="O346" s="156"/>
      <c r="Q346" s="84">
        <f t="shared" si="40"/>
        <v>0</v>
      </c>
    </row>
    <row r="347" spans="15:17" x14ac:dyDescent="0.3">
      <c r="O347" s="156"/>
      <c r="Q347" s="84">
        <f t="shared" si="40"/>
        <v>0</v>
      </c>
    </row>
    <row r="348" spans="15:17" x14ac:dyDescent="0.3">
      <c r="O348" s="156"/>
      <c r="Q348" s="84">
        <f t="shared" si="40"/>
        <v>0</v>
      </c>
    </row>
    <row r="349" spans="15:17" x14ac:dyDescent="0.3">
      <c r="O349" s="156"/>
      <c r="Q349" s="84">
        <f t="shared" si="40"/>
        <v>0</v>
      </c>
    </row>
    <row r="350" spans="15:17" x14ac:dyDescent="0.3">
      <c r="O350" s="156"/>
      <c r="Q350" s="84">
        <f t="shared" si="40"/>
        <v>0</v>
      </c>
    </row>
    <row r="351" spans="15:17" x14ac:dyDescent="0.3">
      <c r="O351" s="156"/>
      <c r="Q351" s="84">
        <f t="shared" si="40"/>
        <v>0</v>
      </c>
    </row>
    <row r="352" spans="15:17" x14ac:dyDescent="0.3">
      <c r="O352" s="156"/>
      <c r="Q352" s="84">
        <f t="shared" si="40"/>
        <v>0</v>
      </c>
    </row>
    <row r="353" spans="15:17" x14ac:dyDescent="0.3">
      <c r="O353" s="156"/>
      <c r="Q353" s="84">
        <f t="shared" si="40"/>
        <v>0</v>
      </c>
    </row>
    <row r="354" spans="15:17" x14ac:dyDescent="0.3">
      <c r="O354" s="156"/>
      <c r="Q354" s="84">
        <f t="shared" si="40"/>
        <v>0</v>
      </c>
    </row>
    <row r="355" spans="15:17" x14ac:dyDescent="0.3">
      <c r="O355" s="156"/>
      <c r="Q355" s="84">
        <f t="shared" si="40"/>
        <v>0</v>
      </c>
    </row>
    <row r="356" spans="15:17" x14ac:dyDescent="0.3">
      <c r="O356" s="156"/>
      <c r="Q356" s="84">
        <f t="shared" si="40"/>
        <v>0</v>
      </c>
    </row>
    <row r="357" spans="15:17" x14ac:dyDescent="0.3">
      <c r="O357" s="156"/>
      <c r="Q357" s="84">
        <f t="shared" si="40"/>
        <v>0</v>
      </c>
    </row>
    <row r="358" spans="15:17" x14ac:dyDescent="0.3">
      <c r="O358" s="156"/>
      <c r="Q358" s="84">
        <f t="shared" si="40"/>
        <v>0</v>
      </c>
    </row>
    <row r="359" spans="15:17" x14ac:dyDescent="0.3">
      <c r="O359" s="156"/>
      <c r="Q359" s="84">
        <f t="shared" si="40"/>
        <v>0</v>
      </c>
    </row>
    <row r="360" spans="15:17" x14ac:dyDescent="0.3">
      <c r="O360" s="156"/>
      <c r="Q360" s="84">
        <f t="shared" si="40"/>
        <v>0</v>
      </c>
    </row>
    <row r="361" spans="15:17" x14ac:dyDescent="0.3">
      <c r="O361" s="156"/>
      <c r="Q361" s="84">
        <f t="shared" si="40"/>
        <v>0</v>
      </c>
    </row>
    <row r="362" spans="15:17" x14ac:dyDescent="0.3">
      <c r="O362" s="156"/>
      <c r="Q362" s="84">
        <f t="shared" si="40"/>
        <v>0</v>
      </c>
    </row>
    <row r="363" spans="15:17" x14ac:dyDescent="0.3">
      <c r="O363" s="156"/>
      <c r="Q363" s="84">
        <f t="shared" si="40"/>
        <v>0</v>
      </c>
    </row>
    <row r="364" spans="15:17" x14ac:dyDescent="0.3">
      <c r="O364" s="156"/>
      <c r="Q364" s="84">
        <f t="shared" si="40"/>
        <v>0</v>
      </c>
    </row>
    <row r="365" spans="15:17" x14ac:dyDescent="0.3">
      <c r="O365" s="156"/>
      <c r="Q365" s="84">
        <f t="shared" si="40"/>
        <v>0</v>
      </c>
    </row>
    <row r="366" spans="15:17" x14ac:dyDescent="0.3">
      <c r="O366" s="156"/>
      <c r="Q366" s="84">
        <f t="shared" si="40"/>
        <v>0</v>
      </c>
    </row>
    <row r="367" spans="15:17" x14ac:dyDescent="0.3">
      <c r="O367" s="156"/>
      <c r="Q367" s="84">
        <f t="shared" si="40"/>
        <v>0</v>
      </c>
    </row>
    <row r="368" spans="15:17" x14ac:dyDescent="0.3">
      <c r="O368" s="156"/>
      <c r="Q368" s="84">
        <f t="shared" si="40"/>
        <v>0</v>
      </c>
    </row>
    <row r="369" spans="15:17" x14ac:dyDescent="0.3">
      <c r="O369" s="156"/>
      <c r="Q369" s="84">
        <f t="shared" si="40"/>
        <v>0</v>
      </c>
    </row>
    <row r="370" spans="15:17" x14ac:dyDescent="0.3">
      <c r="O370" s="156"/>
      <c r="Q370" s="84">
        <f t="shared" si="40"/>
        <v>0</v>
      </c>
    </row>
    <row r="371" spans="15:17" x14ac:dyDescent="0.3">
      <c r="O371" s="156"/>
      <c r="Q371" s="84">
        <f t="shared" si="40"/>
        <v>0</v>
      </c>
    </row>
    <row r="372" spans="15:17" x14ac:dyDescent="0.3">
      <c r="O372" s="156"/>
      <c r="Q372" s="84">
        <f t="shared" si="40"/>
        <v>0</v>
      </c>
    </row>
    <row r="373" spans="15:17" x14ac:dyDescent="0.3">
      <c r="O373" s="156"/>
      <c r="Q373" s="84">
        <f t="shared" si="40"/>
        <v>0</v>
      </c>
    </row>
    <row r="374" spans="15:17" x14ac:dyDescent="0.3">
      <c r="O374" s="156"/>
      <c r="Q374" s="84">
        <f t="shared" si="40"/>
        <v>0</v>
      </c>
    </row>
    <row r="375" spans="15:17" x14ac:dyDescent="0.3">
      <c r="O375" s="156"/>
      <c r="Q375" s="84">
        <f t="shared" si="40"/>
        <v>0</v>
      </c>
    </row>
    <row r="376" spans="15:17" x14ac:dyDescent="0.3">
      <c r="O376" s="156"/>
      <c r="Q376" s="84">
        <f t="shared" si="40"/>
        <v>0</v>
      </c>
    </row>
    <row r="377" spans="15:17" x14ac:dyDescent="0.3">
      <c r="O377" s="156"/>
      <c r="Q377" s="84">
        <f t="shared" si="40"/>
        <v>0</v>
      </c>
    </row>
    <row r="378" spans="15:17" x14ac:dyDescent="0.3">
      <c r="O378" s="156"/>
      <c r="Q378" s="84">
        <f t="shared" si="40"/>
        <v>0</v>
      </c>
    </row>
    <row r="379" spans="15:17" x14ac:dyDescent="0.3">
      <c r="O379" s="156"/>
      <c r="Q379" s="84">
        <f t="shared" si="40"/>
        <v>0</v>
      </c>
    </row>
    <row r="380" spans="15:17" x14ac:dyDescent="0.3">
      <c r="O380" s="156"/>
      <c r="Q380" s="84">
        <f t="shared" si="40"/>
        <v>0</v>
      </c>
    </row>
    <row r="381" spans="15:17" x14ac:dyDescent="0.3">
      <c r="O381" s="156"/>
      <c r="Q381" s="84">
        <f t="shared" si="40"/>
        <v>0</v>
      </c>
    </row>
    <row r="382" spans="15:17" x14ac:dyDescent="0.3">
      <c r="O382" s="156"/>
      <c r="Q382" s="84">
        <f t="shared" si="40"/>
        <v>0</v>
      </c>
    </row>
    <row r="383" spans="15:17" x14ac:dyDescent="0.3">
      <c r="O383" s="156"/>
      <c r="Q383" s="84">
        <f t="shared" si="40"/>
        <v>0</v>
      </c>
    </row>
    <row r="384" spans="15:17" x14ac:dyDescent="0.3">
      <c r="O384" s="156"/>
      <c r="Q384" s="84">
        <f t="shared" si="40"/>
        <v>0</v>
      </c>
    </row>
    <row r="385" spans="15:17" x14ac:dyDescent="0.3">
      <c r="O385" s="156"/>
      <c r="Q385" s="84">
        <f t="shared" si="40"/>
        <v>0</v>
      </c>
    </row>
    <row r="386" spans="15:17" x14ac:dyDescent="0.3">
      <c r="O386" s="156"/>
      <c r="Q386" s="84">
        <f t="shared" si="40"/>
        <v>0</v>
      </c>
    </row>
    <row r="387" spans="15:17" x14ac:dyDescent="0.3">
      <c r="O387" s="156"/>
      <c r="Q387" s="84">
        <f t="shared" si="40"/>
        <v>0</v>
      </c>
    </row>
    <row r="388" spans="15:17" x14ac:dyDescent="0.3">
      <c r="O388" s="156"/>
      <c r="Q388" s="84">
        <f t="shared" si="40"/>
        <v>0</v>
      </c>
    </row>
    <row r="389" spans="15:17" x14ac:dyDescent="0.3">
      <c r="O389" s="156"/>
      <c r="Q389" s="84">
        <f t="shared" si="40"/>
        <v>0</v>
      </c>
    </row>
    <row r="390" spans="15:17" x14ac:dyDescent="0.3">
      <c r="O390" s="156"/>
      <c r="Q390" s="84">
        <f t="shared" si="40"/>
        <v>0</v>
      </c>
    </row>
    <row r="391" spans="15:17" x14ac:dyDescent="0.3">
      <c r="O391" s="156"/>
      <c r="Q391" s="84">
        <f t="shared" si="40"/>
        <v>0</v>
      </c>
    </row>
    <row r="392" spans="15:17" x14ac:dyDescent="0.3">
      <c r="O392" s="156"/>
      <c r="Q392" s="84">
        <f t="shared" si="40"/>
        <v>0</v>
      </c>
    </row>
    <row r="393" spans="15:17" x14ac:dyDescent="0.3">
      <c r="O393" s="156"/>
      <c r="Q393" s="84">
        <f t="shared" si="40"/>
        <v>0</v>
      </c>
    </row>
    <row r="394" spans="15:17" x14ac:dyDescent="0.3">
      <c r="O394" s="156"/>
      <c r="Q394" s="84">
        <f t="shared" si="40"/>
        <v>0</v>
      </c>
    </row>
    <row r="395" spans="15:17" x14ac:dyDescent="0.3">
      <c r="O395" s="156"/>
      <c r="Q395" s="84">
        <f t="shared" si="40"/>
        <v>0</v>
      </c>
    </row>
    <row r="396" spans="15:17" x14ac:dyDescent="0.3">
      <c r="O396" s="156"/>
      <c r="Q396" s="84">
        <f t="shared" si="40"/>
        <v>0</v>
      </c>
    </row>
    <row r="397" spans="15:17" x14ac:dyDescent="0.3">
      <c r="O397" s="156"/>
      <c r="Q397" s="84">
        <f t="shared" si="40"/>
        <v>0</v>
      </c>
    </row>
    <row r="398" spans="15:17" x14ac:dyDescent="0.3">
      <c r="O398" s="156"/>
      <c r="Q398" s="84">
        <f t="shared" si="40"/>
        <v>0</v>
      </c>
    </row>
    <row r="399" spans="15:17" x14ac:dyDescent="0.3">
      <c r="O399" s="156"/>
      <c r="Q399" s="84">
        <f t="shared" si="40"/>
        <v>0</v>
      </c>
    </row>
    <row r="400" spans="15:17" x14ac:dyDescent="0.3">
      <c r="O400" s="156"/>
      <c r="Q400" s="84">
        <f t="shared" si="40"/>
        <v>0</v>
      </c>
    </row>
    <row r="401" spans="15:17" x14ac:dyDescent="0.3">
      <c r="O401" s="156"/>
      <c r="Q401" s="84">
        <f t="shared" si="40"/>
        <v>0</v>
      </c>
    </row>
    <row r="402" spans="15:17" x14ac:dyDescent="0.3">
      <c r="O402" s="156"/>
      <c r="Q402" s="84">
        <f t="shared" si="40"/>
        <v>0</v>
      </c>
    </row>
    <row r="403" spans="15:17" x14ac:dyDescent="0.3">
      <c r="O403" s="156"/>
      <c r="Q403" s="84">
        <f t="shared" si="40"/>
        <v>0</v>
      </c>
    </row>
    <row r="404" spans="15:17" x14ac:dyDescent="0.3">
      <c r="O404" s="156"/>
      <c r="Q404" s="84">
        <f t="shared" si="40"/>
        <v>0</v>
      </c>
    </row>
    <row r="405" spans="15:17" x14ac:dyDescent="0.3">
      <c r="O405" s="156"/>
      <c r="Q405" s="84">
        <f t="shared" si="40"/>
        <v>0</v>
      </c>
    </row>
    <row r="406" spans="15:17" x14ac:dyDescent="0.3">
      <c r="O406" s="156"/>
      <c r="Q406" s="84">
        <f t="shared" si="40"/>
        <v>0</v>
      </c>
    </row>
    <row r="407" spans="15:17" x14ac:dyDescent="0.3">
      <c r="O407" s="156"/>
      <c r="Q407" s="84">
        <f t="shared" si="40"/>
        <v>0</v>
      </c>
    </row>
    <row r="408" spans="15:17" x14ac:dyDescent="0.3">
      <c r="O408" s="156"/>
      <c r="Q408" s="84">
        <f t="shared" si="40"/>
        <v>0</v>
      </c>
    </row>
    <row r="409" spans="15:17" x14ac:dyDescent="0.3">
      <c r="O409" s="156"/>
      <c r="Q409" s="84">
        <f t="shared" si="40"/>
        <v>0</v>
      </c>
    </row>
    <row r="410" spans="15:17" x14ac:dyDescent="0.3">
      <c r="O410" s="156"/>
      <c r="Q410" s="84">
        <f t="shared" si="40"/>
        <v>0</v>
      </c>
    </row>
    <row r="411" spans="15:17" x14ac:dyDescent="0.3">
      <c r="O411" s="156"/>
      <c r="Q411" s="84">
        <f t="shared" si="40"/>
        <v>0</v>
      </c>
    </row>
    <row r="412" spans="15:17" x14ac:dyDescent="0.3">
      <c r="O412" s="156"/>
      <c r="Q412" s="84">
        <f t="shared" si="40"/>
        <v>0</v>
      </c>
    </row>
    <row r="413" spans="15:17" x14ac:dyDescent="0.3">
      <c r="O413" s="156"/>
      <c r="Q413" s="84">
        <f t="shared" si="40"/>
        <v>0</v>
      </c>
    </row>
    <row r="414" spans="15:17" x14ac:dyDescent="0.3">
      <c r="O414" s="156"/>
      <c r="Q414" s="84">
        <f t="shared" si="40"/>
        <v>0</v>
      </c>
    </row>
    <row r="415" spans="15:17" x14ac:dyDescent="0.3">
      <c r="O415" s="156"/>
      <c r="Q415" s="84">
        <f t="shared" si="40"/>
        <v>0</v>
      </c>
    </row>
    <row r="416" spans="15:17" x14ac:dyDescent="0.3">
      <c r="O416" s="156"/>
      <c r="Q416" s="84">
        <f t="shared" si="40"/>
        <v>0</v>
      </c>
    </row>
    <row r="417" spans="15:17" x14ac:dyDescent="0.3">
      <c r="O417" s="156"/>
      <c r="Q417" s="84">
        <f t="shared" si="40"/>
        <v>0</v>
      </c>
    </row>
    <row r="418" spans="15:17" x14ac:dyDescent="0.3">
      <c r="O418" s="156"/>
      <c r="Q418" s="84">
        <f t="shared" si="40"/>
        <v>0</v>
      </c>
    </row>
    <row r="419" spans="15:17" x14ac:dyDescent="0.3">
      <c r="O419" s="156"/>
      <c r="Q419" s="84">
        <f t="shared" si="40"/>
        <v>0</v>
      </c>
    </row>
    <row r="420" spans="15:17" x14ac:dyDescent="0.3">
      <c r="O420" s="156"/>
      <c r="Q420" s="84">
        <f t="shared" si="40"/>
        <v>0</v>
      </c>
    </row>
    <row r="421" spans="15:17" x14ac:dyDescent="0.3">
      <c r="O421" s="156"/>
      <c r="Q421" s="84">
        <f t="shared" si="40"/>
        <v>0</v>
      </c>
    </row>
    <row r="422" spans="15:17" x14ac:dyDescent="0.3">
      <c r="O422" s="156"/>
      <c r="Q422" s="84">
        <f t="shared" si="40"/>
        <v>0</v>
      </c>
    </row>
    <row r="423" spans="15:17" x14ac:dyDescent="0.3">
      <c r="O423" s="156"/>
      <c r="Q423" s="84">
        <f t="shared" si="40"/>
        <v>0</v>
      </c>
    </row>
    <row r="424" spans="15:17" x14ac:dyDescent="0.3">
      <c r="O424" s="156"/>
      <c r="Q424" s="84">
        <f t="shared" si="40"/>
        <v>0</v>
      </c>
    </row>
    <row r="425" spans="15:17" x14ac:dyDescent="0.3">
      <c r="O425" s="156"/>
      <c r="Q425" s="84">
        <f t="shared" si="40"/>
        <v>0</v>
      </c>
    </row>
    <row r="426" spans="15:17" x14ac:dyDescent="0.3">
      <c r="O426" s="156"/>
      <c r="Q426" s="84">
        <f t="shared" si="40"/>
        <v>0</v>
      </c>
    </row>
    <row r="427" spans="15:17" x14ac:dyDescent="0.3">
      <c r="O427" s="156"/>
      <c r="Q427" s="84">
        <f t="shared" si="40"/>
        <v>0</v>
      </c>
    </row>
    <row r="428" spans="15:17" x14ac:dyDescent="0.3">
      <c r="O428" s="156"/>
      <c r="Q428" s="84">
        <f t="shared" si="40"/>
        <v>0</v>
      </c>
    </row>
    <row r="429" spans="15:17" x14ac:dyDescent="0.3">
      <c r="O429" s="156"/>
      <c r="Q429" s="84">
        <f t="shared" si="40"/>
        <v>0</v>
      </c>
    </row>
    <row r="430" spans="15:17" x14ac:dyDescent="0.3">
      <c r="O430" s="156"/>
      <c r="Q430" s="84">
        <f t="shared" si="40"/>
        <v>0</v>
      </c>
    </row>
    <row r="431" spans="15:17" x14ac:dyDescent="0.3">
      <c r="O431" s="156"/>
      <c r="Q431" s="84">
        <f t="shared" si="40"/>
        <v>0</v>
      </c>
    </row>
    <row r="432" spans="15:17" x14ac:dyDescent="0.3">
      <c r="O432" s="156"/>
      <c r="Q432" s="84">
        <f t="shared" si="40"/>
        <v>0</v>
      </c>
    </row>
    <row r="433" spans="15:17" x14ac:dyDescent="0.3">
      <c r="O433" s="156"/>
      <c r="Q433" s="84">
        <f t="shared" si="40"/>
        <v>0</v>
      </c>
    </row>
    <row r="434" spans="15:17" x14ac:dyDescent="0.3">
      <c r="O434" s="156"/>
      <c r="Q434" s="84">
        <f t="shared" si="40"/>
        <v>0</v>
      </c>
    </row>
    <row r="435" spans="15:17" x14ac:dyDescent="0.3">
      <c r="O435" s="156"/>
      <c r="Q435" s="84">
        <f t="shared" si="40"/>
        <v>0</v>
      </c>
    </row>
    <row r="436" spans="15:17" x14ac:dyDescent="0.3">
      <c r="O436" s="156"/>
      <c r="Q436" s="84">
        <f t="shared" si="40"/>
        <v>0</v>
      </c>
    </row>
    <row r="437" spans="15:17" x14ac:dyDescent="0.3">
      <c r="O437" s="156"/>
      <c r="Q437" s="84">
        <f t="shared" si="40"/>
        <v>0</v>
      </c>
    </row>
    <row r="438" spans="15:17" x14ac:dyDescent="0.3">
      <c r="O438" s="156"/>
      <c r="Q438" s="84">
        <f t="shared" si="40"/>
        <v>0</v>
      </c>
    </row>
    <row r="439" spans="15:17" x14ac:dyDescent="0.3">
      <c r="O439" s="156"/>
      <c r="Q439" s="84">
        <f t="shared" si="40"/>
        <v>0</v>
      </c>
    </row>
    <row r="440" spans="15:17" x14ac:dyDescent="0.3">
      <c r="O440" s="156"/>
      <c r="Q440" s="84">
        <f t="shared" si="40"/>
        <v>0</v>
      </c>
    </row>
    <row r="441" spans="15:17" x14ac:dyDescent="0.3">
      <c r="O441" s="156"/>
      <c r="Q441" s="84">
        <f t="shared" si="40"/>
        <v>0</v>
      </c>
    </row>
    <row r="442" spans="15:17" x14ac:dyDescent="0.3">
      <c r="O442" s="156"/>
      <c r="Q442" s="84">
        <f t="shared" si="40"/>
        <v>0</v>
      </c>
    </row>
    <row r="443" spans="15:17" x14ac:dyDescent="0.3">
      <c r="O443" s="156"/>
      <c r="Q443" s="84">
        <f t="shared" si="40"/>
        <v>0</v>
      </c>
    </row>
    <row r="444" spans="15:17" x14ac:dyDescent="0.3">
      <c r="O444" s="156"/>
      <c r="Q444" s="84">
        <f t="shared" si="40"/>
        <v>0</v>
      </c>
    </row>
    <row r="445" spans="15:17" x14ac:dyDescent="0.3">
      <c r="O445" s="156"/>
      <c r="Q445" s="84">
        <f t="shared" si="40"/>
        <v>0</v>
      </c>
    </row>
    <row r="446" spans="15:17" x14ac:dyDescent="0.3">
      <c r="O446" s="156"/>
      <c r="Q446" s="84">
        <f t="shared" si="40"/>
        <v>0</v>
      </c>
    </row>
    <row r="447" spans="15:17" x14ac:dyDescent="0.3">
      <c r="O447" s="156"/>
      <c r="Q447" s="84">
        <f t="shared" si="40"/>
        <v>0</v>
      </c>
    </row>
    <row r="448" spans="15:17" x14ac:dyDescent="0.3">
      <c r="O448" s="156"/>
      <c r="Q448" s="84">
        <f t="shared" si="40"/>
        <v>0</v>
      </c>
    </row>
    <row r="449" spans="15:17" x14ac:dyDescent="0.3">
      <c r="O449" s="156"/>
      <c r="Q449" s="84">
        <f t="shared" si="40"/>
        <v>0</v>
      </c>
    </row>
    <row r="450" spans="15:17" x14ac:dyDescent="0.3">
      <c r="O450" s="156"/>
      <c r="Q450" s="84">
        <f t="shared" si="40"/>
        <v>0</v>
      </c>
    </row>
    <row r="451" spans="15:17" x14ac:dyDescent="0.3">
      <c r="O451" s="156"/>
      <c r="Q451" s="84">
        <f t="shared" si="40"/>
        <v>0</v>
      </c>
    </row>
    <row r="452" spans="15:17" x14ac:dyDescent="0.3">
      <c r="O452" s="156"/>
      <c r="Q452" s="84">
        <f t="shared" si="40"/>
        <v>0</v>
      </c>
    </row>
    <row r="453" spans="15:17" x14ac:dyDescent="0.3">
      <c r="O453" s="156"/>
      <c r="Q453" s="84">
        <f t="shared" si="40"/>
        <v>0</v>
      </c>
    </row>
    <row r="454" spans="15:17" x14ac:dyDescent="0.3">
      <c r="O454" s="156"/>
      <c r="Q454" s="84">
        <f t="shared" si="40"/>
        <v>0</v>
      </c>
    </row>
    <row r="455" spans="15:17" x14ac:dyDescent="0.3">
      <c r="O455" s="156"/>
      <c r="Q455" s="84">
        <f t="shared" si="40"/>
        <v>0</v>
      </c>
    </row>
    <row r="456" spans="15:17" x14ac:dyDescent="0.3">
      <c r="O456" s="156"/>
      <c r="Q456" s="84">
        <f t="shared" si="40"/>
        <v>0</v>
      </c>
    </row>
    <row r="457" spans="15:17" x14ac:dyDescent="0.3">
      <c r="O457" s="156"/>
      <c r="Q457" s="84">
        <f t="shared" si="40"/>
        <v>0</v>
      </c>
    </row>
    <row r="458" spans="15:17" x14ac:dyDescent="0.3">
      <c r="O458" s="156"/>
      <c r="Q458" s="84">
        <f t="shared" si="40"/>
        <v>0</v>
      </c>
    </row>
    <row r="459" spans="15:17" x14ac:dyDescent="0.3">
      <c r="O459" s="156"/>
      <c r="Q459" s="84">
        <f t="shared" si="40"/>
        <v>0</v>
      </c>
    </row>
    <row r="460" spans="15:17" x14ac:dyDescent="0.3">
      <c r="O460" s="156"/>
      <c r="Q460" s="84">
        <f t="shared" si="40"/>
        <v>0</v>
      </c>
    </row>
    <row r="461" spans="15:17" x14ac:dyDescent="0.3">
      <c r="O461" s="156"/>
      <c r="Q461" s="84">
        <f t="shared" si="40"/>
        <v>0</v>
      </c>
    </row>
    <row r="462" spans="15:17" x14ac:dyDescent="0.3">
      <c r="O462" s="156"/>
      <c r="Q462" s="84">
        <f t="shared" si="40"/>
        <v>0</v>
      </c>
    </row>
    <row r="463" spans="15:17" x14ac:dyDescent="0.3">
      <c r="O463" s="156"/>
      <c r="Q463" s="84">
        <f t="shared" si="40"/>
        <v>0</v>
      </c>
    </row>
    <row r="464" spans="15:17" x14ac:dyDescent="0.3">
      <c r="O464" s="156"/>
      <c r="Q464" s="84">
        <f t="shared" si="40"/>
        <v>0</v>
      </c>
    </row>
    <row r="465" spans="15:17" x14ac:dyDescent="0.3">
      <c r="O465" s="156"/>
      <c r="Q465" s="84">
        <f t="shared" si="40"/>
        <v>0</v>
      </c>
    </row>
    <row r="466" spans="15:17" x14ac:dyDescent="0.3">
      <c r="O466" s="156"/>
      <c r="Q466" s="84">
        <f t="shared" si="40"/>
        <v>0</v>
      </c>
    </row>
    <row r="467" spans="15:17" x14ac:dyDescent="0.3">
      <c r="O467" s="156"/>
      <c r="Q467" s="84">
        <f t="shared" si="40"/>
        <v>0</v>
      </c>
    </row>
    <row r="468" spans="15:17" x14ac:dyDescent="0.3">
      <c r="O468" s="156"/>
      <c r="Q468" s="84">
        <f t="shared" si="40"/>
        <v>0</v>
      </c>
    </row>
    <row r="469" spans="15:17" x14ac:dyDescent="0.3">
      <c r="O469" s="156"/>
      <c r="Q469" s="84">
        <f t="shared" si="40"/>
        <v>0</v>
      </c>
    </row>
    <row r="470" spans="15:17" x14ac:dyDescent="0.3">
      <c r="O470" s="156"/>
      <c r="Q470" s="84">
        <f t="shared" si="40"/>
        <v>0</v>
      </c>
    </row>
    <row r="471" spans="15:17" x14ac:dyDescent="0.3">
      <c r="O471" s="156"/>
      <c r="Q471" s="84">
        <f t="shared" si="40"/>
        <v>0</v>
      </c>
    </row>
    <row r="472" spans="15:17" x14ac:dyDescent="0.3">
      <c r="O472" s="156"/>
      <c r="Q472" s="84">
        <f t="shared" si="40"/>
        <v>0</v>
      </c>
    </row>
    <row r="473" spans="15:17" x14ac:dyDescent="0.3">
      <c r="O473" s="156"/>
      <c r="Q473" s="84">
        <f t="shared" si="40"/>
        <v>0</v>
      </c>
    </row>
    <row r="474" spans="15:17" x14ac:dyDescent="0.3">
      <c r="O474" s="156"/>
      <c r="Q474" s="84">
        <f t="shared" si="40"/>
        <v>0</v>
      </c>
    </row>
    <row r="475" spans="15:17" x14ac:dyDescent="0.3">
      <c r="O475" s="156"/>
      <c r="Q475" s="84">
        <f t="shared" si="40"/>
        <v>0</v>
      </c>
    </row>
    <row r="476" spans="15:17" x14ac:dyDescent="0.3">
      <c r="O476" s="156"/>
      <c r="Q476" s="84">
        <f t="shared" si="40"/>
        <v>0</v>
      </c>
    </row>
    <row r="477" spans="15:17" x14ac:dyDescent="0.3">
      <c r="O477" s="156"/>
      <c r="Q477" s="84">
        <f t="shared" si="40"/>
        <v>0</v>
      </c>
    </row>
    <row r="478" spans="15:17" x14ac:dyDescent="0.3">
      <c r="O478" s="156"/>
      <c r="Q478" s="84">
        <f t="shared" si="40"/>
        <v>0</v>
      </c>
    </row>
    <row r="479" spans="15:17" x14ac:dyDescent="0.3">
      <c r="O479" s="156"/>
      <c r="Q479" s="84">
        <f t="shared" si="40"/>
        <v>0</v>
      </c>
    </row>
    <row r="480" spans="15:17" x14ac:dyDescent="0.3">
      <c r="O480" s="156"/>
      <c r="Q480" s="84">
        <f t="shared" si="40"/>
        <v>0</v>
      </c>
    </row>
    <row r="481" spans="15:17" x14ac:dyDescent="0.3">
      <c r="O481" s="156"/>
      <c r="Q481" s="84">
        <f t="shared" si="40"/>
        <v>0</v>
      </c>
    </row>
    <row r="482" spans="15:17" x14ac:dyDescent="0.3">
      <c r="O482" s="156"/>
      <c r="Q482" s="84">
        <f t="shared" si="40"/>
        <v>0</v>
      </c>
    </row>
    <row r="483" spans="15:17" x14ac:dyDescent="0.3">
      <c r="O483" s="156"/>
      <c r="Q483" s="84">
        <f t="shared" si="40"/>
        <v>0</v>
      </c>
    </row>
    <row r="484" spans="15:17" x14ac:dyDescent="0.3">
      <c r="O484" s="156"/>
      <c r="Q484" s="84">
        <f t="shared" si="40"/>
        <v>0</v>
      </c>
    </row>
    <row r="485" spans="15:17" x14ac:dyDescent="0.3">
      <c r="O485" s="156"/>
      <c r="Q485" s="84">
        <f t="shared" si="40"/>
        <v>0</v>
      </c>
    </row>
    <row r="486" spans="15:17" x14ac:dyDescent="0.3">
      <c r="O486" s="156"/>
      <c r="Q486" s="84">
        <f t="shared" si="40"/>
        <v>0</v>
      </c>
    </row>
    <row r="487" spans="15:17" x14ac:dyDescent="0.3">
      <c r="O487" s="156"/>
      <c r="Q487" s="84">
        <f t="shared" si="40"/>
        <v>0</v>
      </c>
    </row>
    <row r="488" spans="15:17" x14ac:dyDescent="0.3">
      <c r="O488" s="156"/>
      <c r="Q488" s="84">
        <f t="shared" si="40"/>
        <v>0</v>
      </c>
    </row>
    <row r="489" spans="15:17" x14ac:dyDescent="0.3">
      <c r="O489" s="156"/>
      <c r="Q489" s="84">
        <f t="shared" si="40"/>
        <v>0</v>
      </c>
    </row>
    <row r="490" spans="15:17" x14ac:dyDescent="0.3">
      <c r="O490" s="156"/>
      <c r="Q490" s="84">
        <f t="shared" si="40"/>
        <v>0</v>
      </c>
    </row>
    <row r="491" spans="15:17" x14ac:dyDescent="0.3">
      <c r="O491" s="156"/>
      <c r="Q491" s="84">
        <f t="shared" si="40"/>
        <v>0</v>
      </c>
    </row>
    <row r="492" spans="15:17" x14ac:dyDescent="0.3">
      <c r="O492" s="156"/>
      <c r="Q492" s="84">
        <f t="shared" si="40"/>
        <v>0</v>
      </c>
    </row>
    <row r="493" spans="15:17" x14ac:dyDescent="0.3">
      <c r="O493" s="156"/>
      <c r="Q493" s="84">
        <f t="shared" si="40"/>
        <v>0</v>
      </c>
    </row>
    <row r="494" spans="15:17" x14ac:dyDescent="0.3">
      <c r="O494" s="156"/>
      <c r="Q494" s="84">
        <f t="shared" si="40"/>
        <v>0</v>
      </c>
    </row>
    <row r="495" spans="15:17" x14ac:dyDescent="0.3">
      <c r="O495" s="156"/>
      <c r="Q495" s="84">
        <f t="shared" si="40"/>
        <v>0</v>
      </c>
    </row>
    <row r="496" spans="15:17" x14ac:dyDescent="0.3">
      <c r="O496" s="156"/>
      <c r="Q496" s="84">
        <f t="shared" si="40"/>
        <v>0</v>
      </c>
    </row>
    <row r="497" spans="15:17" x14ac:dyDescent="0.3">
      <c r="O497" s="156"/>
      <c r="Q497" s="84">
        <f t="shared" si="40"/>
        <v>0</v>
      </c>
    </row>
    <row r="498" spans="15:17" x14ac:dyDescent="0.3">
      <c r="O498" s="156"/>
      <c r="Q498" s="84">
        <f t="shared" si="40"/>
        <v>0</v>
      </c>
    </row>
    <row r="499" spans="15:17" x14ac:dyDescent="0.3">
      <c r="O499" s="156"/>
      <c r="Q499" s="84">
        <f t="shared" si="40"/>
        <v>0</v>
      </c>
    </row>
    <row r="500" spans="15:17" x14ac:dyDescent="0.3">
      <c r="O500" s="156"/>
      <c r="Q500" s="84">
        <f t="shared" si="40"/>
        <v>0</v>
      </c>
    </row>
    <row r="501" spans="15:17" x14ac:dyDescent="0.3">
      <c r="O501" s="156"/>
      <c r="Q501" s="84">
        <f t="shared" si="40"/>
        <v>0</v>
      </c>
    </row>
    <row r="502" spans="15:17" x14ac:dyDescent="0.3">
      <c r="O502" s="156"/>
      <c r="Q502" s="84">
        <f t="shared" si="40"/>
        <v>0</v>
      </c>
    </row>
    <row r="503" spans="15:17" x14ac:dyDescent="0.3">
      <c r="O503" s="156"/>
      <c r="Q503" s="84">
        <f t="shared" si="40"/>
        <v>0</v>
      </c>
    </row>
    <row r="504" spans="15:17" x14ac:dyDescent="0.3">
      <c r="O504" s="156"/>
      <c r="Q504" s="84">
        <f t="shared" si="40"/>
        <v>0</v>
      </c>
    </row>
    <row r="505" spans="15:17" x14ac:dyDescent="0.3">
      <c r="O505" s="156"/>
      <c r="Q505" s="84">
        <f t="shared" si="40"/>
        <v>0</v>
      </c>
    </row>
    <row r="506" spans="15:17" x14ac:dyDescent="0.3">
      <c r="O506" s="156"/>
      <c r="Q506" s="84">
        <f t="shared" si="40"/>
        <v>0</v>
      </c>
    </row>
    <row r="507" spans="15:17" x14ac:dyDescent="0.3">
      <c r="O507" s="156"/>
      <c r="Q507" s="84">
        <f t="shared" si="40"/>
        <v>0</v>
      </c>
    </row>
    <row r="508" spans="15:17" x14ac:dyDescent="0.3">
      <c r="O508" s="156"/>
      <c r="Q508" s="84">
        <f t="shared" si="40"/>
        <v>0</v>
      </c>
    </row>
    <row r="509" spans="15:17" x14ac:dyDescent="0.3">
      <c r="O509" s="156"/>
      <c r="Q509" s="84">
        <f t="shared" si="40"/>
        <v>0</v>
      </c>
    </row>
    <row r="510" spans="15:17" x14ac:dyDescent="0.3">
      <c r="O510" s="156"/>
      <c r="Q510" s="84">
        <f t="shared" si="40"/>
        <v>0</v>
      </c>
    </row>
    <row r="511" spans="15:17" x14ac:dyDescent="0.3">
      <c r="O511" s="156"/>
      <c r="Q511" s="84">
        <f t="shared" si="40"/>
        <v>0</v>
      </c>
    </row>
    <row r="512" spans="15:17" x14ac:dyDescent="0.3">
      <c r="O512" s="156"/>
      <c r="Q512" s="84">
        <f t="shared" ref="Q512:Q766" si="41">SUM(R512:V512)</f>
        <v>0</v>
      </c>
    </row>
    <row r="513" spans="15:17" x14ac:dyDescent="0.3">
      <c r="O513" s="156"/>
      <c r="Q513" s="84">
        <f t="shared" si="41"/>
        <v>0</v>
      </c>
    </row>
    <row r="514" spans="15:17" x14ac:dyDescent="0.3">
      <c r="O514" s="156"/>
      <c r="Q514" s="84">
        <f t="shared" si="41"/>
        <v>0</v>
      </c>
    </row>
    <row r="515" spans="15:17" x14ac:dyDescent="0.3">
      <c r="O515" s="156"/>
      <c r="Q515" s="84">
        <f t="shared" si="41"/>
        <v>0</v>
      </c>
    </row>
    <row r="516" spans="15:17" x14ac:dyDescent="0.3">
      <c r="O516" s="156"/>
      <c r="Q516" s="84">
        <f t="shared" si="41"/>
        <v>0</v>
      </c>
    </row>
    <row r="517" spans="15:17" x14ac:dyDescent="0.3">
      <c r="O517" s="156"/>
      <c r="Q517" s="84">
        <f t="shared" si="41"/>
        <v>0</v>
      </c>
    </row>
    <row r="518" spans="15:17" x14ac:dyDescent="0.3">
      <c r="O518" s="156"/>
      <c r="Q518" s="84">
        <f t="shared" si="41"/>
        <v>0</v>
      </c>
    </row>
    <row r="519" spans="15:17" x14ac:dyDescent="0.3">
      <c r="O519" s="156"/>
      <c r="Q519" s="84">
        <f t="shared" si="41"/>
        <v>0</v>
      </c>
    </row>
    <row r="520" spans="15:17" x14ac:dyDescent="0.3">
      <c r="O520" s="156"/>
      <c r="Q520" s="84">
        <f t="shared" si="41"/>
        <v>0</v>
      </c>
    </row>
    <row r="521" spans="15:17" x14ac:dyDescent="0.3">
      <c r="O521" s="156"/>
      <c r="Q521" s="84">
        <f t="shared" si="41"/>
        <v>0</v>
      </c>
    </row>
    <row r="522" spans="15:17" x14ac:dyDescent="0.3">
      <c r="O522" s="156"/>
      <c r="Q522" s="84">
        <f t="shared" si="41"/>
        <v>0</v>
      </c>
    </row>
    <row r="523" spans="15:17" x14ac:dyDescent="0.3">
      <c r="O523" s="156"/>
      <c r="Q523" s="84">
        <f t="shared" si="41"/>
        <v>0</v>
      </c>
    </row>
    <row r="524" spans="15:17" x14ac:dyDescent="0.3">
      <c r="O524" s="156"/>
      <c r="Q524" s="84">
        <f t="shared" si="41"/>
        <v>0</v>
      </c>
    </row>
    <row r="525" spans="15:17" x14ac:dyDescent="0.3">
      <c r="O525" s="156"/>
      <c r="Q525" s="84">
        <f t="shared" si="41"/>
        <v>0</v>
      </c>
    </row>
    <row r="526" spans="15:17" x14ac:dyDescent="0.3">
      <c r="O526" s="156"/>
      <c r="Q526" s="84">
        <f t="shared" si="41"/>
        <v>0</v>
      </c>
    </row>
    <row r="527" spans="15:17" x14ac:dyDescent="0.3">
      <c r="O527" s="156"/>
      <c r="Q527" s="84">
        <f t="shared" si="41"/>
        <v>0</v>
      </c>
    </row>
    <row r="528" spans="15:17" x14ac:dyDescent="0.3">
      <c r="O528" s="156"/>
      <c r="Q528" s="84">
        <f t="shared" si="41"/>
        <v>0</v>
      </c>
    </row>
    <row r="529" spans="15:17" x14ac:dyDescent="0.3">
      <c r="O529" s="156"/>
      <c r="Q529" s="84">
        <f t="shared" si="41"/>
        <v>0</v>
      </c>
    </row>
    <row r="530" spans="15:17" x14ac:dyDescent="0.3">
      <c r="O530" s="156"/>
      <c r="Q530" s="84">
        <f t="shared" si="41"/>
        <v>0</v>
      </c>
    </row>
    <row r="531" spans="15:17" x14ac:dyDescent="0.3">
      <c r="O531" s="156"/>
      <c r="Q531" s="84">
        <f t="shared" si="41"/>
        <v>0</v>
      </c>
    </row>
    <row r="532" spans="15:17" x14ac:dyDescent="0.3">
      <c r="O532" s="156"/>
      <c r="Q532" s="84">
        <f t="shared" si="41"/>
        <v>0</v>
      </c>
    </row>
    <row r="533" spans="15:17" x14ac:dyDescent="0.3">
      <c r="O533" s="156"/>
      <c r="Q533" s="84">
        <f t="shared" si="41"/>
        <v>0</v>
      </c>
    </row>
    <row r="534" spans="15:17" x14ac:dyDescent="0.3">
      <c r="O534" s="156"/>
      <c r="Q534" s="84">
        <f t="shared" si="41"/>
        <v>0</v>
      </c>
    </row>
    <row r="535" spans="15:17" x14ac:dyDescent="0.3">
      <c r="O535" s="156"/>
      <c r="Q535" s="84">
        <f t="shared" si="41"/>
        <v>0</v>
      </c>
    </row>
    <row r="536" spans="15:17" x14ac:dyDescent="0.3">
      <c r="O536" s="156"/>
      <c r="Q536" s="84">
        <f t="shared" si="41"/>
        <v>0</v>
      </c>
    </row>
    <row r="537" spans="15:17" x14ac:dyDescent="0.3">
      <c r="O537" s="156"/>
      <c r="Q537" s="84">
        <f t="shared" si="41"/>
        <v>0</v>
      </c>
    </row>
    <row r="538" spans="15:17" x14ac:dyDescent="0.3">
      <c r="O538" s="156"/>
      <c r="Q538" s="84">
        <f t="shared" si="41"/>
        <v>0</v>
      </c>
    </row>
    <row r="539" spans="15:17" x14ac:dyDescent="0.3">
      <c r="O539" s="156"/>
      <c r="Q539" s="84">
        <f t="shared" si="41"/>
        <v>0</v>
      </c>
    </row>
    <row r="540" spans="15:17" x14ac:dyDescent="0.3">
      <c r="O540" s="156"/>
      <c r="Q540" s="84">
        <f t="shared" si="41"/>
        <v>0</v>
      </c>
    </row>
    <row r="541" spans="15:17" x14ac:dyDescent="0.3">
      <c r="O541" s="156"/>
      <c r="Q541" s="84">
        <f t="shared" si="41"/>
        <v>0</v>
      </c>
    </row>
    <row r="542" spans="15:17" x14ac:dyDescent="0.3">
      <c r="O542" s="156"/>
      <c r="Q542" s="84">
        <f t="shared" si="41"/>
        <v>0</v>
      </c>
    </row>
    <row r="543" spans="15:17" x14ac:dyDescent="0.3">
      <c r="O543" s="156"/>
      <c r="Q543" s="84">
        <f t="shared" si="41"/>
        <v>0</v>
      </c>
    </row>
    <row r="544" spans="15:17" x14ac:dyDescent="0.3">
      <c r="O544" s="156"/>
      <c r="Q544" s="84">
        <f t="shared" si="41"/>
        <v>0</v>
      </c>
    </row>
    <row r="545" spans="15:17" x14ac:dyDescent="0.3">
      <c r="O545" s="156"/>
      <c r="Q545" s="84">
        <f t="shared" si="41"/>
        <v>0</v>
      </c>
    </row>
    <row r="546" spans="15:17" x14ac:dyDescent="0.3">
      <c r="O546" s="156"/>
      <c r="Q546" s="84">
        <f t="shared" si="41"/>
        <v>0</v>
      </c>
    </row>
    <row r="547" spans="15:17" x14ac:dyDescent="0.3">
      <c r="O547" s="156"/>
      <c r="Q547" s="84">
        <f t="shared" si="41"/>
        <v>0</v>
      </c>
    </row>
    <row r="548" spans="15:17" x14ac:dyDescent="0.3">
      <c r="O548" s="156"/>
      <c r="Q548" s="84">
        <f t="shared" si="41"/>
        <v>0</v>
      </c>
    </row>
    <row r="549" spans="15:17" x14ac:dyDescent="0.3">
      <c r="O549" s="156"/>
      <c r="Q549" s="84">
        <f t="shared" si="41"/>
        <v>0</v>
      </c>
    </row>
    <row r="550" spans="15:17" x14ac:dyDescent="0.3">
      <c r="O550" s="156"/>
      <c r="Q550" s="84">
        <f t="shared" si="41"/>
        <v>0</v>
      </c>
    </row>
    <row r="551" spans="15:17" x14ac:dyDescent="0.3">
      <c r="O551" s="156"/>
      <c r="Q551" s="84">
        <f t="shared" si="41"/>
        <v>0</v>
      </c>
    </row>
    <row r="552" spans="15:17" x14ac:dyDescent="0.3">
      <c r="O552" s="156"/>
      <c r="Q552" s="84">
        <f t="shared" si="41"/>
        <v>0</v>
      </c>
    </row>
    <row r="553" spans="15:17" x14ac:dyDescent="0.3">
      <c r="O553" s="156"/>
      <c r="Q553" s="84">
        <f t="shared" si="41"/>
        <v>0</v>
      </c>
    </row>
    <row r="554" spans="15:17" x14ac:dyDescent="0.3">
      <c r="O554" s="156"/>
      <c r="Q554" s="84">
        <f t="shared" si="41"/>
        <v>0</v>
      </c>
    </row>
    <row r="555" spans="15:17" x14ac:dyDescent="0.3">
      <c r="O555" s="156"/>
      <c r="Q555" s="84">
        <f t="shared" si="41"/>
        <v>0</v>
      </c>
    </row>
    <row r="556" spans="15:17" x14ac:dyDescent="0.3">
      <c r="O556" s="156"/>
      <c r="Q556" s="84">
        <f t="shared" si="41"/>
        <v>0</v>
      </c>
    </row>
    <row r="557" spans="15:17" x14ac:dyDescent="0.3">
      <c r="O557" s="156"/>
      <c r="Q557" s="84">
        <f t="shared" si="41"/>
        <v>0</v>
      </c>
    </row>
    <row r="558" spans="15:17" x14ac:dyDescent="0.3">
      <c r="O558" s="156"/>
      <c r="Q558" s="84">
        <f t="shared" si="41"/>
        <v>0</v>
      </c>
    </row>
    <row r="559" spans="15:17" x14ac:dyDescent="0.3">
      <c r="O559" s="156"/>
      <c r="Q559" s="84">
        <f t="shared" si="41"/>
        <v>0</v>
      </c>
    </row>
    <row r="560" spans="15:17" x14ac:dyDescent="0.3">
      <c r="O560" s="156"/>
      <c r="Q560" s="84">
        <f t="shared" si="41"/>
        <v>0</v>
      </c>
    </row>
    <row r="561" spans="15:17" x14ac:dyDescent="0.3">
      <c r="O561" s="156"/>
      <c r="Q561" s="84">
        <f t="shared" si="41"/>
        <v>0</v>
      </c>
    </row>
    <row r="562" spans="15:17" x14ac:dyDescent="0.3">
      <c r="O562" s="156"/>
      <c r="Q562" s="84">
        <f t="shared" si="41"/>
        <v>0</v>
      </c>
    </row>
    <row r="563" spans="15:17" x14ac:dyDescent="0.3">
      <c r="O563" s="156"/>
      <c r="Q563" s="84">
        <f t="shared" si="41"/>
        <v>0</v>
      </c>
    </row>
    <row r="564" spans="15:17" x14ac:dyDescent="0.3">
      <c r="O564" s="156"/>
      <c r="Q564" s="84">
        <f t="shared" si="41"/>
        <v>0</v>
      </c>
    </row>
    <row r="565" spans="15:17" x14ac:dyDescent="0.3">
      <c r="O565" s="156"/>
      <c r="Q565" s="84">
        <f t="shared" si="41"/>
        <v>0</v>
      </c>
    </row>
    <row r="566" spans="15:17" x14ac:dyDescent="0.3">
      <c r="O566" s="156"/>
      <c r="Q566" s="84">
        <f t="shared" si="41"/>
        <v>0</v>
      </c>
    </row>
    <row r="567" spans="15:17" x14ac:dyDescent="0.3">
      <c r="O567" s="156"/>
      <c r="Q567" s="84">
        <f t="shared" si="41"/>
        <v>0</v>
      </c>
    </row>
    <row r="568" spans="15:17" x14ac:dyDescent="0.3">
      <c r="O568" s="156"/>
      <c r="Q568" s="84">
        <f t="shared" si="41"/>
        <v>0</v>
      </c>
    </row>
    <row r="569" spans="15:17" x14ac:dyDescent="0.3">
      <c r="O569" s="156"/>
      <c r="Q569" s="84">
        <f t="shared" si="41"/>
        <v>0</v>
      </c>
    </row>
    <row r="570" spans="15:17" x14ac:dyDescent="0.3">
      <c r="O570" s="156"/>
      <c r="Q570" s="84">
        <f t="shared" si="41"/>
        <v>0</v>
      </c>
    </row>
    <row r="571" spans="15:17" x14ac:dyDescent="0.3">
      <c r="O571" s="156"/>
      <c r="Q571" s="84">
        <f t="shared" si="41"/>
        <v>0</v>
      </c>
    </row>
    <row r="572" spans="15:17" x14ac:dyDescent="0.3">
      <c r="O572" s="156"/>
      <c r="Q572" s="84">
        <f t="shared" si="41"/>
        <v>0</v>
      </c>
    </row>
    <row r="573" spans="15:17" x14ac:dyDescent="0.3">
      <c r="O573" s="156"/>
      <c r="Q573" s="84">
        <f t="shared" si="41"/>
        <v>0</v>
      </c>
    </row>
    <row r="574" spans="15:17" x14ac:dyDescent="0.3">
      <c r="O574" s="156"/>
      <c r="Q574" s="84">
        <f t="shared" si="41"/>
        <v>0</v>
      </c>
    </row>
    <row r="575" spans="15:17" x14ac:dyDescent="0.3">
      <c r="O575" s="156"/>
      <c r="Q575" s="84">
        <f t="shared" si="41"/>
        <v>0</v>
      </c>
    </row>
    <row r="576" spans="15:17" x14ac:dyDescent="0.3">
      <c r="O576" s="156"/>
      <c r="Q576" s="84">
        <f t="shared" si="41"/>
        <v>0</v>
      </c>
    </row>
    <row r="577" spans="15:17" x14ac:dyDescent="0.3">
      <c r="O577" s="156"/>
      <c r="Q577" s="84">
        <f t="shared" si="41"/>
        <v>0</v>
      </c>
    </row>
    <row r="578" spans="15:17" x14ac:dyDescent="0.3">
      <c r="O578" s="156"/>
      <c r="Q578" s="84">
        <f t="shared" si="41"/>
        <v>0</v>
      </c>
    </row>
    <row r="579" spans="15:17" x14ac:dyDescent="0.3">
      <c r="O579" s="156"/>
      <c r="Q579" s="84">
        <f t="shared" si="41"/>
        <v>0</v>
      </c>
    </row>
    <row r="580" spans="15:17" x14ac:dyDescent="0.3">
      <c r="O580" s="156"/>
      <c r="Q580" s="84">
        <f t="shared" si="41"/>
        <v>0</v>
      </c>
    </row>
    <row r="581" spans="15:17" x14ac:dyDescent="0.3">
      <c r="O581" s="156"/>
      <c r="Q581" s="84">
        <f t="shared" si="41"/>
        <v>0</v>
      </c>
    </row>
    <row r="582" spans="15:17" x14ac:dyDescent="0.3">
      <c r="O582" s="156"/>
      <c r="Q582" s="84">
        <f t="shared" si="41"/>
        <v>0</v>
      </c>
    </row>
    <row r="583" spans="15:17" x14ac:dyDescent="0.3">
      <c r="O583" s="156"/>
      <c r="Q583" s="84">
        <f t="shared" si="41"/>
        <v>0</v>
      </c>
    </row>
    <row r="584" spans="15:17" x14ac:dyDescent="0.3">
      <c r="O584" s="156"/>
      <c r="Q584" s="84">
        <f t="shared" si="41"/>
        <v>0</v>
      </c>
    </row>
    <row r="585" spans="15:17" x14ac:dyDescent="0.3">
      <c r="O585" s="156"/>
      <c r="Q585" s="84">
        <f t="shared" si="41"/>
        <v>0</v>
      </c>
    </row>
    <row r="586" spans="15:17" x14ac:dyDescent="0.3">
      <c r="O586" s="156"/>
      <c r="Q586" s="84">
        <f t="shared" si="41"/>
        <v>0</v>
      </c>
    </row>
    <row r="587" spans="15:17" x14ac:dyDescent="0.3">
      <c r="O587" s="156"/>
      <c r="Q587" s="84">
        <f t="shared" si="41"/>
        <v>0</v>
      </c>
    </row>
    <row r="588" spans="15:17" x14ac:dyDescent="0.3">
      <c r="O588" s="156"/>
      <c r="Q588" s="84">
        <f t="shared" si="41"/>
        <v>0</v>
      </c>
    </row>
    <row r="589" spans="15:17" x14ac:dyDescent="0.3">
      <c r="O589" s="156"/>
      <c r="Q589" s="84">
        <f t="shared" si="41"/>
        <v>0</v>
      </c>
    </row>
    <row r="590" spans="15:17" x14ac:dyDescent="0.3">
      <c r="O590" s="156"/>
      <c r="Q590" s="84">
        <f t="shared" si="41"/>
        <v>0</v>
      </c>
    </row>
    <row r="591" spans="15:17" x14ac:dyDescent="0.3">
      <c r="O591" s="156"/>
      <c r="Q591" s="84">
        <f t="shared" si="41"/>
        <v>0</v>
      </c>
    </row>
    <row r="592" spans="15:17" x14ac:dyDescent="0.3">
      <c r="O592" s="156"/>
      <c r="Q592" s="84">
        <f t="shared" si="41"/>
        <v>0</v>
      </c>
    </row>
    <row r="593" spans="15:17" x14ac:dyDescent="0.3">
      <c r="O593" s="156"/>
      <c r="Q593" s="84">
        <f t="shared" si="41"/>
        <v>0</v>
      </c>
    </row>
    <row r="594" spans="15:17" x14ac:dyDescent="0.3">
      <c r="O594" s="156"/>
      <c r="Q594" s="84">
        <f t="shared" si="41"/>
        <v>0</v>
      </c>
    </row>
    <row r="595" spans="15:17" x14ac:dyDescent="0.3">
      <c r="O595" s="156"/>
      <c r="Q595" s="84">
        <f t="shared" si="41"/>
        <v>0</v>
      </c>
    </row>
    <row r="596" spans="15:17" x14ac:dyDescent="0.3">
      <c r="O596" s="156"/>
      <c r="Q596" s="84">
        <f t="shared" si="41"/>
        <v>0</v>
      </c>
    </row>
    <row r="597" spans="15:17" x14ac:dyDescent="0.3">
      <c r="O597" s="156"/>
      <c r="Q597" s="84">
        <f t="shared" si="41"/>
        <v>0</v>
      </c>
    </row>
    <row r="598" spans="15:17" x14ac:dyDescent="0.3">
      <c r="O598" s="156"/>
      <c r="Q598" s="84">
        <f t="shared" si="41"/>
        <v>0</v>
      </c>
    </row>
    <row r="599" spans="15:17" x14ac:dyDescent="0.3">
      <c r="O599" s="156"/>
      <c r="Q599" s="84">
        <f t="shared" si="41"/>
        <v>0</v>
      </c>
    </row>
    <row r="600" spans="15:17" x14ac:dyDescent="0.3">
      <c r="O600" s="156"/>
      <c r="Q600" s="84">
        <f t="shared" si="41"/>
        <v>0</v>
      </c>
    </row>
    <row r="601" spans="15:17" x14ac:dyDescent="0.3">
      <c r="O601" s="156"/>
      <c r="Q601" s="84">
        <f t="shared" si="41"/>
        <v>0</v>
      </c>
    </row>
    <row r="602" spans="15:17" x14ac:dyDescent="0.3">
      <c r="O602" s="156"/>
      <c r="Q602" s="84">
        <f t="shared" si="41"/>
        <v>0</v>
      </c>
    </row>
    <row r="603" spans="15:17" x14ac:dyDescent="0.3">
      <c r="O603" s="156"/>
      <c r="Q603" s="84">
        <f t="shared" si="41"/>
        <v>0</v>
      </c>
    </row>
    <row r="604" spans="15:17" x14ac:dyDescent="0.3">
      <c r="O604" s="156"/>
      <c r="Q604" s="84">
        <f t="shared" si="41"/>
        <v>0</v>
      </c>
    </row>
    <row r="605" spans="15:17" x14ac:dyDescent="0.3">
      <c r="O605" s="156"/>
      <c r="Q605" s="84">
        <f t="shared" si="41"/>
        <v>0</v>
      </c>
    </row>
    <row r="606" spans="15:17" x14ac:dyDescent="0.3">
      <c r="O606" s="156"/>
      <c r="Q606" s="84">
        <f t="shared" si="41"/>
        <v>0</v>
      </c>
    </row>
    <row r="607" spans="15:17" x14ac:dyDescent="0.3">
      <c r="O607" s="156"/>
      <c r="Q607" s="84">
        <f t="shared" si="41"/>
        <v>0</v>
      </c>
    </row>
    <row r="608" spans="15:17" x14ac:dyDescent="0.3">
      <c r="O608" s="156"/>
      <c r="Q608" s="84">
        <f t="shared" si="41"/>
        <v>0</v>
      </c>
    </row>
    <row r="609" spans="15:17" x14ac:dyDescent="0.3">
      <c r="O609" s="156"/>
      <c r="Q609" s="84">
        <f t="shared" si="41"/>
        <v>0</v>
      </c>
    </row>
    <row r="610" spans="15:17" x14ac:dyDescent="0.3">
      <c r="O610" s="156"/>
      <c r="Q610" s="84">
        <f t="shared" si="41"/>
        <v>0</v>
      </c>
    </row>
    <row r="611" spans="15:17" x14ac:dyDescent="0.3">
      <c r="O611" s="156"/>
      <c r="Q611" s="84">
        <f t="shared" si="41"/>
        <v>0</v>
      </c>
    </row>
    <row r="612" spans="15:17" x14ac:dyDescent="0.3">
      <c r="O612" s="156"/>
      <c r="Q612" s="84">
        <f t="shared" si="41"/>
        <v>0</v>
      </c>
    </row>
    <row r="613" spans="15:17" x14ac:dyDescent="0.3">
      <c r="O613" s="156"/>
      <c r="Q613" s="84">
        <f t="shared" si="41"/>
        <v>0</v>
      </c>
    </row>
    <row r="614" spans="15:17" x14ac:dyDescent="0.3">
      <c r="O614" s="156"/>
      <c r="Q614" s="84">
        <f t="shared" si="41"/>
        <v>0</v>
      </c>
    </row>
    <row r="615" spans="15:17" x14ac:dyDescent="0.3">
      <c r="O615" s="156"/>
      <c r="Q615" s="84">
        <f t="shared" si="41"/>
        <v>0</v>
      </c>
    </row>
    <row r="616" spans="15:17" x14ac:dyDescent="0.3">
      <c r="O616" s="156"/>
      <c r="Q616" s="84">
        <f t="shared" si="41"/>
        <v>0</v>
      </c>
    </row>
    <row r="617" spans="15:17" x14ac:dyDescent="0.3">
      <c r="O617" s="156"/>
      <c r="Q617" s="84">
        <f t="shared" si="41"/>
        <v>0</v>
      </c>
    </row>
    <row r="618" spans="15:17" x14ac:dyDescent="0.3">
      <c r="O618" s="156"/>
      <c r="Q618" s="84">
        <f t="shared" si="41"/>
        <v>0</v>
      </c>
    </row>
    <row r="619" spans="15:17" x14ac:dyDescent="0.3">
      <c r="O619" s="156"/>
      <c r="Q619" s="84">
        <f t="shared" si="41"/>
        <v>0</v>
      </c>
    </row>
    <row r="620" spans="15:17" x14ac:dyDescent="0.3">
      <c r="O620" s="156"/>
      <c r="Q620" s="84">
        <f t="shared" si="41"/>
        <v>0</v>
      </c>
    </row>
    <row r="621" spans="15:17" x14ac:dyDescent="0.3">
      <c r="O621" s="156"/>
      <c r="Q621" s="84">
        <f t="shared" si="41"/>
        <v>0</v>
      </c>
    </row>
    <row r="622" spans="15:17" x14ac:dyDescent="0.3">
      <c r="O622" s="156"/>
      <c r="Q622" s="84">
        <f t="shared" si="41"/>
        <v>0</v>
      </c>
    </row>
    <row r="623" spans="15:17" x14ac:dyDescent="0.3">
      <c r="O623" s="156"/>
      <c r="Q623" s="84">
        <f t="shared" si="41"/>
        <v>0</v>
      </c>
    </row>
    <row r="624" spans="15:17" x14ac:dyDescent="0.3">
      <c r="O624" s="156"/>
      <c r="Q624" s="84">
        <f t="shared" si="41"/>
        <v>0</v>
      </c>
    </row>
    <row r="625" spans="15:17" x14ac:dyDescent="0.3">
      <c r="O625" s="156"/>
      <c r="Q625" s="84">
        <f t="shared" si="41"/>
        <v>0</v>
      </c>
    </row>
    <row r="626" spans="15:17" x14ac:dyDescent="0.3">
      <c r="O626" s="156"/>
      <c r="Q626" s="84">
        <f t="shared" si="41"/>
        <v>0</v>
      </c>
    </row>
    <row r="627" spans="15:17" x14ac:dyDescent="0.3">
      <c r="O627" s="156"/>
      <c r="Q627" s="84">
        <f t="shared" si="41"/>
        <v>0</v>
      </c>
    </row>
    <row r="628" spans="15:17" x14ac:dyDescent="0.3">
      <c r="O628" s="156"/>
      <c r="Q628" s="84">
        <f t="shared" si="41"/>
        <v>0</v>
      </c>
    </row>
    <row r="629" spans="15:17" x14ac:dyDescent="0.3">
      <c r="O629" s="156"/>
      <c r="Q629" s="84">
        <f t="shared" si="41"/>
        <v>0</v>
      </c>
    </row>
    <row r="630" spans="15:17" x14ac:dyDescent="0.3">
      <c r="O630" s="156"/>
      <c r="Q630" s="84">
        <f t="shared" si="41"/>
        <v>0</v>
      </c>
    </row>
    <row r="631" spans="15:17" x14ac:dyDescent="0.3">
      <c r="O631" s="156"/>
      <c r="Q631" s="84">
        <f t="shared" si="41"/>
        <v>0</v>
      </c>
    </row>
    <row r="632" spans="15:17" x14ac:dyDescent="0.3">
      <c r="O632" s="156"/>
      <c r="Q632" s="84">
        <f t="shared" si="41"/>
        <v>0</v>
      </c>
    </row>
    <row r="633" spans="15:17" x14ac:dyDescent="0.3">
      <c r="O633" s="156"/>
      <c r="Q633" s="84">
        <f t="shared" si="41"/>
        <v>0</v>
      </c>
    </row>
    <row r="634" spans="15:17" x14ac:dyDescent="0.3">
      <c r="O634" s="156"/>
      <c r="Q634" s="84">
        <f t="shared" si="41"/>
        <v>0</v>
      </c>
    </row>
    <row r="635" spans="15:17" x14ac:dyDescent="0.3">
      <c r="O635" s="156"/>
      <c r="Q635" s="84">
        <f t="shared" si="41"/>
        <v>0</v>
      </c>
    </row>
    <row r="636" spans="15:17" x14ac:dyDescent="0.3">
      <c r="O636" s="156"/>
      <c r="Q636" s="84">
        <f t="shared" si="41"/>
        <v>0</v>
      </c>
    </row>
    <row r="637" spans="15:17" x14ac:dyDescent="0.3">
      <c r="O637" s="156"/>
      <c r="Q637" s="84">
        <f t="shared" si="41"/>
        <v>0</v>
      </c>
    </row>
    <row r="638" spans="15:17" x14ac:dyDescent="0.3">
      <c r="O638" s="156"/>
      <c r="Q638" s="84">
        <f t="shared" si="41"/>
        <v>0</v>
      </c>
    </row>
    <row r="639" spans="15:17" x14ac:dyDescent="0.3">
      <c r="O639" s="156"/>
      <c r="Q639" s="84">
        <f t="shared" si="41"/>
        <v>0</v>
      </c>
    </row>
    <row r="640" spans="15:17" x14ac:dyDescent="0.3">
      <c r="O640" s="156"/>
      <c r="Q640" s="84">
        <f t="shared" si="41"/>
        <v>0</v>
      </c>
    </row>
    <row r="641" spans="15:17" x14ac:dyDescent="0.3">
      <c r="O641" s="156"/>
      <c r="Q641" s="84">
        <f t="shared" si="41"/>
        <v>0</v>
      </c>
    </row>
    <row r="642" spans="15:17" x14ac:dyDescent="0.3">
      <c r="O642" s="156"/>
      <c r="Q642" s="84">
        <f t="shared" si="41"/>
        <v>0</v>
      </c>
    </row>
    <row r="643" spans="15:17" x14ac:dyDescent="0.3">
      <c r="O643" s="156"/>
      <c r="Q643" s="84">
        <f t="shared" si="41"/>
        <v>0</v>
      </c>
    </row>
    <row r="644" spans="15:17" x14ac:dyDescent="0.3">
      <c r="O644" s="156"/>
      <c r="Q644" s="84">
        <f t="shared" si="41"/>
        <v>0</v>
      </c>
    </row>
    <row r="645" spans="15:17" x14ac:dyDescent="0.3">
      <c r="O645" s="156"/>
      <c r="Q645" s="84">
        <f t="shared" si="41"/>
        <v>0</v>
      </c>
    </row>
    <row r="646" spans="15:17" x14ac:dyDescent="0.3">
      <c r="O646" s="156"/>
      <c r="Q646" s="84">
        <f t="shared" si="41"/>
        <v>0</v>
      </c>
    </row>
    <row r="647" spans="15:17" x14ac:dyDescent="0.3">
      <c r="O647" s="156"/>
      <c r="Q647" s="84">
        <f t="shared" si="41"/>
        <v>0</v>
      </c>
    </row>
    <row r="648" spans="15:17" x14ac:dyDescent="0.3">
      <c r="O648" s="156"/>
      <c r="Q648" s="84">
        <f t="shared" si="41"/>
        <v>0</v>
      </c>
    </row>
    <row r="649" spans="15:17" x14ac:dyDescent="0.3">
      <c r="O649" s="156"/>
      <c r="Q649" s="84">
        <f t="shared" si="41"/>
        <v>0</v>
      </c>
    </row>
    <row r="650" spans="15:17" x14ac:dyDescent="0.3">
      <c r="O650" s="156"/>
      <c r="Q650" s="84">
        <f t="shared" si="41"/>
        <v>0</v>
      </c>
    </row>
    <row r="651" spans="15:17" x14ac:dyDescent="0.3">
      <c r="O651" s="156"/>
      <c r="Q651" s="84">
        <f t="shared" si="41"/>
        <v>0</v>
      </c>
    </row>
    <row r="652" spans="15:17" x14ac:dyDescent="0.3">
      <c r="O652" s="156"/>
      <c r="Q652" s="84">
        <f t="shared" si="41"/>
        <v>0</v>
      </c>
    </row>
    <row r="653" spans="15:17" x14ac:dyDescent="0.3">
      <c r="O653" s="156"/>
      <c r="Q653" s="84">
        <f t="shared" si="41"/>
        <v>0</v>
      </c>
    </row>
    <row r="654" spans="15:17" x14ac:dyDescent="0.3">
      <c r="O654" s="156"/>
      <c r="Q654" s="84">
        <f t="shared" si="41"/>
        <v>0</v>
      </c>
    </row>
    <row r="655" spans="15:17" x14ac:dyDescent="0.3">
      <c r="O655" s="156"/>
      <c r="Q655" s="84">
        <f t="shared" si="41"/>
        <v>0</v>
      </c>
    </row>
    <row r="656" spans="15:17" x14ac:dyDescent="0.3">
      <c r="O656" s="156"/>
      <c r="Q656" s="84">
        <f t="shared" si="41"/>
        <v>0</v>
      </c>
    </row>
    <row r="657" spans="15:17" x14ac:dyDescent="0.3">
      <c r="O657" s="156"/>
      <c r="Q657" s="84">
        <f t="shared" si="41"/>
        <v>0</v>
      </c>
    </row>
    <row r="658" spans="15:17" x14ac:dyDescent="0.3">
      <c r="O658" s="156"/>
      <c r="Q658" s="84">
        <f t="shared" si="41"/>
        <v>0</v>
      </c>
    </row>
    <row r="659" spans="15:17" x14ac:dyDescent="0.3">
      <c r="O659" s="156"/>
      <c r="Q659" s="84">
        <f t="shared" si="41"/>
        <v>0</v>
      </c>
    </row>
    <row r="660" spans="15:17" x14ac:dyDescent="0.3">
      <c r="O660" s="156"/>
      <c r="Q660" s="84">
        <f t="shared" si="41"/>
        <v>0</v>
      </c>
    </row>
    <row r="661" spans="15:17" x14ac:dyDescent="0.3">
      <c r="O661" s="156"/>
      <c r="Q661" s="84">
        <f t="shared" si="41"/>
        <v>0</v>
      </c>
    </row>
    <row r="662" spans="15:17" x14ac:dyDescent="0.3">
      <c r="O662" s="156"/>
      <c r="Q662" s="84">
        <f t="shared" si="41"/>
        <v>0</v>
      </c>
    </row>
    <row r="663" spans="15:17" x14ac:dyDescent="0.3">
      <c r="O663" s="156"/>
      <c r="Q663" s="84">
        <f t="shared" si="41"/>
        <v>0</v>
      </c>
    </row>
    <row r="664" spans="15:17" x14ac:dyDescent="0.3">
      <c r="O664" s="156"/>
      <c r="Q664" s="84">
        <f t="shared" si="41"/>
        <v>0</v>
      </c>
    </row>
    <row r="665" spans="15:17" x14ac:dyDescent="0.3">
      <c r="O665" s="156"/>
      <c r="Q665" s="84">
        <f t="shared" si="41"/>
        <v>0</v>
      </c>
    </row>
    <row r="666" spans="15:17" x14ac:dyDescent="0.3">
      <c r="O666" s="156"/>
      <c r="Q666" s="84">
        <f t="shared" si="41"/>
        <v>0</v>
      </c>
    </row>
    <row r="667" spans="15:17" x14ac:dyDescent="0.3">
      <c r="O667" s="156"/>
      <c r="Q667" s="84">
        <f t="shared" si="41"/>
        <v>0</v>
      </c>
    </row>
    <row r="668" spans="15:17" x14ac:dyDescent="0.3">
      <c r="O668" s="156"/>
      <c r="Q668" s="84">
        <f t="shared" si="41"/>
        <v>0</v>
      </c>
    </row>
    <row r="669" spans="15:17" x14ac:dyDescent="0.3">
      <c r="O669" s="156"/>
      <c r="Q669" s="84">
        <f t="shared" si="41"/>
        <v>0</v>
      </c>
    </row>
    <row r="670" spans="15:17" x14ac:dyDescent="0.3">
      <c r="O670" s="156"/>
      <c r="Q670" s="84">
        <f t="shared" si="41"/>
        <v>0</v>
      </c>
    </row>
    <row r="671" spans="15:17" x14ac:dyDescent="0.3">
      <c r="O671" s="156"/>
      <c r="Q671" s="84">
        <f t="shared" si="41"/>
        <v>0</v>
      </c>
    </row>
    <row r="672" spans="15:17" x14ac:dyDescent="0.3">
      <c r="O672" s="156"/>
      <c r="Q672" s="84">
        <f t="shared" si="41"/>
        <v>0</v>
      </c>
    </row>
    <row r="673" spans="15:17" x14ac:dyDescent="0.3">
      <c r="O673" s="156"/>
      <c r="Q673" s="84">
        <f t="shared" si="41"/>
        <v>0</v>
      </c>
    </row>
    <row r="674" spans="15:17" x14ac:dyDescent="0.3">
      <c r="O674" s="156"/>
      <c r="Q674" s="84">
        <f t="shared" si="41"/>
        <v>0</v>
      </c>
    </row>
    <row r="675" spans="15:17" x14ac:dyDescent="0.3">
      <c r="O675" s="156"/>
      <c r="Q675" s="84">
        <f t="shared" si="41"/>
        <v>0</v>
      </c>
    </row>
    <row r="676" spans="15:17" x14ac:dyDescent="0.3">
      <c r="O676" s="156"/>
      <c r="Q676" s="84">
        <f t="shared" si="41"/>
        <v>0</v>
      </c>
    </row>
    <row r="677" spans="15:17" x14ac:dyDescent="0.3">
      <c r="O677" s="156"/>
      <c r="Q677" s="84">
        <f t="shared" si="41"/>
        <v>0</v>
      </c>
    </row>
    <row r="678" spans="15:17" x14ac:dyDescent="0.3">
      <c r="O678" s="156"/>
      <c r="Q678" s="84">
        <f t="shared" si="41"/>
        <v>0</v>
      </c>
    </row>
    <row r="679" spans="15:17" x14ac:dyDescent="0.3">
      <c r="O679" s="156"/>
      <c r="Q679" s="84">
        <f t="shared" si="41"/>
        <v>0</v>
      </c>
    </row>
    <row r="680" spans="15:17" x14ac:dyDescent="0.3">
      <c r="O680" s="156"/>
      <c r="Q680" s="84">
        <f t="shared" si="41"/>
        <v>0</v>
      </c>
    </row>
    <row r="681" spans="15:17" x14ac:dyDescent="0.3">
      <c r="O681" s="156"/>
      <c r="Q681" s="84">
        <f t="shared" si="41"/>
        <v>0</v>
      </c>
    </row>
    <row r="682" spans="15:17" x14ac:dyDescent="0.3">
      <c r="O682" s="156"/>
      <c r="Q682" s="84">
        <f t="shared" si="41"/>
        <v>0</v>
      </c>
    </row>
    <row r="683" spans="15:17" x14ac:dyDescent="0.3">
      <c r="O683" s="156"/>
      <c r="Q683" s="84">
        <f t="shared" si="41"/>
        <v>0</v>
      </c>
    </row>
    <row r="684" spans="15:17" x14ac:dyDescent="0.3">
      <c r="O684" s="156"/>
      <c r="Q684" s="84">
        <f t="shared" si="41"/>
        <v>0</v>
      </c>
    </row>
    <row r="685" spans="15:17" x14ac:dyDescent="0.3">
      <c r="O685" s="156"/>
      <c r="Q685" s="84">
        <f t="shared" si="41"/>
        <v>0</v>
      </c>
    </row>
    <row r="686" spans="15:17" x14ac:dyDescent="0.3">
      <c r="O686" s="156"/>
      <c r="Q686" s="84">
        <f t="shared" si="41"/>
        <v>0</v>
      </c>
    </row>
    <row r="687" spans="15:17" x14ac:dyDescent="0.3">
      <c r="O687" s="156"/>
      <c r="Q687" s="84">
        <f t="shared" si="41"/>
        <v>0</v>
      </c>
    </row>
    <row r="688" spans="15:17" x14ac:dyDescent="0.3">
      <c r="O688" s="156"/>
      <c r="Q688" s="84">
        <f t="shared" si="41"/>
        <v>0</v>
      </c>
    </row>
    <row r="689" spans="15:17" x14ac:dyDescent="0.3">
      <c r="O689" s="156"/>
      <c r="Q689" s="84">
        <f t="shared" si="41"/>
        <v>0</v>
      </c>
    </row>
    <row r="690" spans="15:17" x14ac:dyDescent="0.3">
      <c r="O690" s="156"/>
      <c r="Q690" s="84">
        <f t="shared" si="41"/>
        <v>0</v>
      </c>
    </row>
    <row r="691" spans="15:17" x14ac:dyDescent="0.3">
      <c r="O691" s="156"/>
      <c r="Q691" s="84">
        <f t="shared" si="41"/>
        <v>0</v>
      </c>
    </row>
    <row r="692" spans="15:17" x14ac:dyDescent="0.3">
      <c r="O692" s="156"/>
      <c r="Q692" s="84">
        <f t="shared" si="41"/>
        <v>0</v>
      </c>
    </row>
    <row r="693" spans="15:17" x14ac:dyDescent="0.3">
      <c r="O693" s="156"/>
      <c r="Q693" s="84">
        <f t="shared" si="41"/>
        <v>0</v>
      </c>
    </row>
    <row r="694" spans="15:17" x14ac:dyDescent="0.3">
      <c r="O694" s="156"/>
      <c r="Q694" s="84">
        <f t="shared" si="41"/>
        <v>0</v>
      </c>
    </row>
    <row r="695" spans="15:17" x14ac:dyDescent="0.3">
      <c r="O695" s="156"/>
      <c r="Q695" s="84">
        <f t="shared" si="41"/>
        <v>0</v>
      </c>
    </row>
    <row r="696" spans="15:17" x14ac:dyDescent="0.3">
      <c r="O696" s="156"/>
      <c r="Q696" s="84">
        <f t="shared" si="41"/>
        <v>0</v>
      </c>
    </row>
    <row r="697" spans="15:17" x14ac:dyDescent="0.3">
      <c r="O697" s="156"/>
      <c r="Q697" s="84">
        <f t="shared" si="41"/>
        <v>0</v>
      </c>
    </row>
    <row r="698" spans="15:17" x14ac:dyDescent="0.3">
      <c r="O698" s="156"/>
      <c r="Q698" s="84">
        <f t="shared" si="41"/>
        <v>0</v>
      </c>
    </row>
    <row r="699" spans="15:17" x14ac:dyDescent="0.3">
      <c r="O699" s="156"/>
      <c r="Q699" s="84">
        <f t="shared" si="41"/>
        <v>0</v>
      </c>
    </row>
    <row r="700" spans="15:17" x14ac:dyDescent="0.3">
      <c r="O700" s="156"/>
      <c r="Q700" s="84">
        <f t="shared" si="41"/>
        <v>0</v>
      </c>
    </row>
    <row r="701" spans="15:17" x14ac:dyDescent="0.3">
      <c r="O701" s="156"/>
      <c r="Q701" s="84">
        <f t="shared" si="41"/>
        <v>0</v>
      </c>
    </row>
    <row r="702" spans="15:17" x14ac:dyDescent="0.3">
      <c r="O702" s="156"/>
      <c r="Q702" s="84">
        <f t="shared" si="41"/>
        <v>0</v>
      </c>
    </row>
    <row r="703" spans="15:17" x14ac:dyDescent="0.3">
      <c r="O703" s="156"/>
      <c r="Q703" s="84">
        <f t="shared" si="41"/>
        <v>0</v>
      </c>
    </row>
    <row r="704" spans="15:17" x14ac:dyDescent="0.3">
      <c r="O704" s="156"/>
      <c r="Q704" s="84">
        <f t="shared" si="41"/>
        <v>0</v>
      </c>
    </row>
    <row r="705" spans="15:17" x14ac:dyDescent="0.3">
      <c r="O705" s="156"/>
      <c r="Q705" s="84">
        <f t="shared" si="41"/>
        <v>0</v>
      </c>
    </row>
    <row r="706" spans="15:17" x14ac:dyDescent="0.3">
      <c r="O706" s="156"/>
      <c r="Q706" s="84">
        <f t="shared" si="41"/>
        <v>0</v>
      </c>
    </row>
    <row r="707" spans="15:17" x14ac:dyDescent="0.3">
      <c r="O707" s="156"/>
      <c r="Q707" s="84">
        <f t="shared" si="41"/>
        <v>0</v>
      </c>
    </row>
    <row r="708" spans="15:17" x14ac:dyDescent="0.3">
      <c r="O708" s="156"/>
      <c r="Q708" s="84">
        <f t="shared" si="41"/>
        <v>0</v>
      </c>
    </row>
    <row r="709" spans="15:17" x14ac:dyDescent="0.3">
      <c r="O709" s="156"/>
      <c r="Q709" s="84">
        <f t="shared" si="41"/>
        <v>0</v>
      </c>
    </row>
    <row r="710" spans="15:17" x14ac:dyDescent="0.3">
      <c r="O710" s="156"/>
      <c r="Q710" s="84">
        <f t="shared" si="41"/>
        <v>0</v>
      </c>
    </row>
    <row r="711" spans="15:17" x14ac:dyDescent="0.3">
      <c r="O711" s="156"/>
      <c r="Q711" s="84">
        <f t="shared" si="41"/>
        <v>0</v>
      </c>
    </row>
    <row r="712" spans="15:17" x14ac:dyDescent="0.3">
      <c r="O712" s="156"/>
      <c r="Q712" s="84">
        <f t="shared" si="41"/>
        <v>0</v>
      </c>
    </row>
    <row r="713" spans="15:17" x14ac:dyDescent="0.3">
      <c r="O713" s="156"/>
      <c r="Q713" s="84">
        <f t="shared" si="41"/>
        <v>0</v>
      </c>
    </row>
    <row r="714" spans="15:17" x14ac:dyDescent="0.3">
      <c r="O714" s="156"/>
      <c r="Q714" s="84">
        <f t="shared" si="41"/>
        <v>0</v>
      </c>
    </row>
    <row r="715" spans="15:17" x14ac:dyDescent="0.3">
      <c r="O715" s="156"/>
      <c r="Q715" s="84">
        <f t="shared" si="41"/>
        <v>0</v>
      </c>
    </row>
    <row r="716" spans="15:17" x14ac:dyDescent="0.3">
      <c r="O716" s="156"/>
      <c r="Q716" s="84">
        <f t="shared" si="41"/>
        <v>0</v>
      </c>
    </row>
    <row r="717" spans="15:17" x14ac:dyDescent="0.3">
      <c r="O717" s="156"/>
      <c r="Q717" s="84">
        <f t="shared" si="41"/>
        <v>0</v>
      </c>
    </row>
    <row r="718" spans="15:17" x14ac:dyDescent="0.3">
      <c r="O718" s="156"/>
      <c r="Q718" s="84">
        <f t="shared" si="41"/>
        <v>0</v>
      </c>
    </row>
    <row r="719" spans="15:17" x14ac:dyDescent="0.3">
      <c r="O719" s="156"/>
      <c r="Q719" s="84">
        <f t="shared" si="41"/>
        <v>0</v>
      </c>
    </row>
    <row r="720" spans="15:17" x14ac:dyDescent="0.3">
      <c r="O720" s="156"/>
      <c r="Q720" s="84">
        <f t="shared" si="41"/>
        <v>0</v>
      </c>
    </row>
    <row r="721" spans="15:17" x14ac:dyDescent="0.3">
      <c r="O721" s="156"/>
      <c r="Q721" s="84">
        <f t="shared" si="41"/>
        <v>0</v>
      </c>
    </row>
    <row r="722" spans="15:17" x14ac:dyDescent="0.3">
      <c r="O722" s="156"/>
      <c r="Q722" s="84">
        <f t="shared" si="41"/>
        <v>0</v>
      </c>
    </row>
    <row r="723" spans="15:17" x14ac:dyDescent="0.3">
      <c r="O723" s="156"/>
      <c r="Q723" s="84">
        <f t="shared" si="41"/>
        <v>0</v>
      </c>
    </row>
    <row r="724" spans="15:17" x14ac:dyDescent="0.3">
      <c r="O724" s="156"/>
      <c r="Q724" s="84">
        <f t="shared" si="41"/>
        <v>0</v>
      </c>
    </row>
    <row r="725" spans="15:17" x14ac:dyDescent="0.3">
      <c r="O725" s="156"/>
      <c r="Q725" s="84">
        <f t="shared" si="41"/>
        <v>0</v>
      </c>
    </row>
    <row r="726" spans="15:17" x14ac:dyDescent="0.3">
      <c r="O726" s="156"/>
      <c r="Q726" s="84">
        <f t="shared" si="41"/>
        <v>0</v>
      </c>
    </row>
    <row r="727" spans="15:17" x14ac:dyDescent="0.3">
      <c r="O727" s="156"/>
      <c r="Q727" s="84">
        <f t="shared" si="41"/>
        <v>0</v>
      </c>
    </row>
    <row r="728" spans="15:17" x14ac:dyDescent="0.3">
      <c r="O728" s="156"/>
      <c r="Q728" s="84">
        <f t="shared" si="41"/>
        <v>0</v>
      </c>
    </row>
    <row r="729" spans="15:17" x14ac:dyDescent="0.3">
      <c r="O729" s="156"/>
      <c r="Q729" s="84">
        <f t="shared" si="41"/>
        <v>0</v>
      </c>
    </row>
    <row r="730" spans="15:17" x14ac:dyDescent="0.3">
      <c r="O730" s="156"/>
      <c r="Q730" s="84">
        <f t="shared" si="41"/>
        <v>0</v>
      </c>
    </row>
    <row r="731" spans="15:17" x14ac:dyDescent="0.3">
      <c r="O731" s="156"/>
      <c r="Q731" s="84">
        <f t="shared" si="41"/>
        <v>0</v>
      </c>
    </row>
    <row r="732" spans="15:17" x14ac:dyDescent="0.3">
      <c r="O732" s="156"/>
      <c r="Q732" s="84">
        <f t="shared" si="41"/>
        <v>0</v>
      </c>
    </row>
    <row r="733" spans="15:17" x14ac:dyDescent="0.3">
      <c r="O733" s="156"/>
      <c r="Q733" s="84">
        <f t="shared" si="41"/>
        <v>0</v>
      </c>
    </row>
    <row r="734" spans="15:17" x14ac:dyDescent="0.3">
      <c r="O734" s="156"/>
      <c r="Q734" s="84">
        <f t="shared" si="41"/>
        <v>0</v>
      </c>
    </row>
    <row r="735" spans="15:17" x14ac:dyDescent="0.3">
      <c r="O735" s="156"/>
      <c r="Q735" s="84">
        <f t="shared" si="41"/>
        <v>0</v>
      </c>
    </row>
    <row r="736" spans="15:17" x14ac:dyDescent="0.3">
      <c r="O736" s="156"/>
      <c r="Q736" s="84">
        <f t="shared" si="41"/>
        <v>0</v>
      </c>
    </row>
    <row r="737" spans="15:17" x14ac:dyDescent="0.3">
      <c r="O737" s="156"/>
      <c r="Q737" s="84">
        <f t="shared" si="41"/>
        <v>0</v>
      </c>
    </row>
    <row r="738" spans="15:17" x14ac:dyDescent="0.3">
      <c r="O738" s="156"/>
      <c r="Q738" s="84">
        <f t="shared" si="41"/>
        <v>0</v>
      </c>
    </row>
    <row r="739" spans="15:17" x14ac:dyDescent="0.3">
      <c r="O739" s="156"/>
      <c r="Q739" s="84">
        <f t="shared" si="41"/>
        <v>0</v>
      </c>
    </row>
    <row r="740" spans="15:17" x14ac:dyDescent="0.3">
      <c r="O740" s="156"/>
      <c r="Q740" s="84">
        <f t="shared" si="41"/>
        <v>0</v>
      </c>
    </row>
    <row r="741" spans="15:17" x14ac:dyDescent="0.3">
      <c r="O741" s="156"/>
      <c r="Q741" s="84">
        <f t="shared" si="41"/>
        <v>0</v>
      </c>
    </row>
    <row r="742" spans="15:17" x14ac:dyDescent="0.3">
      <c r="O742" s="156"/>
      <c r="Q742" s="84">
        <f t="shared" si="41"/>
        <v>0</v>
      </c>
    </row>
    <row r="743" spans="15:17" x14ac:dyDescent="0.3">
      <c r="O743" s="156"/>
      <c r="Q743" s="84">
        <f t="shared" si="41"/>
        <v>0</v>
      </c>
    </row>
    <row r="744" spans="15:17" x14ac:dyDescent="0.3">
      <c r="O744" s="156"/>
      <c r="Q744" s="84">
        <f t="shared" si="41"/>
        <v>0</v>
      </c>
    </row>
    <row r="745" spans="15:17" x14ac:dyDescent="0.3">
      <c r="O745" s="156"/>
      <c r="Q745" s="84">
        <f t="shared" si="41"/>
        <v>0</v>
      </c>
    </row>
    <row r="746" spans="15:17" x14ac:dyDescent="0.3">
      <c r="O746" s="156"/>
      <c r="Q746" s="84">
        <f t="shared" si="41"/>
        <v>0</v>
      </c>
    </row>
    <row r="747" spans="15:17" x14ac:dyDescent="0.3">
      <c r="O747" s="156"/>
      <c r="Q747" s="84">
        <f t="shared" si="41"/>
        <v>0</v>
      </c>
    </row>
    <row r="748" spans="15:17" x14ac:dyDescent="0.3">
      <c r="O748" s="156"/>
      <c r="Q748" s="84">
        <f t="shared" si="41"/>
        <v>0</v>
      </c>
    </row>
    <row r="749" spans="15:17" x14ac:dyDescent="0.3">
      <c r="O749" s="156"/>
      <c r="Q749" s="84">
        <f t="shared" si="41"/>
        <v>0</v>
      </c>
    </row>
    <row r="750" spans="15:17" x14ac:dyDescent="0.3">
      <c r="O750" s="156"/>
      <c r="Q750" s="84">
        <f t="shared" si="41"/>
        <v>0</v>
      </c>
    </row>
    <row r="751" spans="15:17" x14ac:dyDescent="0.3">
      <c r="O751" s="156"/>
      <c r="Q751" s="84">
        <f t="shared" si="41"/>
        <v>0</v>
      </c>
    </row>
    <row r="752" spans="15:17" x14ac:dyDescent="0.3">
      <c r="O752" s="156"/>
      <c r="Q752" s="84">
        <f t="shared" si="41"/>
        <v>0</v>
      </c>
    </row>
    <row r="753" spans="15:17" x14ac:dyDescent="0.3">
      <c r="O753" s="156"/>
      <c r="Q753" s="84">
        <f t="shared" si="41"/>
        <v>0</v>
      </c>
    </row>
    <row r="754" spans="15:17" x14ac:dyDescent="0.3">
      <c r="O754" s="156"/>
      <c r="Q754" s="84">
        <f t="shared" si="41"/>
        <v>0</v>
      </c>
    </row>
    <row r="755" spans="15:17" x14ac:dyDescent="0.3">
      <c r="O755" s="156"/>
      <c r="Q755" s="84">
        <f t="shared" si="41"/>
        <v>0</v>
      </c>
    </row>
    <row r="756" spans="15:17" x14ac:dyDescent="0.3">
      <c r="O756" s="156"/>
      <c r="Q756" s="84">
        <f t="shared" si="41"/>
        <v>0</v>
      </c>
    </row>
    <row r="757" spans="15:17" x14ac:dyDescent="0.3">
      <c r="O757" s="156"/>
      <c r="Q757" s="84">
        <f t="shared" si="41"/>
        <v>0</v>
      </c>
    </row>
    <row r="758" spans="15:17" x14ac:dyDescent="0.3">
      <c r="O758" s="156"/>
      <c r="Q758" s="84">
        <f t="shared" si="41"/>
        <v>0</v>
      </c>
    </row>
    <row r="759" spans="15:17" x14ac:dyDescent="0.3">
      <c r="O759" s="156"/>
      <c r="Q759" s="84">
        <f t="shared" si="41"/>
        <v>0</v>
      </c>
    </row>
    <row r="760" spans="15:17" x14ac:dyDescent="0.3">
      <c r="O760" s="156"/>
      <c r="Q760" s="84">
        <f t="shared" si="41"/>
        <v>0</v>
      </c>
    </row>
    <row r="761" spans="15:17" x14ac:dyDescent="0.3">
      <c r="O761" s="156"/>
      <c r="Q761" s="84">
        <f t="shared" si="41"/>
        <v>0</v>
      </c>
    </row>
    <row r="762" spans="15:17" x14ac:dyDescent="0.3">
      <c r="O762" s="156"/>
      <c r="Q762" s="84">
        <f t="shared" si="41"/>
        <v>0</v>
      </c>
    </row>
    <row r="763" spans="15:17" x14ac:dyDescent="0.3">
      <c r="O763" s="156"/>
      <c r="Q763" s="84">
        <f t="shared" si="41"/>
        <v>0</v>
      </c>
    </row>
    <row r="764" spans="15:17" x14ac:dyDescent="0.3">
      <c r="O764" s="156"/>
      <c r="Q764" s="84">
        <f t="shared" si="41"/>
        <v>0</v>
      </c>
    </row>
    <row r="765" spans="15:17" x14ac:dyDescent="0.3">
      <c r="O765" s="156"/>
      <c r="Q765" s="84">
        <f t="shared" si="41"/>
        <v>0</v>
      </c>
    </row>
    <row r="766" spans="15:17" x14ac:dyDescent="0.3">
      <c r="O766" s="156"/>
      <c r="Q766" s="84">
        <f t="shared" si="41"/>
        <v>0</v>
      </c>
    </row>
    <row r="767" spans="15:17" x14ac:dyDescent="0.3">
      <c r="O767" s="156"/>
      <c r="Q767" s="84">
        <f t="shared" ref="Q767:Q1001" si="42">SUM(R767:V767)</f>
        <v>0</v>
      </c>
    </row>
    <row r="768" spans="15:17" x14ac:dyDescent="0.3">
      <c r="O768" s="156"/>
      <c r="Q768" s="84">
        <f t="shared" si="42"/>
        <v>0</v>
      </c>
    </row>
    <row r="769" spans="15:17" x14ac:dyDescent="0.3">
      <c r="O769" s="156"/>
      <c r="Q769" s="84">
        <f t="shared" si="42"/>
        <v>0</v>
      </c>
    </row>
    <row r="770" spans="15:17" x14ac:dyDescent="0.3">
      <c r="O770" s="156"/>
      <c r="Q770" s="84">
        <f t="shared" si="42"/>
        <v>0</v>
      </c>
    </row>
    <row r="771" spans="15:17" x14ac:dyDescent="0.3">
      <c r="O771" s="156"/>
      <c r="Q771" s="84">
        <f t="shared" si="42"/>
        <v>0</v>
      </c>
    </row>
    <row r="772" spans="15:17" x14ac:dyDescent="0.3">
      <c r="O772" s="156"/>
      <c r="Q772" s="84">
        <f t="shared" si="42"/>
        <v>0</v>
      </c>
    </row>
    <row r="773" spans="15:17" x14ac:dyDescent="0.3">
      <c r="O773" s="156"/>
      <c r="Q773" s="84">
        <f t="shared" si="42"/>
        <v>0</v>
      </c>
    </row>
    <row r="774" spans="15:17" x14ac:dyDescent="0.3">
      <c r="O774" s="156"/>
      <c r="Q774" s="84">
        <f t="shared" si="42"/>
        <v>0</v>
      </c>
    </row>
    <row r="775" spans="15:17" x14ac:dyDescent="0.3">
      <c r="O775" s="156"/>
      <c r="Q775" s="84">
        <f t="shared" si="42"/>
        <v>0</v>
      </c>
    </row>
    <row r="776" spans="15:17" x14ac:dyDescent="0.3">
      <c r="O776" s="156"/>
      <c r="Q776" s="84">
        <f t="shared" si="42"/>
        <v>0</v>
      </c>
    </row>
    <row r="777" spans="15:17" x14ac:dyDescent="0.3">
      <c r="O777" s="156"/>
      <c r="Q777" s="84">
        <f t="shared" si="42"/>
        <v>0</v>
      </c>
    </row>
    <row r="778" spans="15:17" x14ac:dyDescent="0.3">
      <c r="O778" s="156"/>
      <c r="Q778" s="84">
        <f t="shared" si="42"/>
        <v>0</v>
      </c>
    </row>
    <row r="779" spans="15:17" x14ac:dyDescent="0.3">
      <c r="O779" s="156"/>
      <c r="Q779" s="84">
        <f t="shared" si="42"/>
        <v>0</v>
      </c>
    </row>
    <row r="780" spans="15:17" x14ac:dyDescent="0.3">
      <c r="O780" s="156"/>
      <c r="Q780" s="84">
        <f t="shared" si="42"/>
        <v>0</v>
      </c>
    </row>
    <row r="781" spans="15:17" x14ac:dyDescent="0.3">
      <c r="O781" s="156"/>
      <c r="Q781" s="84">
        <f t="shared" si="42"/>
        <v>0</v>
      </c>
    </row>
    <row r="782" spans="15:17" x14ac:dyDescent="0.3">
      <c r="O782" s="156"/>
      <c r="Q782" s="84">
        <f t="shared" si="42"/>
        <v>0</v>
      </c>
    </row>
    <row r="783" spans="15:17" x14ac:dyDescent="0.3">
      <c r="O783" s="156"/>
      <c r="Q783" s="84">
        <f t="shared" si="42"/>
        <v>0</v>
      </c>
    </row>
    <row r="784" spans="15:17" x14ac:dyDescent="0.3">
      <c r="O784" s="156"/>
      <c r="Q784" s="84">
        <f t="shared" si="42"/>
        <v>0</v>
      </c>
    </row>
    <row r="785" spans="15:17" x14ac:dyDescent="0.3">
      <c r="O785" s="156"/>
      <c r="Q785" s="84">
        <f t="shared" si="42"/>
        <v>0</v>
      </c>
    </row>
    <row r="786" spans="15:17" x14ac:dyDescent="0.3">
      <c r="O786" s="156"/>
      <c r="Q786" s="84">
        <f t="shared" si="42"/>
        <v>0</v>
      </c>
    </row>
    <row r="787" spans="15:17" x14ac:dyDescent="0.3">
      <c r="O787" s="156"/>
      <c r="Q787" s="84">
        <f t="shared" si="42"/>
        <v>0</v>
      </c>
    </row>
    <row r="788" spans="15:17" x14ac:dyDescent="0.3">
      <c r="O788" s="156"/>
      <c r="Q788" s="84">
        <f t="shared" si="42"/>
        <v>0</v>
      </c>
    </row>
    <row r="789" spans="15:17" x14ac:dyDescent="0.3">
      <c r="O789" s="156"/>
      <c r="Q789" s="84">
        <f t="shared" si="42"/>
        <v>0</v>
      </c>
    </row>
    <row r="790" spans="15:17" x14ac:dyDescent="0.3">
      <c r="O790" s="156"/>
      <c r="Q790" s="84">
        <f t="shared" si="42"/>
        <v>0</v>
      </c>
    </row>
    <row r="791" spans="15:17" x14ac:dyDescent="0.3">
      <c r="O791" s="156"/>
      <c r="Q791" s="84">
        <f t="shared" si="42"/>
        <v>0</v>
      </c>
    </row>
    <row r="792" spans="15:17" x14ac:dyDescent="0.3">
      <c r="O792" s="156"/>
      <c r="Q792" s="84">
        <f t="shared" si="42"/>
        <v>0</v>
      </c>
    </row>
    <row r="793" spans="15:17" x14ac:dyDescent="0.3">
      <c r="O793" s="156"/>
      <c r="Q793" s="84">
        <f t="shared" si="42"/>
        <v>0</v>
      </c>
    </row>
    <row r="794" spans="15:17" x14ac:dyDescent="0.3">
      <c r="O794" s="156"/>
      <c r="Q794" s="84">
        <f t="shared" si="42"/>
        <v>0</v>
      </c>
    </row>
    <row r="795" spans="15:17" x14ac:dyDescent="0.3">
      <c r="O795" s="156"/>
      <c r="Q795" s="84">
        <f t="shared" si="42"/>
        <v>0</v>
      </c>
    </row>
    <row r="796" spans="15:17" x14ac:dyDescent="0.3">
      <c r="O796" s="156"/>
      <c r="Q796" s="84">
        <f t="shared" si="42"/>
        <v>0</v>
      </c>
    </row>
    <row r="797" spans="15:17" x14ac:dyDescent="0.3">
      <c r="O797" s="156"/>
      <c r="Q797" s="84">
        <f t="shared" si="42"/>
        <v>0</v>
      </c>
    </row>
    <row r="798" spans="15:17" x14ac:dyDescent="0.3">
      <c r="O798" s="156"/>
      <c r="Q798" s="84">
        <f t="shared" si="42"/>
        <v>0</v>
      </c>
    </row>
    <row r="799" spans="15:17" x14ac:dyDescent="0.3">
      <c r="O799" s="156"/>
      <c r="Q799" s="84">
        <f t="shared" si="42"/>
        <v>0</v>
      </c>
    </row>
    <row r="800" spans="15:17" x14ac:dyDescent="0.3">
      <c r="O800" s="156"/>
      <c r="Q800" s="84">
        <f t="shared" si="42"/>
        <v>0</v>
      </c>
    </row>
    <row r="801" spans="15:17" x14ac:dyDescent="0.3">
      <c r="O801" s="156"/>
      <c r="Q801" s="84">
        <f t="shared" si="42"/>
        <v>0</v>
      </c>
    </row>
    <row r="802" spans="15:17" x14ac:dyDescent="0.3">
      <c r="O802" s="156"/>
      <c r="Q802" s="84">
        <f t="shared" si="42"/>
        <v>0</v>
      </c>
    </row>
    <row r="803" spans="15:17" x14ac:dyDescent="0.3">
      <c r="O803" s="156"/>
      <c r="Q803" s="84">
        <f t="shared" si="42"/>
        <v>0</v>
      </c>
    </row>
    <row r="804" spans="15:17" x14ac:dyDescent="0.3">
      <c r="O804" s="156"/>
      <c r="Q804" s="84">
        <f t="shared" si="42"/>
        <v>0</v>
      </c>
    </row>
    <row r="805" spans="15:17" x14ac:dyDescent="0.3">
      <c r="O805" s="156"/>
      <c r="Q805" s="84">
        <f t="shared" si="42"/>
        <v>0</v>
      </c>
    </row>
    <row r="806" spans="15:17" x14ac:dyDescent="0.3">
      <c r="O806" s="156"/>
      <c r="Q806" s="84">
        <f t="shared" si="42"/>
        <v>0</v>
      </c>
    </row>
    <row r="807" spans="15:17" x14ac:dyDescent="0.3">
      <c r="O807" s="156"/>
      <c r="Q807" s="84">
        <f t="shared" si="42"/>
        <v>0</v>
      </c>
    </row>
    <row r="808" spans="15:17" x14ac:dyDescent="0.3">
      <c r="O808" s="156"/>
      <c r="Q808" s="84">
        <f t="shared" si="42"/>
        <v>0</v>
      </c>
    </row>
    <row r="809" spans="15:17" x14ac:dyDescent="0.3">
      <c r="O809" s="156"/>
      <c r="Q809" s="84">
        <f t="shared" si="42"/>
        <v>0</v>
      </c>
    </row>
    <row r="810" spans="15:17" x14ac:dyDescent="0.3">
      <c r="O810" s="156"/>
      <c r="Q810" s="84">
        <f t="shared" si="42"/>
        <v>0</v>
      </c>
    </row>
    <row r="811" spans="15:17" x14ac:dyDescent="0.3">
      <c r="O811" s="156"/>
      <c r="Q811" s="84">
        <f t="shared" si="42"/>
        <v>0</v>
      </c>
    </row>
    <row r="812" spans="15:17" x14ac:dyDescent="0.3">
      <c r="O812" s="156"/>
      <c r="Q812" s="84">
        <f t="shared" si="42"/>
        <v>0</v>
      </c>
    </row>
    <row r="813" spans="15:17" x14ac:dyDescent="0.3">
      <c r="O813" s="156"/>
      <c r="Q813" s="84">
        <f t="shared" si="42"/>
        <v>0</v>
      </c>
    </row>
    <row r="814" spans="15:17" x14ac:dyDescent="0.3">
      <c r="O814" s="156"/>
      <c r="Q814" s="84">
        <f t="shared" si="42"/>
        <v>0</v>
      </c>
    </row>
    <row r="815" spans="15:17" x14ac:dyDescent="0.3">
      <c r="O815" s="156"/>
      <c r="Q815" s="84">
        <f t="shared" si="42"/>
        <v>0</v>
      </c>
    </row>
    <row r="816" spans="15:17" x14ac:dyDescent="0.3">
      <c r="O816" s="156"/>
      <c r="Q816" s="84">
        <f t="shared" si="42"/>
        <v>0</v>
      </c>
    </row>
    <row r="817" spans="15:17" x14ac:dyDescent="0.3">
      <c r="O817" s="156"/>
      <c r="Q817" s="84">
        <f t="shared" si="42"/>
        <v>0</v>
      </c>
    </row>
    <row r="818" spans="15:17" x14ac:dyDescent="0.3">
      <c r="O818" s="156"/>
      <c r="Q818" s="84">
        <f t="shared" si="42"/>
        <v>0</v>
      </c>
    </row>
    <row r="819" spans="15:17" x14ac:dyDescent="0.3">
      <c r="O819" s="156"/>
      <c r="Q819" s="84">
        <f t="shared" si="42"/>
        <v>0</v>
      </c>
    </row>
    <row r="820" spans="15:17" x14ac:dyDescent="0.3">
      <c r="O820" s="156"/>
      <c r="Q820" s="84">
        <f t="shared" si="42"/>
        <v>0</v>
      </c>
    </row>
    <row r="821" spans="15:17" x14ac:dyDescent="0.3">
      <c r="O821" s="156"/>
      <c r="Q821" s="84">
        <f t="shared" si="42"/>
        <v>0</v>
      </c>
    </row>
    <row r="822" spans="15:17" x14ac:dyDescent="0.3">
      <c r="O822" s="156"/>
      <c r="Q822" s="84">
        <f t="shared" si="42"/>
        <v>0</v>
      </c>
    </row>
    <row r="823" spans="15:17" x14ac:dyDescent="0.3">
      <c r="O823" s="156"/>
      <c r="Q823" s="84">
        <f t="shared" si="42"/>
        <v>0</v>
      </c>
    </row>
    <row r="824" spans="15:17" x14ac:dyDescent="0.3">
      <c r="O824" s="156"/>
      <c r="Q824" s="84">
        <f t="shared" si="42"/>
        <v>0</v>
      </c>
    </row>
    <row r="825" spans="15:17" x14ac:dyDescent="0.3">
      <c r="O825" s="156"/>
      <c r="Q825" s="84">
        <f t="shared" si="42"/>
        <v>0</v>
      </c>
    </row>
    <row r="826" spans="15:17" x14ac:dyDescent="0.3">
      <c r="O826" s="156"/>
      <c r="Q826" s="84">
        <f t="shared" si="42"/>
        <v>0</v>
      </c>
    </row>
    <row r="827" spans="15:17" x14ac:dyDescent="0.3">
      <c r="O827" s="156"/>
      <c r="Q827" s="84">
        <f t="shared" si="42"/>
        <v>0</v>
      </c>
    </row>
    <row r="828" spans="15:17" x14ac:dyDescent="0.3">
      <c r="O828" s="156"/>
      <c r="Q828" s="84">
        <f t="shared" si="42"/>
        <v>0</v>
      </c>
    </row>
    <row r="829" spans="15:17" x14ac:dyDescent="0.3">
      <c r="O829" s="156"/>
      <c r="Q829" s="84">
        <f t="shared" si="42"/>
        <v>0</v>
      </c>
    </row>
    <row r="830" spans="15:17" x14ac:dyDescent="0.3">
      <c r="O830" s="156"/>
      <c r="Q830" s="84">
        <f t="shared" si="42"/>
        <v>0</v>
      </c>
    </row>
    <row r="831" spans="15:17" x14ac:dyDescent="0.3">
      <c r="O831" s="156"/>
      <c r="Q831" s="84">
        <f t="shared" si="42"/>
        <v>0</v>
      </c>
    </row>
    <row r="832" spans="15:17" x14ac:dyDescent="0.3">
      <c r="O832" s="156"/>
      <c r="Q832" s="84">
        <f t="shared" si="42"/>
        <v>0</v>
      </c>
    </row>
    <row r="833" spans="15:17" x14ac:dyDescent="0.3">
      <c r="O833" s="156"/>
      <c r="Q833" s="84">
        <f t="shared" si="42"/>
        <v>0</v>
      </c>
    </row>
    <row r="834" spans="15:17" x14ac:dyDescent="0.3">
      <c r="O834" s="156"/>
      <c r="Q834" s="84">
        <f t="shared" si="42"/>
        <v>0</v>
      </c>
    </row>
    <row r="835" spans="15:17" x14ac:dyDescent="0.3">
      <c r="O835" s="156"/>
      <c r="Q835" s="84">
        <f t="shared" si="42"/>
        <v>0</v>
      </c>
    </row>
    <row r="836" spans="15:17" x14ac:dyDescent="0.3">
      <c r="O836" s="156"/>
      <c r="Q836" s="84">
        <f t="shared" si="42"/>
        <v>0</v>
      </c>
    </row>
    <row r="837" spans="15:17" x14ac:dyDescent="0.3">
      <c r="O837" s="156"/>
      <c r="Q837" s="84">
        <f t="shared" si="42"/>
        <v>0</v>
      </c>
    </row>
    <row r="838" spans="15:17" x14ac:dyDescent="0.3">
      <c r="O838" s="156"/>
      <c r="Q838" s="84">
        <f t="shared" si="42"/>
        <v>0</v>
      </c>
    </row>
    <row r="839" spans="15:17" x14ac:dyDescent="0.3">
      <c r="O839" s="156"/>
      <c r="Q839" s="84">
        <f t="shared" si="42"/>
        <v>0</v>
      </c>
    </row>
    <row r="840" spans="15:17" x14ac:dyDescent="0.3">
      <c r="O840" s="156"/>
      <c r="Q840" s="84">
        <f t="shared" si="42"/>
        <v>0</v>
      </c>
    </row>
    <row r="841" spans="15:17" x14ac:dyDescent="0.3">
      <c r="O841" s="156"/>
      <c r="Q841" s="84">
        <f t="shared" si="42"/>
        <v>0</v>
      </c>
    </row>
    <row r="842" spans="15:17" x14ac:dyDescent="0.3">
      <c r="O842" s="156"/>
      <c r="Q842" s="84">
        <f t="shared" si="42"/>
        <v>0</v>
      </c>
    </row>
    <row r="843" spans="15:17" x14ac:dyDescent="0.3">
      <c r="O843" s="156"/>
      <c r="Q843" s="84">
        <f t="shared" si="42"/>
        <v>0</v>
      </c>
    </row>
    <row r="844" spans="15:17" x14ac:dyDescent="0.3">
      <c r="O844" s="156"/>
      <c r="Q844" s="84">
        <f t="shared" si="42"/>
        <v>0</v>
      </c>
    </row>
    <row r="845" spans="15:17" x14ac:dyDescent="0.3">
      <c r="O845" s="156"/>
      <c r="Q845" s="84">
        <f t="shared" si="42"/>
        <v>0</v>
      </c>
    </row>
    <row r="846" spans="15:17" x14ac:dyDescent="0.3">
      <c r="O846" s="156"/>
      <c r="Q846" s="84">
        <f t="shared" si="42"/>
        <v>0</v>
      </c>
    </row>
    <row r="847" spans="15:17" x14ac:dyDescent="0.3">
      <c r="O847" s="156"/>
      <c r="Q847" s="84">
        <f t="shared" si="42"/>
        <v>0</v>
      </c>
    </row>
    <row r="848" spans="15:17" x14ac:dyDescent="0.3">
      <c r="O848" s="156"/>
      <c r="Q848" s="84">
        <f t="shared" si="42"/>
        <v>0</v>
      </c>
    </row>
    <row r="849" spans="15:17" x14ac:dyDescent="0.3">
      <c r="O849" s="156"/>
      <c r="Q849" s="84">
        <f t="shared" si="42"/>
        <v>0</v>
      </c>
    </row>
    <row r="850" spans="15:17" x14ac:dyDescent="0.3">
      <c r="O850" s="156"/>
      <c r="Q850" s="84">
        <f t="shared" si="42"/>
        <v>0</v>
      </c>
    </row>
    <row r="851" spans="15:17" x14ac:dyDescent="0.3">
      <c r="O851" s="156"/>
      <c r="Q851" s="84">
        <f t="shared" si="42"/>
        <v>0</v>
      </c>
    </row>
    <row r="852" spans="15:17" x14ac:dyDescent="0.3">
      <c r="O852" s="156"/>
      <c r="Q852" s="84">
        <f t="shared" si="42"/>
        <v>0</v>
      </c>
    </row>
    <row r="853" spans="15:17" x14ac:dyDescent="0.3">
      <c r="O853" s="156"/>
      <c r="Q853" s="84">
        <f t="shared" si="42"/>
        <v>0</v>
      </c>
    </row>
    <row r="854" spans="15:17" x14ac:dyDescent="0.3">
      <c r="O854" s="156"/>
      <c r="Q854" s="84">
        <f t="shared" si="42"/>
        <v>0</v>
      </c>
    </row>
    <row r="855" spans="15:17" x14ac:dyDescent="0.3">
      <c r="O855" s="156"/>
      <c r="Q855" s="84">
        <f t="shared" si="42"/>
        <v>0</v>
      </c>
    </row>
    <row r="856" spans="15:17" x14ac:dyDescent="0.3">
      <c r="O856" s="156"/>
      <c r="Q856" s="84">
        <f t="shared" si="42"/>
        <v>0</v>
      </c>
    </row>
    <row r="857" spans="15:17" x14ac:dyDescent="0.3">
      <c r="O857" s="156"/>
      <c r="Q857" s="84">
        <f t="shared" si="42"/>
        <v>0</v>
      </c>
    </row>
    <row r="858" spans="15:17" x14ac:dyDescent="0.3">
      <c r="O858" s="156"/>
      <c r="Q858" s="84">
        <f t="shared" si="42"/>
        <v>0</v>
      </c>
    </row>
    <row r="859" spans="15:17" x14ac:dyDescent="0.3">
      <c r="O859" s="156"/>
      <c r="Q859" s="84">
        <f t="shared" si="42"/>
        <v>0</v>
      </c>
    </row>
    <row r="860" spans="15:17" x14ac:dyDescent="0.3">
      <c r="O860" s="156"/>
      <c r="Q860" s="84">
        <f t="shared" si="42"/>
        <v>0</v>
      </c>
    </row>
    <row r="861" spans="15:17" x14ac:dyDescent="0.3">
      <c r="O861" s="156"/>
      <c r="Q861" s="84">
        <f t="shared" si="42"/>
        <v>0</v>
      </c>
    </row>
    <row r="862" spans="15:17" x14ac:dyDescent="0.3">
      <c r="O862" s="156"/>
      <c r="Q862" s="84">
        <f t="shared" si="42"/>
        <v>0</v>
      </c>
    </row>
    <row r="863" spans="15:17" x14ac:dyDescent="0.3">
      <c r="O863" s="156"/>
      <c r="Q863" s="84">
        <f t="shared" si="42"/>
        <v>0</v>
      </c>
    </row>
    <row r="864" spans="15:17" x14ac:dyDescent="0.3">
      <c r="O864" s="156"/>
      <c r="Q864" s="84">
        <f t="shared" si="42"/>
        <v>0</v>
      </c>
    </row>
    <row r="865" spans="15:17" x14ac:dyDescent="0.3">
      <c r="O865" s="156"/>
      <c r="Q865" s="84">
        <f t="shared" si="42"/>
        <v>0</v>
      </c>
    </row>
    <row r="866" spans="15:17" x14ac:dyDescent="0.3">
      <c r="O866" s="156"/>
      <c r="Q866" s="84">
        <f t="shared" si="42"/>
        <v>0</v>
      </c>
    </row>
    <row r="867" spans="15:17" x14ac:dyDescent="0.3">
      <c r="O867" s="156"/>
      <c r="Q867" s="84">
        <f t="shared" si="42"/>
        <v>0</v>
      </c>
    </row>
    <row r="868" spans="15:17" x14ac:dyDescent="0.3">
      <c r="O868" s="156"/>
      <c r="Q868" s="84">
        <f t="shared" si="42"/>
        <v>0</v>
      </c>
    </row>
    <row r="869" spans="15:17" x14ac:dyDescent="0.3">
      <c r="O869" s="156"/>
      <c r="Q869" s="84">
        <f t="shared" si="42"/>
        <v>0</v>
      </c>
    </row>
    <row r="870" spans="15:17" x14ac:dyDescent="0.3">
      <c r="O870" s="156"/>
      <c r="Q870" s="84">
        <f t="shared" si="42"/>
        <v>0</v>
      </c>
    </row>
    <row r="871" spans="15:17" x14ac:dyDescent="0.3">
      <c r="O871" s="156"/>
      <c r="Q871" s="84">
        <f t="shared" si="42"/>
        <v>0</v>
      </c>
    </row>
    <row r="872" spans="15:17" x14ac:dyDescent="0.3">
      <c r="O872" s="156"/>
      <c r="Q872" s="84">
        <f t="shared" si="42"/>
        <v>0</v>
      </c>
    </row>
    <row r="873" spans="15:17" x14ac:dyDescent="0.3">
      <c r="O873" s="156"/>
      <c r="Q873" s="84">
        <f t="shared" si="42"/>
        <v>0</v>
      </c>
    </row>
    <row r="874" spans="15:17" x14ac:dyDescent="0.3">
      <c r="O874" s="156"/>
      <c r="Q874" s="84">
        <f t="shared" si="42"/>
        <v>0</v>
      </c>
    </row>
    <row r="875" spans="15:17" x14ac:dyDescent="0.3">
      <c r="O875" s="156"/>
      <c r="Q875" s="84">
        <f t="shared" si="42"/>
        <v>0</v>
      </c>
    </row>
    <row r="876" spans="15:17" x14ac:dyDescent="0.3">
      <c r="O876" s="156"/>
      <c r="Q876" s="84">
        <f t="shared" si="42"/>
        <v>0</v>
      </c>
    </row>
    <row r="877" spans="15:17" x14ac:dyDescent="0.3">
      <c r="O877" s="156"/>
      <c r="Q877" s="84">
        <f t="shared" si="42"/>
        <v>0</v>
      </c>
    </row>
    <row r="878" spans="15:17" x14ac:dyDescent="0.3">
      <c r="O878" s="156"/>
      <c r="Q878" s="84">
        <f t="shared" si="42"/>
        <v>0</v>
      </c>
    </row>
    <row r="879" spans="15:17" x14ac:dyDescent="0.3">
      <c r="O879" s="156"/>
      <c r="Q879" s="84">
        <f t="shared" si="42"/>
        <v>0</v>
      </c>
    </row>
    <row r="880" spans="15:17" x14ac:dyDescent="0.3">
      <c r="O880" s="156"/>
      <c r="Q880" s="84">
        <f t="shared" si="42"/>
        <v>0</v>
      </c>
    </row>
    <row r="881" spans="15:17" x14ac:dyDescent="0.3">
      <c r="O881" s="156"/>
      <c r="Q881" s="84">
        <f t="shared" si="42"/>
        <v>0</v>
      </c>
    </row>
    <row r="882" spans="15:17" x14ac:dyDescent="0.3">
      <c r="O882" s="156"/>
      <c r="Q882" s="84">
        <f t="shared" si="42"/>
        <v>0</v>
      </c>
    </row>
    <row r="883" spans="15:17" x14ac:dyDescent="0.3">
      <c r="O883" s="156"/>
      <c r="Q883" s="84">
        <f t="shared" si="42"/>
        <v>0</v>
      </c>
    </row>
    <row r="884" spans="15:17" x14ac:dyDescent="0.3">
      <c r="O884" s="156"/>
      <c r="Q884" s="84">
        <f t="shared" si="42"/>
        <v>0</v>
      </c>
    </row>
    <row r="885" spans="15:17" x14ac:dyDescent="0.3">
      <c r="O885" s="156"/>
      <c r="Q885" s="84">
        <f t="shared" si="42"/>
        <v>0</v>
      </c>
    </row>
    <row r="886" spans="15:17" x14ac:dyDescent="0.3">
      <c r="O886" s="156"/>
      <c r="Q886" s="84">
        <f t="shared" si="42"/>
        <v>0</v>
      </c>
    </row>
    <row r="887" spans="15:17" x14ac:dyDescent="0.3">
      <c r="O887" s="156"/>
      <c r="Q887" s="84">
        <f t="shared" si="42"/>
        <v>0</v>
      </c>
    </row>
    <row r="888" spans="15:17" x14ac:dyDescent="0.3">
      <c r="O888" s="156"/>
      <c r="Q888" s="84">
        <f t="shared" si="42"/>
        <v>0</v>
      </c>
    </row>
    <row r="889" spans="15:17" x14ac:dyDescent="0.3">
      <c r="O889" s="156"/>
      <c r="Q889" s="84">
        <f t="shared" si="42"/>
        <v>0</v>
      </c>
    </row>
    <row r="890" spans="15:17" x14ac:dyDescent="0.3">
      <c r="O890" s="156"/>
      <c r="Q890" s="84">
        <f t="shared" si="42"/>
        <v>0</v>
      </c>
    </row>
    <row r="891" spans="15:17" x14ac:dyDescent="0.3">
      <c r="O891" s="156"/>
      <c r="Q891" s="84">
        <f t="shared" si="42"/>
        <v>0</v>
      </c>
    </row>
    <row r="892" spans="15:17" x14ac:dyDescent="0.3">
      <c r="O892" s="156"/>
      <c r="Q892" s="84">
        <f t="shared" si="42"/>
        <v>0</v>
      </c>
    </row>
    <row r="893" spans="15:17" x14ac:dyDescent="0.3">
      <c r="O893" s="156"/>
      <c r="Q893" s="84">
        <f t="shared" si="42"/>
        <v>0</v>
      </c>
    </row>
    <row r="894" spans="15:17" x14ac:dyDescent="0.3">
      <c r="O894" s="156"/>
      <c r="Q894" s="84">
        <f t="shared" si="42"/>
        <v>0</v>
      </c>
    </row>
    <row r="895" spans="15:17" x14ac:dyDescent="0.3">
      <c r="O895" s="156"/>
      <c r="Q895" s="84">
        <f t="shared" si="42"/>
        <v>0</v>
      </c>
    </row>
    <row r="896" spans="15:17" x14ac:dyDescent="0.3">
      <c r="O896" s="156"/>
      <c r="Q896" s="84">
        <f t="shared" si="42"/>
        <v>0</v>
      </c>
    </row>
    <row r="897" spans="15:17" x14ac:dyDescent="0.3">
      <c r="O897" s="156"/>
      <c r="Q897" s="84">
        <f t="shared" si="42"/>
        <v>0</v>
      </c>
    </row>
    <row r="898" spans="15:17" x14ac:dyDescent="0.3">
      <c r="O898" s="156"/>
      <c r="Q898" s="84">
        <f t="shared" si="42"/>
        <v>0</v>
      </c>
    </row>
    <row r="899" spans="15:17" x14ac:dyDescent="0.3">
      <c r="O899" s="156"/>
      <c r="Q899" s="84">
        <f t="shared" si="42"/>
        <v>0</v>
      </c>
    </row>
    <row r="900" spans="15:17" x14ac:dyDescent="0.3">
      <c r="O900" s="156"/>
      <c r="Q900" s="84">
        <f t="shared" si="42"/>
        <v>0</v>
      </c>
    </row>
    <row r="901" spans="15:17" x14ac:dyDescent="0.3">
      <c r="O901" s="156"/>
      <c r="Q901" s="84">
        <f t="shared" si="42"/>
        <v>0</v>
      </c>
    </row>
    <row r="902" spans="15:17" x14ac:dyDescent="0.3">
      <c r="O902" s="156"/>
      <c r="Q902" s="84">
        <f t="shared" si="42"/>
        <v>0</v>
      </c>
    </row>
    <row r="903" spans="15:17" x14ac:dyDescent="0.3">
      <c r="O903" s="156"/>
      <c r="Q903" s="84">
        <f t="shared" si="42"/>
        <v>0</v>
      </c>
    </row>
    <row r="904" spans="15:17" x14ac:dyDescent="0.3">
      <c r="O904" s="156"/>
      <c r="Q904" s="84">
        <f t="shared" si="42"/>
        <v>0</v>
      </c>
    </row>
    <row r="905" spans="15:17" x14ac:dyDescent="0.3">
      <c r="O905" s="156"/>
      <c r="Q905" s="84">
        <f t="shared" si="42"/>
        <v>0</v>
      </c>
    </row>
    <row r="906" spans="15:17" x14ac:dyDescent="0.3">
      <c r="O906" s="156"/>
      <c r="Q906" s="84">
        <f t="shared" si="42"/>
        <v>0</v>
      </c>
    </row>
    <row r="907" spans="15:17" x14ac:dyDescent="0.3">
      <c r="O907" s="156"/>
      <c r="Q907" s="84">
        <f t="shared" si="42"/>
        <v>0</v>
      </c>
    </row>
    <row r="908" spans="15:17" x14ac:dyDescent="0.3">
      <c r="O908" s="156"/>
      <c r="Q908" s="84">
        <f t="shared" si="42"/>
        <v>0</v>
      </c>
    </row>
    <row r="909" spans="15:17" x14ac:dyDescent="0.3">
      <c r="O909" s="156"/>
      <c r="Q909" s="84">
        <f t="shared" si="42"/>
        <v>0</v>
      </c>
    </row>
    <row r="910" spans="15:17" x14ac:dyDescent="0.3">
      <c r="O910" s="156"/>
      <c r="Q910" s="84">
        <f t="shared" si="42"/>
        <v>0</v>
      </c>
    </row>
    <row r="911" spans="15:17" x14ac:dyDescent="0.3">
      <c r="O911" s="156"/>
      <c r="Q911" s="84">
        <f t="shared" si="42"/>
        <v>0</v>
      </c>
    </row>
    <row r="912" spans="15:17" x14ac:dyDescent="0.3">
      <c r="O912" s="156"/>
      <c r="Q912" s="84">
        <f t="shared" si="42"/>
        <v>0</v>
      </c>
    </row>
    <row r="913" spans="15:17" x14ac:dyDescent="0.3">
      <c r="O913" s="156"/>
      <c r="Q913" s="84">
        <f t="shared" si="42"/>
        <v>0</v>
      </c>
    </row>
    <row r="914" spans="15:17" x14ac:dyDescent="0.3">
      <c r="O914" s="156"/>
      <c r="Q914" s="84">
        <f t="shared" si="42"/>
        <v>0</v>
      </c>
    </row>
    <row r="915" spans="15:17" x14ac:dyDescent="0.3">
      <c r="O915" s="156"/>
      <c r="Q915" s="84">
        <f t="shared" si="42"/>
        <v>0</v>
      </c>
    </row>
    <row r="916" spans="15:17" x14ac:dyDescent="0.3">
      <c r="O916" s="156"/>
      <c r="Q916" s="84">
        <f t="shared" si="42"/>
        <v>0</v>
      </c>
    </row>
    <row r="917" spans="15:17" x14ac:dyDescent="0.3">
      <c r="O917" s="156"/>
      <c r="Q917" s="84">
        <f t="shared" si="42"/>
        <v>0</v>
      </c>
    </row>
    <row r="918" spans="15:17" x14ac:dyDescent="0.3">
      <c r="O918" s="156"/>
      <c r="Q918" s="84">
        <f t="shared" si="42"/>
        <v>0</v>
      </c>
    </row>
    <row r="919" spans="15:17" x14ac:dyDescent="0.3">
      <c r="O919" s="156"/>
      <c r="Q919" s="84">
        <f t="shared" si="42"/>
        <v>0</v>
      </c>
    </row>
    <row r="920" spans="15:17" x14ac:dyDescent="0.3">
      <c r="O920" s="156"/>
      <c r="Q920" s="84">
        <f t="shared" si="42"/>
        <v>0</v>
      </c>
    </row>
    <row r="921" spans="15:17" x14ac:dyDescent="0.3">
      <c r="O921" s="156"/>
      <c r="Q921" s="84">
        <f t="shared" si="42"/>
        <v>0</v>
      </c>
    </row>
    <row r="922" spans="15:17" x14ac:dyDescent="0.3">
      <c r="O922" s="156"/>
      <c r="Q922" s="84">
        <f t="shared" si="42"/>
        <v>0</v>
      </c>
    </row>
    <row r="923" spans="15:17" x14ac:dyDescent="0.3">
      <c r="O923" s="156"/>
      <c r="Q923" s="84">
        <f t="shared" si="42"/>
        <v>0</v>
      </c>
    </row>
    <row r="924" spans="15:17" x14ac:dyDescent="0.3">
      <c r="O924" s="156"/>
      <c r="Q924" s="84">
        <f t="shared" si="42"/>
        <v>0</v>
      </c>
    </row>
    <row r="925" spans="15:17" x14ac:dyDescent="0.3">
      <c r="O925" s="156"/>
      <c r="Q925" s="84">
        <f t="shared" si="42"/>
        <v>0</v>
      </c>
    </row>
    <row r="926" spans="15:17" x14ac:dyDescent="0.3">
      <c r="O926" s="156"/>
      <c r="Q926" s="84">
        <f t="shared" si="42"/>
        <v>0</v>
      </c>
    </row>
    <row r="927" spans="15:17" x14ac:dyDescent="0.3">
      <c r="O927" s="156"/>
      <c r="Q927" s="84">
        <f t="shared" si="42"/>
        <v>0</v>
      </c>
    </row>
    <row r="928" spans="15:17" x14ac:dyDescent="0.3">
      <c r="O928" s="156"/>
      <c r="Q928" s="84">
        <f t="shared" si="42"/>
        <v>0</v>
      </c>
    </row>
    <row r="929" spans="15:17" x14ac:dyDescent="0.3">
      <c r="O929" s="156"/>
      <c r="Q929" s="84">
        <f t="shared" si="42"/>
        <v>0</v>
      </c>
    </row>
    <row r="930" spans="15:17" x14ac:dyDescent="0.3">
      <c r="O930" s="156"/>
      <c r="Q930" s="84">
        <f t="shared" si="42"/>
        <v>0</v>
      </c>
    </row>
    <row r="931" spans="15:17" x14ac:dyDescent="0.3">
      <c r="O931" s="156"/>
      <c r="Q931" s="84">
        <f t="shared" si="42"/>
        <v>0</v>
      </c>
    </row>
    <row r="932" spans="15:17" x14ac:dyDescent="0.3">
      <c r="O932" s="156"/>
      <c r="Q932" s="84">
        <f t="shared" si="42"/>
        <v>0</v>
      </c>
    </row>
    <row r="933" spans="15:17" x14ac:dyDescent="0.3">
      <c r="O933" s="156"/>
      <c r="Q933" s="84">
        <f t="shared" si="42"/>
        <v>0</v>
      </c>
    </row>
    <row r="934" spans="15:17" x14ac:dyDescent="0.3">
      <c r="O934" s="156"/>
      <c r="Q934" s="84">
        <f t="shared" si="42"/>
        <v>0</v>
      </c>
    </row>
    <row r="935" spans="15:17" x14ac:dyDescent="0.3">
      <c r="O935" s="156"/>
      <c r="Q935" s="84">
        <f t="shared" si="42"/>
        <v>0</v>
      </c>
    </row>
    <row r="936" spans="15:17" x14ac:dyDescent="0.3">
      <c r="O936" s="156"/>
      <c r="Q936" s="84">
        <f t="shared" si="42"/>
        <v>0</v>
      </c>
    </row>
    <row r="937" spans="15:17" x14ac:dyDescent="0.3">
      <c r="O937" s="156"/>
      <c r="Q937" s="84">
        <f t="shared" si="42"/>
        <v>0</v>
      </c>
    </row>
    <row r="938" spans="15:17" x14ac:dyDescent="0.3">
      <c r="O938" s="156"/>
      <c r="Q938" s="84">
        <f t="shared" si="42"/>
        <v>0</v>
      </c>
    </row>
    <row r="939" spans="15:17" x14ac:dyDescent="0.3">
      <c r="O939" s="156"/>
      <c r="Q939" s="84">
        <f t="shared" si="42"/>
        <v>0</v>
      </c>
    </row>
    <row r="940" spans="15:17" x14ac:dyDescent="0.3">
      <c r="O940" s="156"/>
      <c r="Q940" s="84">
        <f t="shared" si="42"/>
        <v>0</v>
      </c>
    </row>
    <row r="941" spans="15:17" x14ac:dyDescent="0.3">
      <c r="O941" s="156"/>
      <c r="Q941" s="84">
        <f t="shared" si="42"/>
        <v>0</v>
      </c>
    </row>
    <row r="942" spans="15:17" x14ac:dyDescent="0.3">
      <c r="O942" s="156"/>
      <c r="Q942" s="84">
        <f t="shared" si="42"/>
        <v>0</v>
      </c>
    </row>
    <row r="943" spans="15:17" x14ac:dyDescent="0.3">
      <c r="O943" s="156"/>
      <c r="Q943" s="84">
        <f t="shared" si="42"/>
        <v>0</v>
      </c>
    </row>
    <row r="944" spans="15:17" x14ac:dyDescent="0.3">
      <c r="O944" s="156"/>
      <c r="Q944" s="84">
        <f t="shared" si="42"/>
        <v>0</v>
      </c>
    </row>
    <row r="945" spans="15:17" x14ac:dyDescent="0.3">
      <c r="O945" s="156"/>
      <c r="Q945" s="84">
        <f t="shared" si="42"/>
        <v>0</v>
      </c>
    </row>
    <row r="946" spans="15:17" x14ac:dyDescent="0.3">
      <c r="O946" s="156"/>
      <c r="Q946" s="84">
        <f t="shared" si="42"/>
        <v>0</v>
      </c>
    </row>
    <row r="947" spans="15:17" x14ac:dyDescent="0.3">
      <c r="O947" s="156"/>
      <c r="Q947" s="84">
        <f t="shared" si="42"/>
        <v>0</v>
      </c>
    </row>
    <row r="948" spans="15:17" x14ac:dyDescent="0.3">
      <c r="O948" s="156"/>
      <c r="Q948" s="84">
        <f t="shared" si="42"/>
        <v>0</v>
      </c>
    </row>
    <row r="949" spans="15:17" x14ac:dyDescent="0.3">
      <c r="O949" s="156"/>
      <c r="Q949" s="84">
        <f t="shared" si="42"/>
        <v>0</v>
      </c>
    </row>
    <row r="950" spans="15:17" x14ac:dyDescent="0.3">
      <c r="O950" s="156"/>
      <c r="Q950" s="84">
        <f t="shared" si="42"/>
        <v>0</v>
      </c>
    </row>
    <row r="951" spans="15:17" x14ac:dyDescent="0.3">
      <c r="O951" s="156"/>
      <c r="Q951" s="84">
        <f t="shared" si="42"/>
        <v>0</v>
      </c>
    </row>
    <row r="952" spans="15:17" x14ac:dyDescent="0.3">
      <c r="O952" s="156"/>
      <c r="Q952" s="84">
        <f t="shared" si="42"/>
        <v>0</v>
      </c>
    </row>
    <row r="953" spans="15:17" x14ac:dyDescent="0.3">
      <c r="O953" s="156"/>
      <c r="Q953" s="84">
        <f t="shared" si="42"/>
        <v>0</v>
      </c>
    </row>
    <row r="954" spans="15:17" x14ac:dyDescent="0.3">
      <c r="O954" s="156"/>
      <c r="Q954" s="84">
        <f t="shared" si="42"/>
        <v>0</v>
      </c>
    </row>
    <row r="955" spans="15:17" x14ac:dyDescent="0.3">
      <c r="O955" s="156"/>
      <c r="Q955" s="84">
        <f t="shared" si="42"/>
        <v>0</v>
      </c>
    </row>
    <row r="956" spans="15:17" x14ac:dyDescent="0.3">
      <c r="O956" s="156"/>
      <c r="Q956" s="84">
        <f t="shared" si="42"/>
        <v>0</v>
      </c>
    </row>
    <row r="957" spans="15:17" x14ac:dyDescent="0.3">
      <c r="O957" s="156"/>
      <c r="Q957" s="84">
        <f t="shared" si="42"/>
        <v>0</v>
      </c>
    </row>
    <row r="958" spans="15:17" x14ac:dyDescent="0.3">
      <c r="O958" s="156"/>
      <c r="Q958" s="84">
        <f t="shared" si="42"/>
        <v>0</v>
      </c>
    </row>
    <row r="959" spans="15:17" x14ac:dyDescent="0.3">
      <c r="O959" s="156"/>
      <c r="Q959" s="84">
        <f t="shared" si="42"/>
        <v>0</v>
      </c>
    </row>
    <row r="960" spans="15:17" x14ac:dyDescent="0.3">
      <c r="O960" s="156"/>
      <c r="Q960" s="84">
        <f t="shared" si="42"/>
        <v>0</v>
      </c>
    </row>
    <row r="961" spans="15:17" x14ac:dyDescent="0.3">
      <c r="O961" s="156"/>
      <c r="Q961" s="84">
        <f t="shared" si="42"/>
        <v>0</v>
      </c>
    </row>
    <row r="962" spans="15:17" x14ac:dyDescent="0.3">
      <c r="O962" s="156"/>
      <c r="Q962" s="84">
        <f t="shared" si="42"/>
        <v>0</v>
      </c>
    </row>
    <row r="963" spans="15:17" x14ac:dyDescent="0.3">
      <c r="O963" s="156"/>
      <c r="Q963" s="84">
        <f t="shared" si="42"/>
        <v>0</v>
      </c>
    </row>
    <row r="964" spans="15:17" x14ac:dyDescent="0.3">
      <c r="O964" s="156"/>
      <c r="Q964" s="84">
        <f t="shared" si="42"/>
        <v>0</v>
      </c>
    </row>
    <row r="965" spans="15:17" x14ac:dyDescent="0.3">
      <c r="O965" s="156"/>
      <c r="Q965" s="84">
        <f t="shared" si="42"/>
        <v>0</v>
      </c>
    </row>
    <row r="966" spans="15:17" x14ac:dyDescent="0.3">
      <c r="O966" s="156"/>
      <c r="Q966" s="84">
        <f t="shared" si="42"/>
        <v>0</v>
      </c>
    </row>
    <row r="967" spans="15:17" x14ac:dyDescent="0.3">
      <c r="O967" s="156"/>
      <c r="Q967" s="84">
        <f t="shared" si="42"/>
        <v>0</v>
      </c>
    </row>
    <row r="968" spans="15:17" x14ac:dyDescent="0.3">
      <c r="O968" s="156"/>
      <c r="Q968" s="84">
        <f t="shared" si="42"/>
        <v>0</v>
      </c>
    </row>
    <row r="969" spans="15:17" x14ac:dyDescent="0.3">
      <c r="O969" s="156"/>
      <c r="Q969" s="84">
        <f t="shared" si="42"/>
        <v>0</v>
      </c>
    </row>
    <row r="970" spans="15:17" x14ac:dyDescent="0.3">
      <c r="O970" s="156"/>
      <c r="Q970" s="84">
        <f t="shared" si="42"/>
        <v>0</v>
      </c>
    </row>
    <row r="971" spans="15:17" x14ac:dyDescent="0.3">
      <c r="O971" s="156"/>
      <c r="Q971" s="84">
        <f t="shared" si="42"/>
        <v>0</v>
      </c>
    </row>
    <row r="972" spans="15:17" x14ac:dyDescent="0.3">
      <c r="O972" s="156"/>
      <c r="Q972" s="84">
        <f t="shared" si="42"/>
        <v>0</v>
      </c>
    </row>
    <row r="973" spans="15:17" x14ac:dyDescent="0.3">
      <c r="O973" s="156"/>
      <c r="Q973" s="84">
        <f t="shared" si="42"/>
        <v>0</v>
      </c>
    </row>
    <row r="974" spans="15:17" x14ac:dyDescent="0.3">
      <c r="O974" s="156"/>
      <c r="Q974" s="84">
        <f t="shared" si="42"/>
        <v>0</v>
      </c>
    </row>
    <row r="975" spans="15:17" x14ac:dyDescent="0.3">
      <c r="O975" s="156"/>
      <c r="Q975" s="84">
        <f t="shared" si="42"/>
        <v>0</v>
      </c>
    </row>
    <row r="976" spans="15:17" x14ac:dyDescent="0.3">
      <c r="O976" s="156"/>
      <c r="Q976" s="84">
        <f t="shared" si="42"/>
        <v>0</v>
      </c>
    </row>
    <row r="977" spans="15:17" x14ac:dyDescent="0.3">
      <c r="O977" s="156"/>
      <c r="Q977" s="84">
        <f t="shared" si="42"/>
        <v>0</v>
      </c>
    </row>
    <row r="978" spans="15:17" x14ac:dyDescent="0.3">
      <c r="O978" s="156"/>
      <c r="Q978" s="84">
        <f t="shared" si="42"/>
        <v>0</v>
      </c>
    </row>
    <row r="979" spans="15:17" x14ac:dyDescent="0.3">
      <c r="O979" s="156"/>
      <c r="Q979" s="84">
        <f t="shared" si="42"/>
        <v>0</v>
      </c>
    </row>
    <row r="980" spans="15:17" x14ac:dyDescent="0.3">
      <c r="O980" s="156"/>
      <c r="Q980" s="84">
        <f t="shared" si="42"/>
        <v>0</v>
      </c>
    </row>
    <row r="981" spans="15:17" x14ac:dyDescent="0.3">
      <c r="O981" s="156"/>
      <c r="Q981" s="84">
        <f t="shared" si="42"/>
        <v>0</v>
      </c>
    </row>
    <row r="982" spans="15:17" x14ac:dyDescent="0.3">
      <c r="O982" s="156"/>
      <c r="Q982" s="84">
        <f t="shared" si="42"/>
        <v>0</v>
      </c>
    </row>
    <row r="983" spans="15:17" x14ac:dyDescent="0.3">
      <c r="O983" s="156"/>
      <c r="Q983" s="84">
        <f t="shared" si="42"/>
        <v>0</v>
      </c>
    </row>
    <row r="984" spans="15:17" x14ac:dyDescent="0.3">
      <c r="O984" s="156"/>
      <c r="Q984" s="84">
        <f t="shared" si="42"/>
        <v>0</v>
      </c>
    </row>
    <row r="985" spans="15:17" x14ac:dyDescent="0.3">
      <c r="O985" s="156"/>
      <c r="Q985" s="84">
        <f t="shared" si="42"/>
        <v>0</v>
      </c>
    </row>
    <row r="986" spans="15:17" x14ac:dyDescent="0.3">
      <c r="O986" s="156"/>
      <c r="Q986" s="84">
        <f t="shared" si="42"/>
        <v>0</v>
      </c>
    </row>
    <row r="987" spans="15:17" x14ac:dyDescent="0.3">
      <c r="O987" s="156"/>
      <c r="Q987" s="84">
        <f t="shared" si="42"/>
        <v>0</v>
      </c>
    </row>
    <row r="988" spans="15:17" x14ac:dyDescent="0.3">
      <c r="O988" s="156"/>
      <c r="Q988" s="84">
        <f t="shared" si="42"/>
        <v>0</v>
      </c>
    </row>
    <row r="989" spans="15:17" x14ac:dyDescent="0.3">
      <c r="O989" s="156"/>
      <c r="Q989" s="84">
        <f t="shared" si="42"/>
        <v>0</v>
      </c>
    </row>
    <row r="990" spans="15:17" x14ac:dyDescent="0.3">
      <c r="O990" s="156"/>
      <c r="Q990" s="84">
        <f t="shared" si="42"/>
        <v>0</v>
      </c>
    </row>
    <row r="991" spans="15:17" x14ac:dyDescent="0.3">
      <c r="O991" s="156"/>
      <c r="Q991" s="84">
        <f t="shared" si="42"/>
        <v>0</v>
      </c>
    </row>
    <row r="992" spans="15:17" x14ac:dyDescent="0.3">
      <c r="O992" s="156"/>
      <c r="Q992" s="84">
        <f t="shared" si="42"/>
        <v>0</v>
      </c>
    </row>
    <row r="993" spans="15:17" x14ac:dyDescent="0.3">
      <c r="O993" s="156"/>
      <c r="Q993" s="84">
        <f t="shared" si="42"/>
        <v>0</v>
      </c>
    </row>
    <row r="994" spans="15:17" x14ac:dyDescent="0.3">
      <c r="O994" s="156"/>
      <c r="Q994" s="84">
        <f t="shared" si="42"/>
        <v>0</v>
      </c>
    </row>
    <row r="995" spans="15:17" x14ac:dyDescent="0.3">
      <c r="O995" s="156"/>
      <c r="Q995" s="84">
        <f t="shared" si="42"/>
        <v>0</v>
      </c>
    </row>
    <row r="996" spans="15:17" x14ac:dyDescent="0.3">
      <c r="O996" s="156"/>
      <c r="Q996" s="84">
        <f t="shared" si="42"/>
        <v>0</v>
      </c>
    </row>
    <row r="997" spans="15:17" x14ac:dyDescent="0.3">
      <c r="O997" s="156"/>
      <c r="Q997" s="84">
        <f t="shared" si="42"/>
        <v>0</v>
      </c>
    </row>
    <row r="998" spans="15:17" x14ac:dyDescent="0.3">
      <c r="O998" s="156"/>
      <c r="Q998" s="84">
        <f t="shared" si="42"/>
        <v>0</v>
      </c>
    </row>
    <row r="999" spans="15:17" x14ac:dyDescent="0.3">
      <c r="O999" s="156"/>
      <c r="Q999" s="84">
        <f t="shared" si="42"/>
        <v>0</v>
      </c>
    </row>
    <row r="1000" spans="15:17" x14ac:dyDescent="0.3">
      <c r="O1000" s="156"/>
      <c r="Q1000" s="84">
        <f t="shared" si="42"/>
        <v>0</v>
      </c>
    </row>
    <row r="1001" spans="15:17" x14ac:dyDescent="0.3">
      <c r="O1001" s="156"/>
      <c r="Q1001" s="84">
        <f t="shared" si="42"/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001"/>
  <sheetViews>
    <sheetView tabSelected="1" workbookViewId="0">
      <pane ySplit="1" topLeftCell="A50" activePane="bottomLeft" state="frozen"/>
      <selection pane="bottomLeft" activeCell="I60" sqref="I60"/>
    </sheetView>
  </sheetViews>
  <sheetFormatPr defaultColWidth="14.44140625" defaultRowHeight="15" customHeight="1" x14ac:dyDescent="0.3"/>
  <cols>
    <col min="1" max="1" width="3.33203125" customWidth="1"/>
    <col min="2" max="2" width="7.88671875" customWidth="1"/>
    <col min="3" max="3" width="20.5546875" customWidth="1"/>
    <col min="6" max="6" width="9.88671875" customWidth="1"/>
    <col min="7" max="7" width="8.5546875" customWidth="1"/>
    <col min="16" max="16" width="8" customWidth="1"/>
    <col min="17" max="17" width="11.5546875" customWidth="1"/>
  </cols>
  <sheetData>
    <row r="1" spans="1:22" ht="55.8" x14ac:dyDescent="0.3">
      <c r="A1" s="136" t="s">
        <v>222</v>
      </c>
      <c r="B1" s="157" t="s">
        <v>1</v>
      </c>
      <c r="C1" s="157" t="s">
        <v>2</v>
      </c>
      <c r="D1" s="157" t="s">
        <v>3</v>
      </c>
      <c r="E1" s="157" t="s">
        <v>4</v>
      </c>
      <c r="F1" s="158" t="s">
        <v>5</v>
      </c>
      <c r="G1" s="157" t="s">
        <v>6</v>
      </c>
      <c r="H1" s="159" t="s">
        <v>7</v>
      </c>
      <c r="I1" s="159" t="s">
        <v>8</v>
      </c>
      <c r="J1" s="159" t="s">
        <v>11</v>
      </c>
      <c r="K1" s="159" t="s">
        <v>12</v>
      </c>
      <c r="L1" s="159" t="s">
        <v>13</v>
      </c>
      <c r="M1" s="159" t="s">
        <v>14</v>
      </c>
      <c r="N1" s="159" t="s">
        <v>15</v>
      </c>
      <c r="O1" s="5" t="s">
        <v>16</v>
      </c>
      <c r="P1" s="5" t="s">
        <v>17</v>
      </c>
      <c r="Q1" s="78" t="s">
        <v>223</v>
      </c>
      <c r="R1" s="4" t="s">
        <v>595</v>
      </c>
      <c r="S1" s="4" t="s">
        <v>596</v>
      </c>
      <c r="T1" s="4" t="s">
        <v>23</v>
      </c>
      <c r="U1" s="4" t="s">
        <v>597</v>
      </c>
      <c r="V1" s="4" t="s">
        <v>598</v>
      </c>
    </row>
    <row r="2" spans="1:22" ht="14.4" x14ac:dyDescent="0.3">
      <c r="A2" s="24">
        <v>1</v>
      </c>
      <c r="B2" s="160" t="s">
        <v>733</v>
      </c>
      <c r="C2" s="25" t="s">
        <v>734</v>
      </c>
      <c r="D2" s="25" t="s">
        <v>735</v>
      </c>
      <c r="E2" s="25" t="s">
        <v>736</v>
      </c>
      <c r="F2" s="161">
        <v>40186</v>
      </c>
      <c r="G2" s="25" t="s">
        <v>39</v>
      </c>
      <c r="H2" s="96">
        <v>69</v>
      </c>
      <c r="I2" s="96">
        <v>64</v>
      </c>
      <c r="J2" s="96">
        <v>62</v>
      </c>
      <c r="K2" s="96">
        <v>65</v>
      </c>
      <c r="L2" s="96">
        <v>60</v>
      </c>
      <c r="M2" s="96">
        <v>47</v>
      </c>
      <c r="N2" s="162">
        <f t="shared" ref="N2:N4" si="0">SUM(H2:L2)</f>
        <v>320</v>
      </c>
      <c r="O2" s="163">
        <f t="shared" ref="O2:O51" si="1">(N2/400)*100</f>
        <v>80</v>
      </c>
      <c r="P2" s="13">
        <f t="shared" ref="P2:P51" si="2">O2+30</f>
        <v>110</v>
      </c>
      <c r="Q2" s="84">
        <f t="shared" ref="Q2:Q256" si="3">SUM(R2:V2)</f>
        <v>470</v>
      </c>
      <c r="R2" s="164">
        <f t="shared" ref="R2:V2" si="4">H2+30</f>
        <v>99</v>
      </c>
      <c r="S2" s="164">
        <f t="shared" si="4"/>
        <v>94</v>
      </c>
      <c r="T2" s="164">
        <f t="shared" si="4"/>
        <v>92</v>
      </c>
      <c r="U2" s="164">
        <f t="shared" si="4"/>
        <v>95</v>
      </c>
      <c r="V2" s="164">
        <f t="shared" si="4"/>
        <v>90</v>
      </c>
    </row>
    <row r="3" spans="1:22" ht="14.4" x14ac:dyDescent="0.3">
      <c r="A3" s="24">
        <v>2</v>
      </c>
      <c r="B3" s="160" t="s">
        <v>737</v>
      </c>
      <c r="C3" s="25" t="s">
        <v>738</v>
      </c>
      <c r="D3" s="25" t="s">
        <v>739</v>
      </c>
      <c r="E3" s="25" t="s">
        <v>740</v>
      </c>
      <c r="F3" s="161">
        <v>40093</v>
      </c>
      <c r="G3" s="25" t="s">
        <v>39</v>
      </c>
      <c r="H3" s="96">
        <v>69</v>
      </c>
      <c r="I3" s="96">
        <v>71</v>
      </c>
      <c r="J3" s="96">
        <v>62</v>
      </c>
      <c r="K3" s="96">
        <v>54</v>
      </c>
      <c r="L3" s="96">
        <v>63</v>
      </c>
      <c r="M3" s="96">
        <v>37</v>
      </c>
      <c r="N3" s="162">
        <f t="shared" si="0"/>
        <v>319</v>
      </c>
      <c r="O3" s="163">
        <f t="shared" si="1"/>
        <v>79.75</v>
      </c>
      <c r="P3" s="13">
        <f t="shared" si="2"/>
        <v>109.75</v>
      </c>
      <c r="Q3" s="84">
        <f t="shared" si="3"/>
        <v>469</v>
      </c>
      <c r="R3" s="164">
        <f t="shared" ref="R3:V3" si="5">H3+30</f>
        <v>99</v>
      </c>
      <c r="S3" s="164">
        <f t="shared" si="5"/>
        <v>101</v>
      </c>
      <c r="T3" s="164">
        <f t="shared" si="5"/>
        <v>92</v>
      </c>
      <c r="U3" s="164">
        <f t="shared" si="5"/>
        <v>84</v>
      </c>
      <c r="V3" s="164">
        <f t="shared" si="5"/>
        <v>93</v>
      </c>
    </row>
    <row r="4" spans="1:22" ht="14.4" x14ac:dyDescent="0.3">
      <c r="A4" s="24">
        <v>3</v>
      </c>
      <c r="B4" s="160" t="s">
        <v>741</v>
      </c>
      <c r="C4" s="25" t="s">
        <v>742</v>
      </c>
      <c r="D4" s="25" t="s">
        <v>743</v>
      </c>
      <c r="E4" s="25" t="s">
        <v>744</v>
      </c>
      <c r="F4" s="161">
        <v>39902</v>
      </c>
      <c r="G4" s="25" t="s">
        <v>30</v>
      </c>
      <c r="H4" s="96">
        <v>62</v>
      </c>
      <c r="I4" s="96">
        <v>61</v>
      </c>
      <c r="J4" s="96">
        <v>66</v>
      </c>
      <c r="K4" s="96">
        <v>41</v>
      </c>
      <c r="L4" s="96">
        <v>50</v>
      </c>
      <c r="M4" s="96">
        <v>43</v>
      </c>
      <c r="N4" s="162">
        <f t="shared" si="0"/>
        <v>280</v>
      </c>
      <c r="O4" s="163">
        <f t="shared" si="1"/>
        <v>70</v>
      </c>
      <c r="P4" s="13">
        <f t="shared" si="2"/>
        <v>100</v>
      </c>
      <c r="Q4" s="84">
        <f t="shared" si="3"/>
        <v>430</v>
      </c>
      <c r="R4" s="164">
        <f t="shared" ref="R4:V4" si="6">H4+30</f>
        <v>92</v>
      </c>
      <c r="S4" s="164">
        <f t="shared" si="6"/>
        <v>91</v>
      </c>
      <c r="T4" s="164">
        <f t="shared" si="6"/>
        <v>96</v>
      </c>
      <c r="U4" s="164">
        <f t="shared" si="6"/>
        <v>71</v>
      </c>
      <c r="V4" s="164">
        <f t="shared" si="6"/>
        <v>80</v>
      </c>
    </row>
    <row r="5" spans="1:22" ht="14.4" x14ac:dyDescent="0.3">
      <c r="A5" s="24">
        <v>4</v>
      </c>
      <c r="B5" s="25" t="s">
        <v>745</v>
      </c>
      <c r="C5" s="25" t="s">
        <v>746</v>
      </c>
      <c r="D5" s="25" t="s">
        <v>747</v>
      </c>
      <c r="E5" s="25" t="s">
        <v>748</v>
      </c>
      <c r="F5" s="26">
        <v>40001</v>
      </c>
      <c r="G5" s="25" t="s">
        <v>30</v>
      </c>
      <c r="H5" s="27">
        <v>40</v>
      </c>
      <c r="I5" s="27">
        <v>54</v>
      </c>
      <c r="J5" s="29">
        <v>59</v>
      </c>
      <c r="K5" s="30">
        <v>46</v>
      </c>
      <c r="L5" s="30">
        <v>49</v>
      </c>
      <c r="M5" s="30">
        <v>47</v>
      </c>
      <c r="N5" s="30">
        <v>248</v>
      </c>
      <c r="O5" s="31">
        <f t="shared" si="1"/>
        <v>62</v>
      </c>
      <c r="P5" s="13">
        <f t="shared" si="2"/>
        <v>92</v>
      </c>
      <c r="Q5" s="84">
        <f t="shared" si="3"/>
        <v>398</v>
      </c>
      <c r="R5" s="164">
        <f t="shared" ref="R5:V5" si="7">H5+30</f>
        <v>70</v>
      </c>
      <c r="S5" s="164">
        <f t="shared" si="7"/>
        <v>84</v>
      </c>
      <c r="T5" s="164">
        <f t="shared" si="7"/>
        <v>89</v>
      </c>
      <c r="U5" s="164">
        <f t="shared" si="7"/>
        <v>76</v>
      </c>
      <c r="V5" s="164">
        <f t="shared" si="7"/>
        <v>79</v>
      </c>
    </row>
    <row r="6" spans="1:22" ht="14.4" x14ac:dyDescent="0.3">
      <c r="A6" s="24">
        <v>5</v>
      </c>
      <c r="B6" s="160" t="s">
        <v>749</v>
      </c>
      <c r="C6" s="25" t="s">
        <v>750</v>
      </c>
      <c r="D6" s="25" t="s">
        <v>751</v>
      </c>
      <c r="E6" s="25" t="s">
        <v>752</v>
      </c>
      <c r="F6" s="161">
        <v>39808</v>
      </c>
      <c r="G6" s="25" t="s">
        <v>30</v>
      </c>
      <c r="H6" s="96">
        <v>50</v>
      </c>
      <c r="I6" s="96">
        <v>57</v>
      </c>
      <c r="J6" s="96">
        <v>61</v>
      </c>
      <c r="K6" s="96">
        <v>56</v>
      </c>
      <c r="L6" s="96">
        <v>67</v>
      </c>
      <c r="M6" s="96">
        <v>43</v>
      </c>
      <c r="N6" s="162">
        <f t="shared" ref="N6:N42" si="8">SUM(H6:L6)</f>
        <v>291</v>
      </c>
      <c r="O6" s="163">
        <f t="shared" si="1"/>
        <v>72.75</v>
      </c>
      <c r="P6" s="13">
        <f t="shared" si="2"/>
        <v>102.75</v>
      </c>
      <c r="Q6" s="84">
        <f t="shared" si="3"/>
        <v>441</v>
      </c>
      <c r="R6" s="164">
        <f t="shared" ref="R6:V6" si="9">H6+30</f>
        <v>80</v>
      </c>
      <c r="S6" s="164">
        <f t="shared" si="9"/>
        <v>87</v>
      </c>
      <c r="T6" s="164">
        <f t="shared" si="9"/>
        <v>91</v>
      </c>
      <c r="U6" s="164">
        <f t="shared" si="9"/>
        <v>86</v>
      </c>
      <c r="V6" s="164">
        <f t="shared" si="9"/>
        <v>97</v>
      </c>
    </row>
    <row r="7" spans="1:22" ht="14.4" x14ac:dyDescent="0.3">
      <c r="A7" s="24">
        <v>6</v>
      </c>
      <c r="B7" s="160" t="s">
        <v>753</v>
      </c>
      <c r="C7" s="25" t="s">
        <v>754</v>
      </c>
      <c r="D7" s="25" t="s">
        <v>755</v>
      </c>
      <c r="E7" s="25" t="s">
        <v>756</v>
      </c>
      <c r="F7" s="161">
        <v>40059</v>
      </c>
      <c r="G7" s="25" t="s">
        <v>39</v>
      </c>
      <c r="H7" s="96">
        <v>62</v>
      </c>
      <c r="I7" s="96">
        <v>60</v>
      </c>
      <c r="J7" s="96">
        <v>41</v>
      </c>
      <c r="K7" s="96">
        <v>57</v>
      </c>
      <c r="L7" s="96">
        <v>64</v>
      </c>
      <c r="M7" s="96">
        <v>41</v>
      </c>
      <c r="N7" s="162">
        <f t="shared" si="8"/>
        <v>284</v>
      </c>
      <c r="O7" s="163">
        <f t="shared" si="1"/>
        <v>71</v>
      </c>
      <c r="P7" s="13">
        <f t="shared" si="2"/>
        <v>101</v>
      </c>
      <c r="Q7" s="84">
        <f t="shared" si="3"/>
        <v>434</v>
      </c>
      <c r="R7" s="164">
        <f t="shared" ref="R7:V7" si="10">H7+30</f>
        <v>92</v>
      </c>
      <c r="S7" s="164">
        <f t="shared" si="10"/>
        <v>90</v>
      </c>
      <c r="T7" s="164">
        <f t="shared" si="10"/>
        <v>71</v>
      </c>
      <c r="U7" s="164">
        <f t="shared" si="10"/>
        <v>87</v>
      </c>
      <c r="V7" s="164">
        <f t="shared" si="10"/>
        <v>94</v>
      </c>
    </row>
    <row r="8" spans="1:22" ht="14.4" x14ac:dyDescent="0.3">
      <c r="A8" s="24">
        <v>7</v>
      </c>
      <c r="B8" s="160" t="s">
        <v>757</v>
      </c>
      <c r="C8" s="25" t="s">
        <v>758</v>
      </c>
      <c r="D8" s="25" t="s">
        <v>759</v>
      </c>
      <c r="E8" s="25" t="s">
        <v>760</v>
      </c>
      <c r="F8" s="161">
        <v>40202</v>
      </c>
      <c r="G8" s="25" t="s">
        <v>39</v>
      </c>
      <c r="H8" s="96">
        <v>68</v>
      </c>
      <c r="I8" s="96">
        <v>75</v>
      </c>
      <c r="J8" s="96">
        <v>60</v>
      </c>
      <c r="K8" s="96">
        <v>60</v>
      </c>
      <c r="L8" s="96">
        <v>73</v>
      </c>
      <c r="M8" s="96">
        <v>46</v>
      </c>
      <c r="N8" s="162">
        <f t="shared" si="8"/>
        <v>336</v>
      </c>
      <c r="O8" s="163">
        <f t="shared" si="1"/>
        <v>84</v>
      </c>
      <c r="P8" s="13">
        <f t="shared" si="2"/>
        <v>114</v>
      </c>
      <c r="Q8" s="84">
        <f t="shared" si="3"/>
        <v>486</v>
      </c>
      <c r="R8" s="164">
        <f t="shared" ref="R8:V8" si="11">H8+30</f>
        <v>98</v>
      </c>
      <c r="S8" s="164">
        <f t="shared" si="11"/>
        <v>105</v>
      </c>
      <c r="T8" s="164">
        <f t="shared" si="11"/>
        <v>90</v>
      </c>
      <c r="U8" s="164">
        <f t="shared" si="11"/>
        <v>90</v>
      </c>
      <c r="V8" s="164">
        <f t="shared" si="11"/>
        <v>103</v>
      </c>
    </row>
    <row r="9" spans="1:22" ht="14.4" x14ac:dyDescent="0.3">
      <c r="A9" s="24">
        <v>8</v>
      </c>
      <c r="B9" s="165" t="s">
        <v>761</v>
      </c>
      <c r="C9" s="165" t="s">
        <v>762</v>
      </c>
      <c r="D9" s="165" t="s">
        <v>763</v>
      </c>
      <c r="E9" s="165" t="s">
        <v>764</v>
      </c>
      <c r="F9" s="166">
        <v>40075</v>
      </c>
      <c r="G9" s="165" t="s">
        <v>30</v>
      </c>
      <c r="H9" s="167">
        <v>35</v>
      </c>
      <c r="I9" s="167">
        <v>40</v>
      </c>
      <c r="J9" s="167">
        <v>45</v>
      </c>
      <c r="K9" s="168">
        <v>35</v>
      </c>
      <c r="L9" s="168">
        <v>36</v>
      </c>
      <c r="M9" s="168">
        <v>41</v>
      </c>
      <c r="N9" s="168">
        <f t="shared" si="8"/>
        <v>191</v>
      </c>
      <c r="O9" s="13">
        <f t="shared" si="1"/>
        <v>47.75</v>
      </c>
      <c r="P9" s="13">
        <f t="shared" si="2"/>
        <v>77.75</v>
      </c>
      <c r="Q9" s="84">
        <f t="shared" si="3"/>
        <v>341</v>
      </c>
      <c r="R9" s="164">
        <f t="shared" ref="R9:V9" si="12">H9+30</f>
        <v>65</v>
      </c>
      <c r="S9" s="164">
        <f t="shared" si="12"/>
        <v>70</v>
      </c>
      <c r="T9" s="164">
        <f t="shared" si="12"/>
        <v>75</v>
      </c>
      <c r="U9" s="164">
        <f t="shared" si="12"/>
        <v>65</v>
      </c>
      <c r="V9" s="164">
        <f t="shared" si="12"/>
        <v>66</v>
      </c>
    </row>
    <row r="10" spans="1:22" ht="14.4" x14ac:dyDescent="0.3">
      <c r="A10" s="24">
        <v>9</v>
      </c>
      <c r="B10" s="160" t="s">
        <v>765</v>
      </c>
      <c r="C10" s="25" t="s">
        <v>766</v>
      </c>
      <c r="D10" s="25" t="s">
        <v>767</v>
      </c>
      <c r="E10" s="25" t="s">
        <v>768</v>
      </c>
      <c r="F10" s="161">
        <v>39743</v>
      </c>
      <c r="G10" s="25" t="s">
        <v>39</v>
      </c>
      <c r="H10" s="96">
        <v>61</v>
      </c>
      <c r="I10" s="96">
        <v>60</v>
      </c>
      <c r="J10" s="96">
        <v>52</v>
      </c>
      <c r="K10" s="96">
        <v>51</v>
      </c>
      <c r="L10" s="96">
        <v>51</v>
      </c>
      <c r="M10" s="96">
        <v>44</v>
      </c>
      <c r="N10" s="162">
        <f t="shared" si="8"/>
        <v>275</v>
      </c>
      <c r="O10" s="163">
        <f t="shared" si="1"/>
        <v>68.75</v>
      </c>
      <c r="P10" s="13">
        <f t="shared" si="2"/>
        <v>98.75</v>
      </c>
      <c r="Q10" s="84">
        <f t="shared" si="3"/>
        <v>425</v>
      </c>
      <c r="R10" s="164">
        <f t="shared" ref="R10:V10" si="13">H10+30</f>
        <v>91</v>
      </c>
      <c r="S10" s="164">
        <f t="shared" si="13"/>
        <v>90</v>
      </c>
      <c r="T10" s="164">
        <f t="shared" si="13"/>
        <v>82</v>
      </c>
      <c r="U10" s="164">
        <f t="shared" si="13"/>
        <v>81</v>
      </c>
      <c r="V10" s="164">
        <f t="shared" si="13"/>
        <v>81</v>
      </c>
    </row>
    <row r="11" spans="1:22" ht="14.4" x14ac:dyDescent="0.3">
      <c r="A11" s="24">
        <v>10</v>
      </c>
      <c r="B11" s="160" t="s">
        <v>769</v>
      </c>
      <c r="C11" s="25" t="s">
        <v>770</v>
      </c>
      <c r="D11" s="25" t="s">
        <v>771</v>
      </c>
      <c r="E11" s="25" t="s">
        <v>772</v>
      </c>
      <c r="F11" s="161">
        <v>39967</v>
      </c>
      <c r="G11" s="25" t="s">
        <v>30</v>
      </c>
      <c r="H11" s="96">
        <v>63</v>
      </c>
      <c r="I11" s="96">
        <v>67</v>
      </c>
      <c r="J11" s="96">
        <v>63</v>
      </c>
      <c r="K11" s="96">
        <v>58</v>
      </c>
      <c r="L11" s="96">
        <v>65</v>
      </c>
      <c r="M11" s="96">
        <v>45</v>
      </c>
      <c r="N11" s="162">
        <f t="shared" si="8"/>
        <v>316</v>
      </c>
      <c r="O11" s="163">
        <f t="shared" si="1"/>
        <v>79</v>
      </c>
      <c r="P11" s="13">
        <f t="shared" si="2"/>
        <v>109</v>
      </c>
      <c r="Q11" s="84">
        <f t="shared" si="3"/>
        <v>466</v>
      </c>
      <c r="R11" s="164">
        <f t="shared" ref="R11:V11" si="14">H11+30</f>
        <v>93</v>
      </c>
      <c r="S11" s="164">
        <f t="shared" si="14"/>
        <v>97</v>
      </c>
      <c r="T11" s="164">
        <f t="shared" si="14"/>
        <v>93</v>
      </c>
      <c r="U11" s="164">
        <f t="shared" si="14"/>
        <v>88</v>
      </c>
      <c r="V11" s="164">
        <f t="shared" si="14"/>
        <v>95</v>
      </c>
    </row>
    <row r="12" spans="1:22" ht="14.4" x14ac:dyDescent="0.3">
      <c r="A12" s="24">
        <v>11</v>
      </c>
      <c r="B12" s="53" t="s">
        <v>773</v>
      </c>
      <c r="C12" s="53" t="s">
        <v>774</v>
      </c>
      <c r="D12" s="53" t="s">
        <v>775</v>
      </c>
      <c r="E12" s="53" t="s">
        <v>776</v>
      </c>
      <c r="F12" s="54">
        <v>40083</v>
      </c>
      <c r="G12" s="53" t="s">
        <v>30</v>
      </c>
      <c r="H12" s="55">
        <v>23</v>
      </c>
      <c r="I12" s="55">
        <v>40</v>
      </c>
      <c r="J12" s="55">
        <v>32</v>
      </c>
      <c r="K12" s="56">
        <v>17</v>
      </c>
      <c r="L12" s="169">
        <v>18</v>
      </c>
      <c r="M12" s="57">
        <v>35</v>
      </c>
      <c r="N12" s="57">
        <f t="shared" si="8"/>
        <v>130</v>
      </c>
      <c r="O12" s="58">
        <f t="shared" si="1"/>
        <v>32.5</v>
      </c>
      <c r="P12" s="13">
        <f t="shared" si="2"/>
        <v>62.5</v>
      </c>
      <c r="Q12" s="84">
        <f t="shared" si="3"/>
        <v>280</v>
      </c>
      <c r="R12" s="164">
        <f t="shared" ref="R12:V12" si="15">H12+30</f>
        <v>53</v>
      </c>
      <c r="S12" s="164">
        <f t="shared" si="15"/>
        <v>70</v>
      </c>
      <c r="T12" s="164">
        <f t="shared" si="15"/>
        <v>62</v>
      </c>
      <c r="U12" s="164">
        <f t="shared" si="15"/>
        <v>47</v>
      </c>
      <c r="V12" s="164">
        <f t="shared" si="15"/>
        <v>48</v>
      </c>
    </row>
    <row r="13" spans="1:22" ht="14.4" x14ac:dyDescent="0.3">
      <c r="A13" s="24">
        <v>12</v>
      </c>
      <c r="B13" s="160" t="s">
        <v>777</v>
      </c>
      <c r="C13" s="25" t="s">
        <v>778</v>
      </c>
      <c r="D13" s="25" t="s">
        <v>779</v>
      </c>
      <c r="E13" s="25" t="s">
        <v>780</v>
      </c>
      <c r="F13" s="161">
        <v>39809</v>
      </c>
      <c r="G13" s="25" t="s">
        <v>30</v>
      </c>
      <c r="H13" s="96">
        <v>48</v>
      </c>
      <c r="I13" s="96">
        <v>47</v>
      </c>
      <c r="J13" s="96">
        <v>65</v>
      </c>
      <c r="K13" s="96">
        <v>52</v>
      </c>
      <c r="L13" s="96">
        <v>41</v>
      </c>
      <c r="M13" s="96">
        <v>46</v>
      </c>
      <c r="N13" s="162">
        <f t="shared" si="8"/>
        <v>253</v>
      </c>
      <c r="O13" s="163">
        <f t="shared" si="1"/>
        <v>63.249999999999993</v>
      </c>
      <c r="P13" s="13">
        <f t="shared" si="2"/>
        <v>93.25</v>
      </c>
      <c r="Q13" s="84">
        <f t="shared" si="3"/>
        <v>403</v>
      </c>
      <c r="R13" s="164">
        <f t="shared" ref="R13:V13" si="16">H13+30</f>
        <v>78</v>
      </c>
      <c r="S13" s="164">
        <f t="shared" si="16"/>
        <v>77</v>
      </c>
      <c r="T13" s="164">
        <f t="shared" si="16"/>
        <v>95</v>
      </c>
      <c r="U13" s="164">
        <f t="shared" si="16"/>
        <v>82</v>
      </c>
      <c r="V13" s="164">
        <f t="shared" si="16"/>
        <v>71</v>
      </c>
    </row>
    <row r="14" spans="1:22" ht="14.4" x14ac:dyDescent="0.3">
      <c r="A14" s="24">
        <v>13</v>
      </c>
      <c r="B14" s="160" t="s">
        <v>781</v>
      </c>
      <c r="C14" s="25" t="s">
        <v>782</v>
      </c>
      <c r="D14" s="25" t="s">
        <v>783</v>
      </c>
      <c r="E14" s="25" t="s">
        <v>784</v>
      </c>
      <c r="F14" s="161">
        <v>39865</v>
      </c>
      <c r="G14" s="25" t="s">
        <v>30</v>
      </c>
      <c r="H14" s="96">
        <v>55</v>
      </c>
      <c r="I14" s="96">
        <v>64</v>
      </c>
      <c r="J14" s="96">
        <v>60</v>
      </c>
      <c r="K14" s="96">
        <v>60</v>
      </c>
      <c r="L14" s="96">
        <v>53</v>
      </c>
      <c r="M14" s="96">
        <v>48</v>
      </c>
      <c r="N14" s="162">
        <f t="shared" si="8"/>
        <v>292</v>
      </c>
      <c r="O14" s="163">
        <f t="shared" si="1"/>
        <v>73</v>
      </c>
      <c r="P14" s="13">
        <f t="shared" si="2"/>
        <v>103</v>
      </c>
      <c r="Q14" s="84">
        <f t="shared" si="3"/>
        <v>442</v>
      </c>
      <c r="R14" s="164">
        <f t="shared" ref="R14:V14" si="17">H14+30</f>
        <v>85</v>
      </c>
      <c r="S14" s="164">
        <f t="shared" si="17"/>
        <v>94</v>
      </c>
      <c r="T14" s="164">
        <f t="shared" si="17"/>
        <v>90</v>
      </c>
      <c r="U14" s="164">
        <f t="shared" si="17"/>
        <v>90</v>
      </c>
      <c r="V14" s="164">
        <f t="shared" si="17"/>
        <v>83</v>
      </c>
    </row>
    <row r="15" spans="1:22" ht="14.4" x14ac:dyDescent="0.3">
      <c r="A15" s="24">
        <v>14</v>
      </c>
      <c r="B15" s="160" t="s">
        <v>785</v>
      </c>
      <c r="C15" s="25" t="s">
        <v>786</v>
      </c>
      <c r="D15" s="25" t="s">
        <v>787</v>
      </c>
      <c r="E15" s="25" t="s">
        <v>788</v>
      </c>
      <c r="F15" s="161">
        <v>40479</v>
      </c>
      <c r="G15" s="25" t="s">
        <v>39</v>
      </c>
      <c r="H15" s="96">
        <v>55</v>
      </c>
      <c r="I15" s="96">
        <v>53</v>
      </c>
      <c r="J15" s="96">
        <v>36</v>
      </c>
      <c r="K15" s="96">
        <v>29</v>
      </c>
      <c r="L15" s="96">
        <v>45</v>
      </c>
      <c r="M15" s="96">
        <v>47</v>
      </c>
      <c r="N15" s="162">
        <f t="shared" si="8"/>
        <v>218</v>
      </c>
      <c r="O15" s="163">
        <f t="shared" si="1"/>
        <v>54.500000000000007</v>
      </c>
      <c r="P15" s="13">
        <f t="shared" si="2"/>
        <v>84.5</v>
      </c>
      <c r="Q15" s="84">
        <f t="shared" si="3"/>
        <v>368</v>
      </c>
      <c r="R15" s="164">
        <f t="shared" ref="R15:V15" si="18">H15+30</f>
        <v>85</v>
      </c>
      <c r="S15" s="164">
        <f t="shared" si="18"/>
        <v>83</v>
      </c>
      <c r="T15" s="164">
        <f t="shared" si="18"/>
        <v>66</v>
      </c>
      <c r="U15" s="164">
        <f t="shared" si="18"/>
        <v>59</v>
      </c>
      <c r="V15" s="164">
        <f t="shared" si="18"/>
        <v>75</v>
      </c>
    </row>
    <row r="16" spans="1:22" ht="14.4" x14ac:dyDescent="0.3">
      <c r="A16" s="24">
        <v>15</v>
      </c>
      <c r="B16" s="113" t="s">
        <v>789</v>
      </c>
      <c r="C16" s="113" t="s">
        <v>790</v>
      </c>
      <c r="D16" s="113" t="s">
        <v>791</v>
      </c>
      <c r="E16" s="113" t="s">
        <v>792</v>
      </c>
      <c r="F16" s="170">
        <v>39763</v>
      </c>
      <c r="G16" s="113" t="s">
        <v>30</v>
      </c>
      <c r="H16" s="115">
        <v>39</v>
      </c>
      <c r="I16" s="115">
        <v>60</v>
      </c>
      <c r="J16" s="115">
        <v>33</v>
      </c>
      <c r="K16" s="118">
        <v>40</v>
      </c>
      <c r="L16" s="118">
        <v>63</v>
      </c>
      <c r="M16" s="118">
        <v>45</v>
      </c>
      <c r="N16" s="118">
        <f t="shared" si="8"/>
        <v>235</v>
      </c>
      <c r="O16" s="119">
        <f t="shared" si="1"/>
        <v>58.75</v>
      </c>
      <c r="P16" s="13">
        <f t="shared" si="2"/>
        <v>88.75</v>
      </c>
      <c r="Q16" s="84">
        <f t="shared" si="3"/>
        <v>385</v>
      </c>
      <c r="R16" s="164">
        <f t="shared" ref="R16:V16" si="19">H16+30</f>
        <v>69</v>
      </c>
      <c r="S16" s="164">
        <f t="shared" si="19"/>
        <v>90</v>
      </c>
      <c r="T16" s="164">
        <f t="shared" si="19"/>
        <v>63</v>
      </c>
      <c r="U16" s="164">
        <f t="shared" si="19"/>
        <v>70</v>
      </c>
      <c r="V16" s="164">
        <f t="shared" si="19"/>
        <v>93</v>
      </c>
    </row>
    <row r="17" spans="1:22" ht="14.4" x14ac:dyDescent="0.3">
      <c r="A17" s="24">
        <v>16</v>
      </c>
      <c r="B17" s="160" t="s">
        <v>793</v>
      </c>
      <c r="C17" s="25" t="s">
        <v>794</v>
      </c>
      <c r="D17" s="25" t="s">
        <v>795</v>
      </c>
      <c r="E17" s="25" t="s">
        <v>796</v>
      </c>
      <c r="F17" s="161">
        <v>40369</v>
      </c>
      <c r="G17" s="25" t="s">
        <v>30</v>
      </c>
      <c r="H17" s="96">
        <v>63</v>
      </c>
      <c r="I17" s="96">
        <v>65</v>
      </c>
      <c r="J17" s="96">
        <v>62</v>
      </c>
      <c r="K17" s="96">
        <v>54</v>
      </c>
      <c r="L17" s="96">
        <v>68</v>
      </c>
      <c r="M17" s="96">
        <v>48</v>
      </c>
      <c r="N17" s="162">
        <f t="shared" si="8"/>
        <v>312</v>
      </c>
      <c r="O17" s="163">
        <f t="shared" si="1"/>
        <v>78</v>
      </c>
      <c r="P17" s="13">
        <f t="shared" si="2"/>
        <v>108</v>
      </c>
      <c r="Q17" s="84">
        <f t="shared" si="3"/>
        <v>462</v>
      </c>
      <c r="R17" s="164">
        <f t="shared" ref="R17:V17" si="20">H17+30</f>
        <v>93</v>
      </c>
      <c r="S17" s="164">
        <f t="shared" si="20"/>
        <v>95</v>
      </c>
      <c r="T17" s="164">
        <f t="shared" si="20"/>
        <v>92</v>
      </c>
      <c r="U17" s="164">
        <f t="shared" si="20"/>
        <v>84</v>
      </c>
      <c r="V17" s="164">
        <f t="shared" si="20"/>
        <v>98</v>
      </c>
    </row>
    <row r="18" spans="1:22" ht="14.4" x14ac:dyDescent="0.3">
      <c r="A18" s="24">
        <v>17</v>
      </c>
      <c r="B18" s="160" t="s">
        <v>797</v>
      </c>
      <c r="C18" s="25" t="s">
        <v>798</v>
      </c>
      <c r="D18" s="25" t="s">
        <v>799</v>
      </c>
      <c r="E18" s="25" t="s">
        <v>800</v>
      </c>
      <c r="F18" s="161">
        <v>39789</v>
      </c>
      <c r="G18" s="25" t="s">
        <v>30</v>
      </c>
      <c r="H18" s="96">
        <v>58</v>
      </c>
      <c r="I18" s="96">
        <v>69</v>
      </c>
      <c r="J18" s="96">
        <v>72</v>
      </c>
      <c r="K18" s="96">
        <v>63</v>
      </c>
      <c r="L18" s="96">
        <v>69</v>
      </c>
      <c r="M18" s="96">
        <v>42</v>
      </c>
      <c r="N18" s="162">
        <f t="shared" si="8"/>
        <v>331</v>
      </c>
      <c r="O18" s="163">
        <f t="shared" si="1"/>
        <v>82.75</v>
      </c>
      <c r="P18" s="13">
        <f t="shared" si="2"/>
        <v>112.75</v>
      </c>
      <c r="Q18" s="84">
        <f t="shared" si="3"/>
        <v>481</v>
      </c>
      <c r="R18" s="164">
        <f t="shared" ref="R18:V18" si="21">H18+30</f>
        <v>88</v>
      </c>
      <c r="S18" s="164">
        <f t="shared" si="21"/>
        <v>99</v>
      </c>
      <c r="T18" s="164">
        <f t="shared" si="21"/>
        <v>102</v>
      </c>
      <c r="U18" s="164">
        <f t="shared" si="21"/>
        <v>93</v>
      </c>
      <c r="V18" s="164">
        <f t="shared" si="21"/>
        <v>99</v>
      </c>
    </row>
    <row r="19" spans="1:22" ht="14.4" x14ac:dyDescent="0.3">
      <c r="A19" s="24">
        <v>18</v>
      </c>
      <c r="B19" s="160" t="s">
        <v>801</v>
      </c>
      <c r="C19" s="25" t="s">
        <v>802</v>
      </c>
      <c r="D19" s="25" t="s">
        <v>803</v>
      </c>
      <c r="E19" s="25" t="s">
        <v>804</v>
      </c>
      <c r="F19" s="161">
        <v>40086</v>
      </c>
      <c r="G19" s="25" t="s">
        <v>30</v>
      </c>
      <c r="H19" s="96">
        <v>48</v>
      </c>
      <c r="I19" s="96">
        <v>62</v>
      </c>
      <c r="J19" s="96">
        <v>67</v>
      </c>
      <c r="K19" s="96">
        <v>55</v>
      </c>
      <c r="L19" s="96">
        <v>65</v>
      </c>
      <c r="M19" s="96">
        <v>42</v>
      </c>
      <c r="N19" s="162">
        <f t="shared" si="8"/>
        <v>297</v>
      </c>
      <c r="O19" s="163">
        <f t="shared" si="1"/>
        <v>74.25</v>
      </c>
      <c r="P19" s="13">
        <f t="shared" si="2"/>
        <v>104.25</v>
      </c>
      <c r="Q19" s="84">
        <f t="shared" si="3"/>
        <v>447</v>
      </c>
      <c r="R19" s="164">
        <f t="shared" ref="R19:V19" si="22">H19+30</f>
        <v>78</v>
      </c>
      <c r="S19" s="164">
        <f t="shared" si="22"/>
        <v>92</v>
      </c>
      <c r="T19" s="164">
        <f t="shared" si="22"/>
        <v>97</v>
      </c>
      <c r="U19" s="164">
        <f t="shared" si="22"/>
        <v>85</v>
      </c>
      <c r="V19" s="164">
        <f t="shared" si="22"/>
        <v>95</v>
      </c>
    </row>
    <row r="20" spans="1:22" ht="14.4" x14ac:dyDescent="0.3">
      <c r="A20" s="24">
        <v>19</v>
      </c>
      <c r="B20" s="160" t="s">
        <v>805</v>
      </c>
      <c r="C20" s="25" t="s">
        <v>806</v>
      </c>
      <c r="D20" s="25" t="s">
        <v>807</v>
      </c>
      <c r="E20" s="25" t="s">
        <v>808</v>
      </c>
      <c r="F20" s="161">
        <v>39895</v>
      </c>
      <c r="G20" s="25" t="s">
        <v>30</v>
      </c>
      <c r="H20" s="96">
        <v>52</v>
      </c>
      <c r="I20" s="96">
        <v>50</v>
      </c>
      <c r="J20" s="96">
        <v>52</v>
      </c>
      <c r="K20" s="96">
        <v>56</v>
      </c>
      <c r="L20" s="96">
        <v>43</v>
      </c>
      <c r="M20" s="96">
        <v>47</v>
      </c>
      <c r="N20" s="162">
        <f t="shared" si="8"/>
        <v>253</v>
      </c>
      <c r="O20" s="163">
        <f t="shared" si="1"/>
        <v>63.249999999999993</v>
      </c>
      <c r="P20" s="13">
        <f t="shared" si="2"/>
        <v>93.25</v>
      </c>
      <c r="Q20" s="84">
        <f t="shared" si="3"/>
        <v>403</v>
      </c>
      <c r="R20" s="164">
        <f t="shared" ref="R20:V20" si="23">H20+30</f>
        <v>82</v>
      </c>
      <c r="S20" s="164">
        <f t="shared" si="23"/>
        <v>80</v>
      </c>
      <c r="T20" s="164">
        <f t="shared" si="23"/>
        <v>82</v>
      </c>
      <c r="U20" s="164">
        <f t="shared" si="23"/>
        <v>86</v>
      </c>
      <c r="V20" s="164">
        <f t="shared" si="23"/>
        <v>73</v>
      </c>
    </row>
    <row r="21" spans="1:22" ht="14.4" x14ac:dyDescent="0.3">
      <c r="A21" s="24">
        <v>20</v>
      </c>
      <c r="B21" s="160" t="s">
        <v>809</v>
      </c>
      <c r="C21" s="25" t="s">
        <v>810</v>
      </c>
      <c r="D21" s="25" t="s">
        <v>811</v>
      </c>
      <c r="E21" s="25" t="s">
        <v>812</v>
      </c>
      <c r="F21" s="161">
        <v>39993</v>
      </c>
      <c r="G21" s="25" t="s">
        <v>39</v>
      </c>
      <c r="H21" s="96">
        <v>60</v>
      </c>
      <c r="I21" s="96">
        <v>66</v>
      </c>
      <c r="J21" s="96">
        <v>49</v>
      </c>
      <c r="K21" s="96">
        <v>48</v>
      </c>
      <c r="L21" s="96">
        <v>59</v>
      </c>
      <c r="M21" s="96">
        <v>43</v>
      </c>
      <c r="N21" s="162">
        <f t="shared" si="8"/>
        <v>282</v>
      </c>
      <c r="O21" s="163">
        <f t="shared" si="1"/>
        <v>70.5</v>
      </c>
      <c r="P21" s="13">
        <f t="shared" si="2"/>
        <v>100.5</v>
      </c>
      <c r="Q21" s="84">
        <f t="shared" si="3"/>
        <v>432</v>
      </c>
      <c r="R21" s="164">
        <f t="shared" ref="R21:V21" si="24">H21+30</f>
        <v>90</v>
      </c>
      <c r="S21" s="164">
        <f t="shared" si="24"/>
        <v>96</v>
      </c>
      <c r="T21" s="164">
        <f t="shared" si="24"/>
        <v>79</v>
      </c>
      <c r="U21" s="164">
        <f t="shared" si="24"/>
        <v>78</v>
      </c>
      <c r="V21" s="164">
        <f t="shared" si="24"/>
        <v>89</v>
      </c>
    </row>
    <row r="22" spans="1:22" ht="14.4" x14ac:dyDescent="0.3">
      <c r="A22" s="24">
        <v>21</v>
      </c>
      <c r="B22" s="47" t="s">
        <v>813</v>
      </c>
      <c r="C22" s="7" t="s">
        <v>814</v>
      </c>
      <c r="D22" s="7" t="s">
        <v>815</v>
      </c>
      <c r="E22" s="7" t="s">
        <v>403</v>
      </c>
      <c r="F22" s="48">
        <v>39745</v>
      </c>
      <c r="G22" s="7" t="s">
        <v>39</v>
      </c>
      <c r="H22" s="49">
        <v>28</v>
      </c>
      <c r="I22" s="49">
        <v>41</v>
      </c>
      <c r="J22" s="49">
        <v>51</v>
      </c>
      <c r="K22" s="49">
        <v>28</v>
      </c>
      <c r="L22" s="49">
        <v>38</v>
      </c>
      <c r="M22" s="49">
        <v>36</v>
      </c>
      <c r="N22" s="50">
        <f t="shared" si="8"/>
        <v>186</v>
      </c>
      <c r="O22" s="51">
        <f t="shared" si="1"/>
        <v>46.5</v>
      </c>
      <c r="P22" s="13">
        <f t="shared" si="2"/>
        <v>76.5</v>
      </c>
      <c r="Q22" s="84">
        <f t="shared" si="3"/>
        <v>336</v>
      </c>
      <c r="R22" s="164">
        <f t="shared" ref="R22:V22" si="25">H22+30</f>
        <v>58</v>
      </c>
      <c r="S22" s="164">
        <f t="shared" si="25"/>
        <v>71</v>
      </c>
      <c r="T22" s="164">
        <f t="shared" si="25"/>
        <v>81</v>
      </c>
      <c r="U22" s="164">
        <f t="shared" si="25"/>
        <v>58</v>
      </c>
      <c r="V22" s="164">
        <f t="shared" si="25"/>
        <v>68</v>
      </c>
    </row>
    <row r="23" spans="1:22" ht="14.4" x14ac:dyDescent="0.3">
      <c r="A23" s="24">
        <v>22</v>
      </c>
      <c r="B23" s="160" t="s">
        <v>816</v>
      </c>
      <c r="C23" s="25" t="s">
        <v>817</v>
      </c>
      <c r="D23" s="25" t="s">
        <v>818</v>
      </c>
      <c r="E23" s="25" t="s">
        <v>819</v>
      </c>
      <c r="F23" s="161">
        <v>39984</v>
      </c>
      <c r="G23" s="25" t="s">
        <v>30</v>
      </c>
      <c r="H23" s="96">
        <v>57</v>
      </c>
      <c r="I23" s="96">
        <v>53</v>
      </c>
      <c r="J23" s="96">
        <v>54</v>
      </c>
      <c r="K23" s="96">
        <v>35</v>
      </c>
      <c r="L23" s="96">
        <v>32</v>
      </c>
      <c r="M23" s="96">
        <v>41</v>
      </c>
      <c r="N23" s="162">
        <f t="shared" si="8"/>
        <v>231</v>
      </c>
      <c r="O23" s="163">
        <f t="shared" si="1"/>
        <v>57.75</v>
      </c>
      <c r="P23" s="13">
        <f t="shared" si="2"/>
        <v>87.75</v>
      </c>
      <c r="Q23" s="84">
        <f t="shared" si="3"/>
        <v>381</v>
      </c>
      <c r="R23" s="164">
        <f t="shared" ref="R23:V23" si="26">H23+30</f>
        <v>87</v>
      </c>
      <c r="S23" s="164">
        <f t="shared" si="26"/>
        <v>83</v>
      </c>
      <c r="T23" s="164">
        <f t="shared" si="26"/>
        <v>84</v>
      </c>
      <c r="U23" s="164">
        <f t="shared" si="26"/>
        <v>65</v>
      </c>
      <c r="V23" s="164">
        <f t="shared" si="26"/>
        <v>62</v>
      </c>
    </row>
    <row r="24" spans="1:22" ht="14.4" x14ac:dyDescent="0.3">
      <c r="A24" s="24">
        <v>23</v>
      </c>
      <c r="B24" s="160" t="s">
        <v>820</v>
      </c>
      <c r="C24" s="25" t="s">
        <v>821</v>
      </c>
      <c r="D24" s="25" t="s">
        <v>822</v>
      </c>
      <c r="E24" s="25" t="s">
        <v>823</v>
      </c>
      <c r="F24" s="161">
        <v>39960</v>
      </c>
      <c r="G24" s="25" t="s">
        <v>30</v>
      </c>
      <c r="H24" s="96">
        <v>56</v>
      </c>
      <c r="I24" s="96">
        <v>63</v>
      </c>
      <c r="J24" s="96">
        <v>67</v>
      </c>
      <c r="K24" s="96">
        <v>53</v>
      </c>
      <c r="L24" s="96">
        <v>47</v>
      </c>
      <c r="M24" s="96">
        <v>47</v>
      </c>
      <c r="N24" s="162">
        <f t="shared" si="8"/>
        <v>286</v>
      </c>
      <c r="O24" s="163">
        <f t="shared" si="1"/>
        <v>71.5</v>
      </c>
      <c r="P24" s="13">
        <f t="shared" si="2"/>
        <v>101.5</v>
      </c>
      <c r="Q24" s="84">
        <f t="shared" si="3"/>
        <v>436</v>
      </c>
      <c r="R24" s="164">
        <f t="shared" ref="R24:V24" si="27">H24+30</f>
        <v>86</v>
      </c>
      <c r="S24" s="164">
        <f t="shared" si="27"/>
        <v>93</v>
      </c>
      <c r="T24" s="164">
        <f t="shared" si="27"/>
        <v>97</v>
      </c>
      <c r="U24" s="164">
        <f t="shared" si="27"/>
        <v>83</v>
      </c>
      <c r="V24" s="164">
        <f t="shared" si="27"/>
        <v>77</v>
      </c>
    </row>
    <row r="25" spans="1:22" ht="14.4" x14ac:dyDescent="0.3">
      <c r="A25" s="24">
        <v>24</v>
      </c>
      <c r="B25" s="160" t="s">
        <v>824</v>
      </c>
      <c r="C25" s="25" t="s">
        <v>825</v>
      </c>
      <c r="D25" s="25" t="s">
        <v>826</v>
      </c>
      <c r="E25" s="25" t="s">
        <v>827</v>
      </c>
      <c r="F25" s="161">
        <v>40018</v>
      </c>
      <c r="G25" s="25" t="s">
        <v>30</v>
      </c>
      <c r="H25" s="96">
        <v>51</v>
      </c>
      <c r="I25" s="96">
        <v>53</v>
      </c>
      <c r="J25" s="96">
        <v>56</v>
      </c>
      <c r="K25" s="96">
        <v>53</v>
      </c>
      <c r="L25" s="96">
        <v>48</v>
      </c>
      <c r="M25" s="96">
        <v>42</v>
      </c>
      <c r="N25" s="162">
        <f t="shared" si="8"/>
        <v>261</v>
      </c>
      <c r="O25" s="163">
        <f t="shared" si="1"/>
        <v>65.25</v>
      </c>
      <c r="P25" s="13">
        <f t="shared" si="2"/>
        <v>95.25</v>
      </c>
      <c r="Q25" s="84">
        <f t="shared" si="3"/>
        <v>411</v>
      </c>
      <c r="R25" s="164">
        <f t="shared" ref="R25:V25" si="28">H25+30</f>
        <v>81</v>
      </c>
      <c r="S25" s="164">
        <f t="shared" si="28"/>
        <v>83</v>
      </c>
      <c r="T25" s="164">
        <f t="shared" si="28"/>
        <v>86</v>
      </c>
      <c r="U25" s="164">
        <f t="shared" si="28"/>
        <v>83</v>
      </c>
      <c r="V25" s="164">
        <f t="shared" si="28"/>
        <v>78</v>
      </c>
    </row>
    <row r="26" spans="1:22" ht="14.4" x14ac:dyDescent="0.3">
      <c r="A26" s="24">
        <v>25</v>
      </c>
      <c r="B26" s="160" t="s">
        <v>828</v>
      </c>
      <c r="C26" s="25" t="s">
        <v>829</v>
      </c>
      <c r="D26" s="25" t="s">
        <v>830</v>
      </c>
      <c r="E26" s="25" t="s">
        <v>831</v>
      </c>
      <c r="F26" s="161">
        <v>40017</v>
      </c>
      <c r="G26" s="25" t="s">
        <v>30</v>
      </c>
      <c r="H26" s="96">
        <v>51</v>
      </c>
      <c r="I26" s="96">
        <v>64</v>
      </c>
      <c r="J26" s="96">
        <v>62</v>
      </c>
      <c r="K26" s="96">
        <v>58</v>
      </c>
      <c r="L26" s="96">
        <v>58</v>
      </c>
      <c r="M26" s="96">
        <v>40</v>
      </c>
      <c r="N26" s="162">
        <f t="shared" si="8"/>
        <v>293</v>
      </c>
      <c r="O26" s="163">
        <f t="shared" si="1"/>
        <v>73.25</v>
      </c>
      <c r="P26" s="13">
        <f t="shared" si="2"/>
        <v>103.25</v>
      </c>
      <c r="Q26" s="84">
        <f t="shared" si="3"/>
        <v>443</v>
      </c>
      <c r="R26" s="164">
        <f t="shared" ref="R26:V26" si="29">H26+30</f>
        <v>81</v>
      </c>
      <c r="S26" s="164">
        <f t="shared" si="29"/>
        <v>94</v>
      </c>
      <c r="T26" s="164">
        <f t="shared" si="29"/>
        <v>92</v>
      </c>
      <c r="U26" s="164">
        <f t="shared" si="29"/>
        <v>88</v>
      </c>
      <c r="V26" s="164">
        <f t="shared" si="29"/>
        <v>88</v>
      </c>
    </row>
    <row r="27" spans="1:22" ht="14.4" x14ac:dyDescent="0.3">
      <c r="A27" s="24">
        <v>26</v>
      </c>
      <c r="B27" s="113" t="s">
        <v>832</v>
      </c>
      <c r="C27" s="113" t="s">
        <v>833</v>
      </c>
      <c r="D27" s="113" t="s">
        <v>834</v>
      </c>
      <c r="E27" s="113" t="s">
        <v>835</v>
      </c>
      <c r="F27" s="170">
        <v>39643</v>
      </c>
      <c r="G27" s="113" t="s">
        <v>30</v>
      </c>
      <c r="H27" s="115">
        <v>42</v>
      </c>
      <c r="I27" s="115">
        <v>63</v>
      </c>
      <c r="J27" s="115">
        <v>34</v>
      </c>
      <c r="K27" s="118">
        <v>40</v>
      </c>
      <c r="L27" s="118">
        <v>44</v>
      </c>
      <c r="M27" s="118">
        <v>46</v>
      </c>
      <c r="N27" s="118">
        <f t="shared" si="8"/>
        <v>223</v>
      </c>
      <c r="O27" s="119">
        <f t="shared" si="1"/>
        <v>55.75</v>
      </c>
      <c r="P27" s="13">
        <f t="shared" si="2"/>
        <v>85.75</v>
      </c>
      <c r="Q27" s="84">
        <f t="shared" si="3"/>
        <v>373</v>
      </c>
      <c r="R27" s="164">
        <f t="shared" ref="R27:V27" si="30">H27+30</f>
        <v>72</v>
      </c>
      <c r="S27" s="164">
        <f t="shared" si="30"/>
        <v>93</v>
      </c>
      <c r="T27" s="164">
        <f t="shared" si="30"/>
        <v>64</v>
      </c>
      <c r="U27" s="164">
        <f t="shared" si="30"/>
        <v>70</v>
      </c>
      <c r="V27" s="164">
        <f t="shared" si="30"/>
        <v>74</v>
      </c>
    </row>
    <row r="28" spans="1:22" ht="14.4" x14ac:dyDescent="0.3">
      <c r="A28" s="24">
        <v>27</v>
      </c>
      <c r="B28" s="160" t="s">
        <v>836</v>
      </c>
      <c r="C28" s="25" t="s">
        <v>837</v>
      </c>
      <c r="D28" s="25" t="s">
        <v>838</v>
      </c>
      <c r="E28" s="25" t="s">
        <v>839</v>
      </c>
      <c r="F28" s="161">
        <v>40025</v>
      </c>
      <c r="G28" s="25" t="s">
        <v>30</v>
      </c>
      <c r="H28" s="96">
        <v>62</v>
      </c>
      <c r="I28" s="96">
        <v>63</v>
      </c>
      <c r="J28" s="96">
        <v>73</v>
      </c>
      <c r="K28" s="96">
        <v>70</v>
      </c>
      <c r="L28" s="96">
        <v>74</v>
      </c>
      <c r="M28" s="96">
        <v>46</v>
      </c>
      <c r="N28" s="162">
        <f t="shared" si="8"/>
        <v>342</v>
      </c>
      <c r="O28" s="163">
        <f t="shared" si="1"/>
        <v>85.5</v>
      </c>
      <c r="P28" s="13">
        <f t="shared" si="2"/>
        <v>115.5</v>
      </c>
      <c r="Q28" s="84">
        <f t="shared" si="3"/>
        <v>492</v>
      </c>
      <c r="R28" s="164">
        <f t="shared" ref="R28:V28" si="31">H28+30</f>
        <v>92</v>
      </c>
      <c r="S28" s="164">
        <f t="shared" si="31"/>
        <v>93</v>
      </c>
      <c r="T28" s="164">
        <f t="shared" si="31"/>
        <v>103</v>
      </c>
      <c r="U28" s="164">
        <f t="shared" si="31"/>
        <v>100</v>
      </c>
      <c r="V28" s="164">
        <f t="shared" si="31"/>
        <v>104</v>
      </c>
    </row>
    <row r="29" spans="1:22" ht="14.4" x14ac:dyDescent="0.3">
      <c r="A29" s="24">
        <v>28</v>
      </c>
      <c r="B29" s="160" t="s">
        <v>840</v>
      </c>
      <c r="C29" s="25" t="s">
        <v>841</v>
      </c>
      <c r="D29" s="25" t="s">
        <v>842</v>
      </c>
      <c r="E29" s="25" t="s">
        <v>843</v>
      </c>
      <c r="F29" s="161">
        <v>39937</v>
      </c>
      <c r="G29" s="25" t="s">
        <v>39</v>
      </c>
      <c r="H29" s="96">
        <v>50</v>
      </c>
      <c r="I29" s="96">
        <v>49</v>
      </c>
      <c r="J29" s="96">
        <v>41</v>
      </c>
      <c r="K29" s="96">
        <v>32</v>
      </c>
      <c r="L29" s="96">
        <v>51</v>
      </c>
      <c r="M29" s="96">
        <v>36</v>
      </c>
      <c r="N29" s="162">
        <f t="shared" si="8"/>
        <v>223</v>
      </c>
      <c r="O29" s="163">
        <f t="shared" si="1"/>
        <v>55.75</v>
      </c>
      <c r="P29" s="13">
        <f t="shared" si="2"/>
        <v>85.75</v>
      </c>
      <c r="Q29" s="84">
        <f t="shared" si="3"/>
        <v>373</v>
      </c>
      <c r="R29" s="164">
        <f t="shared" ref="R29:V29" si="32">H29+30</f>
        <v>80</v>
      </c>
      <c r="S29" s="164">
        <f t="shared" si="32"/>
        <v>79</v>
      </c>
      <c r="T29" s="164">
        <f t="shared" si="32"/>
        <v>71</v>
      </c>
      <c r="U29" s="164">
        <f t="shared" si="32"/>
        <v>62</v>
      </c>
      <c r="V29" s="164">
        <f t="shared" si="32"/>
        <v>81</v>
      </c>
    </row>
    <row r="30" spans="1:22" ht="14.4" x14ac:dyDescent="0.3">
      <c r="A30" s="24">
        <v>29</v>
      </c>
      <c r="B30" s="160" t="s">
        <v>844</v>
      </c>
      <c r="C30" s="25" t="s">
        <v>845</v>
      </c>
      <c r="D30" s="25" t="s">
        <v>629</v>
      </c>
      <c r="E30" s="25" t="s">
        <v>846</v>
      </c>
      <c r="F30" s="161">
        <v>40075</v>
      </c>
      <c r="G30" s="25" t="s">
        <v>30</v>
      </c>
      <c r="H30" s="96">
        <v>44</v>
      </c>
      <c r="I30" s="96">
        <v>64</v>
      </c>
      <c r="J30" s="96">
        <v>71</v>
      </c>
      <c r="K30" s="96">
        <v>53</v>
      </c>
      <c r="L30" s="96">
        <v>72</v>
      </c>
      <c r="M30" s="96">
        <v>43</v>
      </c>
      <c r="N30" s="162">
        <f t="shared" si="8"/>
        <v>304</v>
      </c>
      <c r="O30" s="163">
        <f t="shared" si="1"/>
        <v>76</v>
      </c>
      <c r="P30" s="13">
        <f t="shared" si="2"/>
        <v>106</v>
      </c>
      <c r="Q30" s="84">
        <f t="shared" si="3"/>
        <v>454</v>
      </c>
      <c r="R30" s="164">
        <f t="shared" ref="R30:V30" si="33">H30+30</f>
        <v>74</v>
      </c>
      <c r="S30" s="164">
        <f t="shared" si="33"/>
        <v>94</v>
      </c>
      <c r="T30" s="164">
        <f t="shared" si="33"/>
        <v>101</v>
      </c>
      <c r="U30" s="164">
        <f t="shared" si="33"/>
        <v>83</v>
      </c>
      <c r="V30" s="164">
        <f t="shared" si="33"/>
        <v>102</v>
      </c>
    </row>
    <row r="31" spans="1:22" ht="14.4" x14ac:dyDescent="0.3">
      <c r="A31" s="24">
        <v>30</v>
      </c>
      <c r="B31" s="160" t="s">
        <v>847</v>
      </c>
      <c r="C31" s="25" t="s">
        <v>848</v>
      </c>
      <c r="D31" s="25" t="s">
        <v>849</v>
      </c>
      <c r="E31" s="25" t="s">
        <v>850</v>
      </c>
      <c r="F31" s="161">
        <v>39776</v>
      </c>
      <c r="G31" s="25" t="s">
        <v>30</v>
      </c>
      <c r="H31" s="96">
        <v>45</v>
      </c>
      <c r="I31" s="96">
        <v>52</v>
      </c>
      <c r="J31" s="96">
        <v>51</v>
      </c>
      <c r="K31" s="96">
        <v>41</v>
      </c>
      <c r="L31" s="96">
        <v>51</v>
      </c>
      <c r="M31" s="96">
        <v>44</v>
      </c>
      <c r="N31" s="162">
        <f t="shared" si="8"/>
        <v>240</v>
      </c>
      <c r="O31" s="163">
        <f t="shared" si="1"/>
        <v>60</v>
      </c>
      <c r="P31" s="13">
        <f t="shared" si="2"/>
        <v>90</v>
      </c>
      <c r="Q31" s="84">
        <f t="shared" si="3"/>
        <v>390</v>
      </c>
      <c r="R31" s="164">
        <f t="shared" ref="R31:V31" si="34">H31+30</f>
        <v>75</v>
      </c>
      <c r="S31" s="164">
        <f t="shared" si="34"/>
        <v>82</v>
      </c>
      <c r="T31" s="164">
        <f t="shared" si="34"/>
        <v>81</v>
      </c>
      <c r="U31" s="164">
        <f t="shared" si="34"/>
        <v>71</v>
      </c>
      <c r="V31" s="164">
        <f t="shared" si="34"/>
        <v>81</v>
      </c>
    </row>
    <row r="32" spans="1:22" ht="14.4" x14ac:dyDescent="0.3">
      <c r="A32" s="24">
        <v>31</v>
      </c>
      <c r="B32" s="124" t="s">
        <v>851</v>
      </c>
      <c r="C32" s="124" t="s">
        <v>852</v>
      </c>
      <c r="D32" s="124" t="s">
        <v>853</v>
      </c>
      <c r="E32" s="124" t="s">
        <v>854</v>
      </c>
      <c r="F32" s="171">
        <v>39720</v>
      </c>
      <c r="G32" s="124" t="s">
        <v>30</v>
      </c>
      <c r="H32" s="126">
        <v>40</v>
      </c>
      <c r="I32" s="126">
        <v>51</v>
      </c>
      <c r="J32" s="126">
        <v>46</v>
      </c>
      <c r="K32" s="129">
        <v>37</v>
      </c>
      <c r="L32" s="129">
        <v>30</v>
      </c>
      <c r="M32" s="129">
        <v>41</v>
      </c>
      <c r="N32" s="129">
        <f t="shared" si="8"/>
        <v>204</v>
      </c>
      <c r="O32" s="130">
        <f t="shared" si="1"/>
        <v>51</v>
      </c>
      <c r="P32" s="13">
        <f t="shared" si="2"/>
        <v>81</v>
      </c>
      <c r="Q32" s="84">
        <f t="shared" si="3"/>
        <v>354</v>
      </c>
      <c r="R32" s="164">
        <f t="shared" ref="R32:V32" si="35">H32+30</f>
        <v>70</v>
      </c>
      <c r="S32" s="164">
        <f t="shared" si="35"/>
        <v>81</v>
      </c>
      <c r="T32" s="164">
        <f t="shared" si="35"/>
        <v>76</v>
      </c>
      <c r="U32" s="164">
        <f t="shared" si="35"/>
        <v>67</v>
      </c>
      <c r="V32" s="164">
        <f t="shared" si="35"/>
        <v>60</v>
      </c>
    </row>
    <row r="33" spans="1:22" ht="14.4" x14ac:dyDescent="0.3">
      <c r="A33" s="24">
        <v>32</v>
      </c>
      <c r="B33" s="160" t="s">
        <v>855</v>
      </c>
      <c r="C33" s="25" t="s">
        <v>856</v>
      </c>
      <c r="D33" s="25" t="s">
        <v>857</v>
      </c>
      <c r="E33" s="25" t="s">
        <v>858</v>
      </c>
      <c r="F33" s="161">
        <v>39830</v>
      </c>
      <c r="G33" s="25" t="s">
        <v>30</v>
      </c>
      <c r="H33" s="96">
        <v>64</v>
      </c>
      <c r="I33" s="96">
        <v>62</v>
      </c>
      <c r="J33" s="96">
        <v>48</v>
      </c>
      <c r="K33" s="96">
        <v>53</v>
      </c>
      <c r="L33" s="96">
        <v>61</v>
      </c>
      <c r="M33" s="96">
        <v>46</v>
      </c>
      <c r="N33" s="162">
        <f t="shared" si="8"/>
        <v>288</v>
      </c>
      <c r="O33" s="163">
        <f t="shared" si="1"/>
        <v>72</v>
      </c>
      <c r="P33" s="13">
        <f t="shared" si="2"/>
        <v>102</v>
      </c>
      <c r="Q33" s="84">
        <f t="shared" si="3"/>
        <v>438</v>
      </c>
      <c r="R33" s="164">
        <f t="shared" ref="R33:V33" si="36">H33+30</f>
        <v>94</v>
      </c>
      <c r="S33" s="164">
        <f t="shared" si="36"/>
        <v>92</v>
      </c>
      <c r="T33" s="164">
        <f t="shared" si="36"/>
        <v>78</v>
      </c>
      <c r="U33" s="164">
        <f t="shared" si="36"/>
        <v>83</v>
      </c>
      <c r="V33" s="164">
        <f t="shared" si="36"/>
        <v>91</v>
      </c>
    </row>
    <row r="34" spans="1:22" ht="14.4" x14ac:dyDescent="0.3">
      <c r="A34" s="24">
        <v>33</v>
      </c>
      <c r="B34" s="160" t="s">
        <v>859</v>
      </c>
      <c r="C34" s="25" t="s">
        <v>860</v>
      </c>
      <c r="D34" s="25" t="s">
        <v>861</v>
      </c>
      <c r="E34" s="25" t="s">
        <v>862</v>
      </c>
      <c r="F34" s="161">
        <v>40052</v>
      </c>
      <c r="G34" s="25" t="s">
        <v>39</v>
      </c>
      <c r="H34" s="96">
        <v>58</v>
      </c>
      <c r="I34" s="96">
        <v>61</v>
      </c>
      <c r="J34" s="96">
        <v>50</v>
      </c>
      <c r="K34" s="96">
        <v>53</v>
      </c>
      <c r="L34" s="96">
        <v>48</v>
      </c>
      <c r="M34" s="96">
        <v>44</v>
      </c>
      <c r="N34" s="162">
        <f t="shared" si="8"/>
        <v>270</v>
      </c>
      <c r="O34" s="163">
        <f t="shared" si="1"/>
        <v>67.5</v>
      </c>
      <c r="P34" s="13">
        <f t="shared" si="2"/>
        <v>97.5</v>
      </c>
      <c r="Q34" s="84">
        <f t="shared" si="3"/>
        <v>420</v>
      </c>
      <c r="R34" s="164">
        <f t="shared" ref="R34:V34" si="37">H34+30</f>
        <v>88</v>
      </c>
      <c r="S34" s="164">
        <f t="shared" si="37"/>
        <v>91</v>
      </c>
      <c r="T34" s="164">
        <f t="shared" si="37"/>
        <v>80</v>
      </c>
      <c r="U34" s="164">
        <f t="shared" si="37"/>
        <v>83</v>
      </c>
      <c r="V34" s="164">
        <f t="shared" si="37"/>
        <v>78</v>
      </c>
    </row>
    <row r="35" spans="1:22" ht="14.4" x14ac:dyDescent="0.3">
      <c r="A35" s="24">
        <v>34</v>
      </c>
      <c r="B35" s="160" t="s">
        <v>863</v>
      </c>
      <c r="C35" s="25" t="s">
        <v>864</v>
      </c>
      <c r="D35" s="25" t="s">
        <v>865</v>
      </c>
      <c r="E35" s="25" t="s">
        <v>866</v>
      </c>
      <c r="F35" s="161">
        <v>40075</v>
      </c>
      <c r="G35" s="25" t="s">
        <v>39</v>
      </c>
      <c r="H35" s="96">
        <v>59</v>
      </c>
      <c r="I35" s="96">
        <v>61</v>
      </c>
      <c r="J35" s="96">
        <v>44</v>
      </c>
      <c r="K35" s="96">
        <v>41</v>
      </c>
      <c r="L35" s="96">
        <v>51</v>
      </c>
      <c r="M35" s="96">
        <v>39</v>
      </c>
      <c r="N35" s="162">
        <f t="shared" si="8"/>
        <v>256</v>
      </c>
      <c r="O35" s="163">
        <f t="shared" si="1"/>
        <v>64</v>
      </c>
      <c r="P35" s="13">
        <f t="shared" si="2"/>
        <v>94</v>
      </c>
      <c r="Q35" s="84">
        <f t="shared" si="3"/>
        <v>406</v>
      </c>
      <c r="R35" s="164">
        <f t="shared" ref="R35:V35" si="38">H35+30</f>
        <v>89</v>
      </c>
      <c r="S35" s="164">
        <f t="shared" si="38"/>
        <v>91</v>
      </c>
      <c r="T35" s="164">
        <f t="shared" si="38"/>
        <v>74</v>
      </c>
      <c r="U35" s="164">
        <f t="shared" si="38"/>
        <v>71</v>
      </c>
      <c r="V35" s="164">
        <f t="shared" si="38"/>
        <v>81</v>
      </c>
    </row>
    <row r="36" spans="1:22" ht="14.4" x14ac:dyDescent="0.3">
      <c r="A36" s="24">
        <v>35</v>
      </c>
      <c r="B36" s="160" t="s">
        <v>867</v>
      </c>
      <c r="C36" s="25" t="s">
        <v>868</v>
      </c>
      <c r="D36" s="25" t="s">
        <v>869</v>
      </c>
      <c r="E36" s="25" t="s">
        <v>870</v>
      </c>
      <c r="F36" s="161">
        <v>39576</v>
      </c>
      <c r="G36" s="25" t="s">
        <v>30</v>
      </c>
      <c r="H36" s="96">
        <v>63</v>
      </c>
      <c r="I36" s="96">
        <v>61</v>
      </c>
      <c r="J36" s="96">
        <v>74</v>
      </c>
      <c r="K36" s="96">
        <v>67</v>
      </c>
      <c r="L36" s="96">
        <v>40</v>
      </c>
      <c r="M36" s="96">
        <v>47</v>
      </c>
      <c r="N36" s="162">
        <f t="shared" si="8"/>
        <v>305</v>
      </c>
      <c r="O36" s="163">
        <f t="shared" si="1"/>
        <v>76.25</v>
      </c>
      <c r="P36" s="13">
        <f t="shared" si="2"/>
        <v>106.25</v>
      </c>
      <c r="Q36" s="84">
        <f t="shared" si="3"/>
        <v>455</v>
      </c>
      <c r="R36" s="164">
        <f t="shared" ref="R36:V36" si="39">H36+30</f>
        <v>93</v>
      </c>
      <c r="S36" s="164">
        <f t="shared" si="39"/>
        <v>91</v>
      </c>
      <c r="T36" s="164">
        <f t="shared" si="39"/>
        <v>104</v>
      </c>
      <c r="U36" s="164">
        <f t="shared" si="39"/>
        <v>97</v>
      </c>
      <c r="V36" s="164">
        <f t="shared" si="39"/>
        <v>70</v>
      </c>
    </row>
    <row r="37" spans="1:22" ht="14.4" x14ac:dyDescent="0.3">
      <c r="A37" s="24">
        <v>36</v>
      </c>
      <c r="B37" s="160" t="s">
        <v>871</v>
      </c>
      <c r="C37" s="25" t="s">
        <v>872</v>
      </c>
      <c r="D37" s="25" t="s">
        <v>534</v>
      </c>
      <c r="E37" s="25" t="s">
        <v>873</v>
      </c>
      <c r="F37" s="161">
        <v>39968</v>
      </c>
      <c r="G37" s="25" t="s">
        <v>39</v>
      </c>
      <c r="H37" s="96">
        <v>58</v>
      </c>
      <c r="I37" s="96">
        <v>45</v>
      </c>
      <c r="J37" s="96">
        <v>68</v>
      </c>
      <c r="K37" s="96">
        <v>51</v>
      </c>
      <c r="L37" s="96">
        <v>38</v>
      </c>
      <c r="M37" s="96">
        <v>39</v>
      </c>
      <c r="N37" s="162">
        <f t="shared" si="8"/>
        <v>260</v>
      </c>
      <c r="O37" s="163">
        <f t="shared" si="1"/>
        <v>65</v>
      </c>
      <c r="P37" s="13">
        <f t="shared" si="2"/>
        <v>95</v>
      </c>
      <c r="Q37" s="84">
        <f t="shared" si="3"/>
        <v>410</v>
      </c>
      <c r="R37" s="164">
        <f t="shared" ref="R37:V37" si="40">H37+30</f>
        <v>88</v>
      </c>
      <c r="S37" s="164">
        <f t="shared" si="40"/>
        <v>75</v>
      </c>
      <c r="T37" s="164">
        <f t="shared" si="40"/>
        <v>98</v>
      </c>
      <c r="U37" s="164">
        <f t="shared" si="40"/>
        <v>81</v>
      </c>
      <c r="V37" s="164">
        <f t="shared" si="40"/>
        <v>68</v>
      </c>
    </row>
    <row r="38" spans="1:22" ht="14.4" x14ac:dyDescent="0.3">
      <c r="A38" s="24">
        <v>37</v>
      </c>
      <c r="B38" s="160" t="s">
        <v>874</v>
      </c>
      <c r="C38" s="25" t="s">
        <v>875</v>
      </c>
      <c r="D38" s="25" t="s">
        <v>876</v>
      </c>
      <c r="E38" s="25" t="s">
        <v>877</v>
      </c>
      <c r="F38" s="161">
        <v>40049</v>
      </c>
      <c r="G38" s="25" t="s">
        <v>39</v>
      </c>
      <c r="H38" s="96">
        <v>54</v>
      </c>
      <c r="I38" s="96">
        <v>71</v>
      </c>
      <c r="J38" s="96">
        <v>56</v>
      </c>
      <c r="K38" s="96">
        <v>58</v>
      </c>
      <c r="L38" s="96">
        <v>49</v>
      </c>
      <c r="M38" s="96">
        <v>38</v>
      </c>
      <c r="N38" s="162">
        <f t="shared" si="8"/>
        <v>288</v>
      </c>
      <c r="O38" s="163">
        <f t="shared" si="1"/>
        <v>72</v>
      </c>
      <c r="P38" s="13">
        <f t="shared" si="2"/>
        <v>102</v>
      </c>
      <c r="Q38" s="84">
        <f t="shared" si="3"/>
        <v>438</v>
      </c>
      <c r="R38" s="164">
        <f t="shared" ref="R38:V38" si="41">H38+30</f>
        <v>84</v>
      </c>
      <c r="S38" s="164">
        <f t="shared" si="41"/>
        <v>101</v>
      </c>
      <c r="T38" s="164">
        <f t="shared" si="41"/>
        <v>86</v>
      </c>
      <c r="U38" s="164">
        <f t="shared" si="41"/>
        <v>88</v>
      </c>
      <c r="V38" s="164">
        <f t="shared" si="41"/>
        <v>79</v>
      </c>
    </row>
    <row r="39" spans="1:22" ht="14.4" x14ac:dyDescent="0.3">
      <c r="A39" s="24">
        <v>38</v>
      </c>
      <c r="B39" s="160" t="s">
        <v>878</v>
      </c>
      <c r="C39" s="25" t="s">
        <v>879</v>
      </c>
      <c r="D39" s="25" t="s">
        <v>880</v>
      </c>
      <c r="E39" s="25" t="s">
        <v>881</v>
      </c>
      <c r="F39" s="161">
        <v>39860</v>
      </c>
      <c r="G39" s="25" t="s">
        <v>30</v>
      </c>
      <c r="H39" s="96">
        <v>59</v>
      </c>
      <c r="I39" s="96">
        <v>58</v>
      </c>
      <c r="J39" s="96">
        <v>35</v>
      </c>
      <c r="K39" s="96">
        <v>40</v>
      </c>
      <c r="L39" s="96">
        <v>45</v>
      </c>
      <c r="M39" s="96">
        <v>41</v>
      </c>
      <c r="N39" s="162">
        <f t="shared" si="8"/>
        <v>237</v>
      </c>
      <c r="O39" s="163">
        <f t="shared" si="1"/>
        <v>59.25</v>
      </c>
      <c r="P39" s="13">
        <f t="shared" si="2"/>
        <v>89.25</v>
      </c>
      <c r="Q39" s="84">
        <f t="shared" si="3"/>
        <v>387</v>
      </c>
      <c r="R39" s="164">
        <f t="shared" ref="R39:V39" si="42">H39+30</f>
        <v>89</v>
      </c>
      <c r="S39" s="164">
        <f t="shared" si="42"/>
        <v>88</v>
      </c>
      <c r="T39" s="164">
        <f t="shared" si="42"/>
        <v>65</v>
      </c>
      <c r="U39" s="164">
        <f t="shared" si="42"/>
        <v>70</v>
      </c>
      <c r="V39" s="164">
        <f t="shared" si="42"/>
        <v>75</v>
      </c>
    </row>
    <row r="40" spans="1:22" ht="14.4" x14ac:dyDescent="0.3">
      <c r="A40" s="24">
        <v>39</v>
      </c>
      <c r="B40" s="160" t="s">
        <v>882</v>
      </c>
      <c r="C40" s="25" t="s">
        <v>883</v>
      </c>
      <c r="D40" s="25" t="s">
        <v>884</v>
      </c>
      <c r="E40" s="25" t="s">
        <v>885</v>
      </c>
      <c r="F40" s="161">
        <v>40001</v>
      </c>
      <c r="G40" s="25" t="s">
        <v>30</v>
      </c>
      <c r="H40" s="96">
        <v>53</v>
      </c>
      <c r="I40" s="96">
        <v>60</v>
      </c>
      <c r="J40" s="96">
        <v>74</v>
      </c>
      <c r="K40" s="96">
        <v>71</v>
      </c>
      <c r="L40" s="96">
        <v>63</v>
      </c>
      <c r="M40" s="96">
        <v>46</v>
      </c>
      <c r="N40" s="162">
        <f t="shared" si="8"/>
        <v>321</v>
      </c>
      <c r="O40" s="163">
        <f t="shared" si="1"/>
        <v>80.25</v>
      </c>
      <c r="P40" s="13">
        <f t="shared" si="2"/>
        <v>110.25</v>
      </c>
      <c r="Q40" s="84">
        <f t="shared" si="3"/>
        <v>471</v>
      </c>
      <c r="R40" s="164">
        <f t="shared" ref="R40:V40" si="43">H40+30</f>
        <v>83</v>
      </c>
      <c r="S40" s="164">
        <f t="shared" si="43"/>
        <v>90</v>
      </c>
      <c r="T40" s="164">
        <f t="shared" si="43"/>
        <v>104</v>
      </c>
      <c r="U40" s="164">
        <f t="shared" si="43"/>
        <v>101</v>
      </c>
      <c r="V40" s="164">
        <f t="shared" si="43"/>
        <v>93</v>
      </c>
    </row>
    <row r="41" spans="1:22" ht="14.4" x14ac:dyDescent="0.3">
      <c r="A41" s="24">
        <v>40</v>
      </c>
      <c r="B41" s="42" t="s">
        <v>886</v>
      </c>
      <c r="C41" s="35" t="s">
        <v>887</v>
      </c>
      <c r="D41" s="35" t="s">
        <v>888</v>
      </c>
      <c r="E41" s="35" t="s">
        <v>889</v>
      </c>
      <c r="F41" s="43">
        <v>39709</v>
      </c>
      <c r="G41" s="35" t="s">
        <v>30</v>
      </c>
      <c r="H41" s="44">
        <v>47</v>
      </c>
      <c r="I41" s="44">
        <v>58</v>
      </c>
      <c r="J41" s="44">
        <v>28</v>
      </c>
      <c r="K41" s="44">
        <v>35</v>
      </c>
      <c r="L41" s="44">
        <v>43</v>
      </c>
      <c r="M41" s="44">
        <v>39</v>
      </c>
      <c r="N41" s="45">
        <f t="shared" si="8"/>
        <v>211</v>
      </c>
      <c r="O41" s="46">
        <f t="shared" si="1"/>
        <v>52.75</v>
      </c>
      <c r="P41" s="13">
        <f t="shared" si="2"/>
        <v>82.75</v>
      </c>
      <c r="Q41" s="84">
        <f t="shared" si="3"/>
        <v>361</v>
      </c>
      <c r="R41" s="164">
        <f t="shared" ref="R41:V41" si="44">H41+30</f>
        <v>77</v>
      </c>
      <c r="S41" s="164">
        <f t="shared" si="44"/>
        <v>88</v>
      </c>
      <c r="T41" s="164">
        <f t="shared" si="44"/>
        <v>58</v>
      </c>
      <c r="U41" s="164">
        <f t="shared" si="44"/>
        <v>65</v>
      </c>
      <c r="V41" s="164">
        <f t="shared" si="44"/>
        <v>73</v>
      </c>
    </row>
    <row r="42" spans="1:22" ht="14.4" x14ac:dyDescent="0.3">
      <c r="A42" s="24">
        <v>41</v>
      </c>
      <c r="B42" s="160" t="s">
        <v>890</v>
      </c>
      <c r="C42" s="25" t="s">
        <v>891</v>
      </c>
      <c r="D42" s="25" t="s">
        <v>892</v>
      </c>
      <c r="E42" s="25" t="s">
        <v>893</v>
      </c>
      <c r="F42" s="161">
        <v>40029</v>
      </c>
      <c r="G42" s="25" t="s">
        <v>39</v>
      </c>
      <c r="H42" s="96">
        <v>66</v>
      </c>
      <c r="I42" s="96">
        <v>65</v>
      </c>
      <c r="J42" s="96">
        <v>52</v>
      </c>
      <c r="K42" s="96">
        <v>47</v>
      </c>
      <c r="L42" s="96">
        <v>49</v>
      </c>
      <c r="M42" s="96">
        <v>38</v>
      </c>
      <c r="N42" s="162">
        <f t="shared" si="8"/>
        <v>279</v>
      </c>
      <c r="O42" s="163">
        <f t="shared" si="1"/>
        <v>69.75</v>
      </c>
      <c r="P42" s="13">
        <f t="shared" si="2"/>
        <v>99.75</v>
      </c>
      <c r="Q42" s="84">
        <f t="shared" si="3"/>
        <v>429</v>
      </c>
      <c r="R42" s="164">
        <f t="shared" ref="R42:V42" si="45">H42+30</f>
        <v>96</v>
      </c>
      <c r="S42" s="164">
        <f t="shared" si="45"/>
        <v>95</v>
      </c>
      <c r="T42" s="164">
        <f t="shared" si="45"/>
        <v>82</v>
      </c>
      <c r="U42" s="164">
        <f t="shared" si="45"/>
        <v>77</v>
      </c>
      <c r="V42" s="164">
        <f t="shared" si="45"/>
        <v>79</v>
      </c>
    </row>
    <row r="43" spans="1:22" ht="15.75" customHeight="1" x14ac:dyDescent="0.3">
      <c r="A43" s="24">
        <v>42</v>
      </c>
      <c r="B43" s="7" t="s">
        <v>894</v>
      </c>
      <c r="C43" s="7" t="s">
        <v>895</v>
      </c>
      <c r="D43" s="7" t="s">
        <v>896</v>
      </c>
      <c r="E43" s="7" t="s">
        <v>897</v>
      </c>
      <c r="F43" s="8">
        <v>40040</v>
      </c>
      <c r="G43" s="7" t="s">
        <v>39</v>
      </c>
      <c r="H43" s="9">
        <v>37</v>
      </c>
      <c r="I43" s="9">
        <v>35</v>
      </c>
      <c r="J43" s="9">
        <v>60</v>
      </c>
      <c r="K43" s="11">
        <v>21</v>
      </c>
      <c r="L43" s="33">
        <v>18</v>
      </c>
      <c r="M43" s="11">
        <v>34</v>
      </c>
      <c r="N43" s="11">
        <v>171</v>
      </c>
      <c r="O43" s="12">
        <f t="shared" si="1"/>
        <v>42.75</v>
      </c>
      <c r="P43" s="13">
        <f t="shared" si="2"/>
        <v>72.75</v>
      </c>
      <c r="Q43" s="84">
        <f t="shared" si="3"/>
        <v>321</v>
      </c>
      <c r="R43" s="164">
        <f t="shared" ref="R43:V43" si="46">H43+30</f>
        <v>67</v>
      </c>
      <c r="S43" s="164">
        <f t="shared" si="46"/>
        <v>65</v>
      </c>
      <c r="T43" s="164">
        <f t="shared" si="46"/>
        <v>90</v>
      </c>
      <c r="U43" s="164">
        <f t="shared" si="46"/>
        <v>51</v>
      </c>
      <c r="V43" s="164">
        <f t="shared" si="46"/>
        <v>48</v>
      </c>
    </row>
    <row r="44" spans="1:22" ht="15.75" customHeight="1" x14ac:dyDescent="0.3">
      <c r="A44" s="24">
        <v>43</v>
      </c>
      <c r="B44" s="25" t="s">
        <v>898</v>
      </c>
      <c r="C44" s="25" t="s">
        <v>899</v>
      </c>
      <c r="D44" s="25" t="s">
        <v>900</v>
      </c>
      <c r="E44" s="25" t="s">
        <v>901</v>
      </c>
      <c r="F44" s="26">
        <v>39786</v>
      </c>
      <c r="G44" s="25" t="s">
        <v>30</v>
      </c>
      <c r="H44" s="27">
        <v>39</v>
      </c>
      <c r="I44" s="27">
        <v>64</v>
      </c>
      <c r="J44" s="27">
        <v>53</v>
      </c>
      <c r="K44" s="30">
        <v>64</v>
      </c>
      <c r="L44" s="30">
        <v>60</v>
      </c>
      <c r="M44" s="30">
        <v>36</v>
      </c>
      <c r="N44" s="30">
        <v>316</v>
      </c>
      <c r="O44" s="31">
        <f t="shared" si="1"/>
        <v>79</v>
      </c>
      <c r="P44" s="13">
        <f t="shared" si="2"/>
        <v>109</v>
      </c>
      <c r="Q44" s="84">
        <f t="shared" si="3"/>
        <v>430</v>
      </c>
      <c r="R44" s="164">
        <f t="shared" ref="R44:V44" si="47">H44+30</f>
        <v>69</v>
      </c>
      <c r="S44" s="164">
        <f t="shared" si="47"/>
        <v>94</v>
      </c>
      <c r="T44" s="164">
        <f t="shared" si="47"/>
        <v>83</v>
      </c>
      <c r="U44" s="164">
        <f t="shared" si="47"/>
        <v>94</v>
      </c>
      <c r="V44" s="164">
        <f t="shared" si="47"/>
        <v>90</v>
      </c>
    </row>
    <row r="45" spans="1:22" ht="14.4" x14ac:dyDescent="0.3">
      <c r="A45" s="24">
        <v>44</v>
      </c>
      <c r="B45" s="160" t="s">
        <v>902</v>
      </c>
      <c r="C45" s="25" t="s">
        <v>903</v>
      </c>
      <c r="D45" s="25" t="s">
        <v>904</v>
      </c>
      <c r="E45" s="25" t="s">
        <v>905</v>
      </c>
      <c r="F45" s="161">
        <v>40177</v>
      </c>
      <c r="G45" s="25" t="s">
        <v>30</v>
      </c>
      <c r="H45" s="96">
        <v>64</v>
      </c>
      <c r="I45" s="96">
        <v>57</v>
      </c>
      <c r="J45" s="96">
        <v>72</v>
      </c>
      <c r="K45" s="96">
        <v>61</v>
      </c>
      <c r="L45" s="96">
        <v>54</v>
      </c>
      <c r="M45" s="96">
        <v>41</v>
      </c>
      <c r="N45" s="162">
        <f t="shared" ref="N45:N51" si="48">SUM(H45:L45)</f>
        <v>308</v>
      </c>
      <c r="O45" s="163">
        <f t="shared" si="1"/>
        <v>77</v>
      </c>
      <c r="P45" s="13">
        <f t="shared" si="2"/>
        <v>107</v>
      </c>
      <c r="Q45" s="84">
        <f t="shared" si="3"/>
        <v>458</v>
      </c>
      <c r="R45" s="164">
        <f t="shared" ref="R45:V45" si="49">H45+30</f>
        <v>94</v>
      </c>
      <c r="S45" s="164">
        <f t="shared" si="49"/>
        <v>87</v>
      </c>
      <c r="T45" s="164">
        <f t="shared" si="49"/>
        <v>102</v>
      </c>
      <c r="U45" s="164">
        <f t="shared" si="49"/>
        <v>91</v>
      </c>
      <c r="V45" s="164">
        <f t="shared" si="49"/>
        <v>84</v>
      </c>
    </row>
    <row r="46" spans="1:22" ht="14.4" x14ac:dyDescent="0.3">
      <c r="A46" s="24">
        <v>45</v>
      </c>
      <c r="B46" s="160" t="s">
        <v>906</v>
      </c>
      <c r="C46" s="25" t="s">
        <v>907</v>
      </c>
      <c r="D46" s="25" t="s">
        <v>908</v>
      </c>
      <c r="E46" s="25" t="s">
        <v>909</v>
      </c>
      <c r="F46" s="161">
        <v>39575</v>
      </c>
      <c r="G46" s="25" t="s">
        <v>30</v>
      </c>
      <c r="H46" s="96">
        <v>46</v>
      </c>
      <c r="I46" s="96">
        <v>53</v>
      </c>
      <c r="J46" s="96">
        <v>37</v>
      </c>
      <c r="K46" s="96">
        <v>45</v>
      </c>
      <c r="L46" s="96">
        <v>42</v>
      </c>
      <c r="M46" s="96">
        <v>44</v>
      </c>
      <c r="N46" s="162">
        <f t="shared" si="48"/>
        <v>223</v>
      </c>
      <c r="O46" s="163">
        <f t="shared" si="1"/>
        <v>55.75</v>
      </c>
      <c r="P46" s="13">
        <f t="shared" si="2"/>
        <v>85.75</v>
      </c>
      <c r="Q46" s="84">
        <f t="shared" si="3"/>
        <v>373</v>
      </c>
      <c r="R46" s="164">
        <f t="shared" ref="R46:V46" si="50">H46+30</f>
        <v>76</v>
      </c>
      <c r="S46" s="164">
        <f t="shared" si="50"/>
        <v>83</v>
      </c>
      <c r="T46" s="164">
        <f t="shared" si="50"/>
        <v>67</v>
      </c>
      <c r="U46" s="164">
        <f t="shared" si="50"/>
        <v>75</v>
      </c>
      <c r="V46" s="164">
        <f t="shared" si="50"/>
        <v>72</v>
      </c>
    </row>
    <row r="47" spans="1:22" ht="14.4" x14ac:dyDescent="0.3">
      <c r="A47" s="24">
        <v>46</v>
      </c>
      <c r="B47" s="160" t="s">
        <v>910</v>
      </c>
      <c r="C47" s="25" t="s">
        <v>911</v>
      </c>
      <c r="D47" s="25" t="s">
        <v>912</v>
      </c>
      <c r="E47" s="25" t="s">
        <v>913</v>
      </c>
      <c r="F47" s="161">
        <v>40013</v>
      </c>
      <c r="G47" s="25" t="s">
        <v>30</v>
      </c>
      <c r="H47" s="96">
        <v>44</v>
      </c>
      <c r="I47" s="96">
        <v>50</v>
      </c>
      <c r="J47" s="96">
        <v>68</v>
      </c>
      <c r="K47" s="96">
        <v>67</v>
      </c>
      <c r="L47" s="96">
        <v>48</v>
      </c>
      <c r="M47" s="96">
        <v>48</v>
      </c>
      <c r="N47" s="162">
        <f t="shared" si="48"/>
        <v>277</v>
      </c>
      <c r="O47" s="163">
        <f t="shared" si="1"/>
        <v>69.25</v>
      </c>
      <c r="P47" s="13">
        <f t="shared" si="2"/>
        <v>99.25</v>
      </c>
      <c r="Q47" s="84">
        <f t="shared" si="3"/>
        <v>427</v>
      </c>
      <c r="R47" s="164">
        <f t="shared" ref="R47:V47" si="51">H47+30</f>
        <v>74</v>
      </c>
      <c r="S47" s="164">
        <f t="shared" si="51"/>
        <v>80</v>
      </c>
      <c r="T47" s="164">
        <f t="shared" si="51"/>
        <v>98</v>
      </c>
      <c r="U47" s="164">
        <f t="shared" si="51"/>
        <v>97</v>
      </c>
      <c r="V47" s="164">
        <f t="shared" si="51"/>
        <v>78</v>
      </c>
    </row>
    <row r="48" spans="1:22" ht="14.4" x14ac:dyDescent="0.3">
      <c r="A48" s="24">
        <v>47</v>
      </c>
      <c r="B48" s="160" t="s">
        <v>914</v>
      </c>
      <c r="C48" s="25" t="s">
        <v>915</v>
      </c>
      <c r="D48" s="25" t="s">
        <v>916</v>
      </c>
      <c r="E48" s="25" t="s">
        <v>917</v>
      </c>
      <c r="F48" s="161">
        <v>39739</v>
      </c>
      <c r="G48" s="25" t="s">
        <v>30</v>
      </c>
      <c r="H48" s="96">
        <v>54</v>
      </c>
      <c r="I48" s="96">
        <v>59</v>
      </c>
      <c r="J48" s="96">
        <v>65</v>
      </c>
      <c r="K48" s="96">
        <v>60</v>
      </c>
      <c r="L48" s="96">
        <v>52</v>
      </c>
      <c r="M48" s="96">
        <v>45</v>
      </c>
      <c r="N48" s="162">
        <f t="shared" si="48"/>
        <v>290</v>
      </c>
      <c r="O48" s="163">
        <f t="shared" si="1"/>
        <v>72.5</v>
      </c>
      <c r="P48" s="13">
        <f t="shared" si="2"/>
        <v>102.5</v>
      </c>
      <c r="Q48" s="84">
        <f t="shared" si="3"/>
        <v>440</v>
      </c>
      <c r="R48" s="164">
        <f t="shared" ref="R48:V48" si="52">H48+30</f>
        <v>84</v>
      </c>
      <c r="S48" s="164">
        <f t="shared" si="52"/>
        <v>89</v>
      </c>
      <c r="T48" s="164">
        <f t="shared" si="52"/>
        <v>95</v>
      </c>
      <c r="U48" s="164">
        <f t="shared" si="52"/>
        <v>90</v>
      </c>
      <c r="V48" s="164">
        <f t="shared" si="52"/>
        <v>82</v>
      </c>
    </row>
    <row r="49" spans="1:22" ht="14.4" x14ac:dyDescent="0.3">
      <c r="A49" s="24">
        <v>48</v>
      </c>
      <c r="B49" s="160" t="s">
        <v>918</v>
      </c>
      <c r="C49" s="25" t="s">
        <v>919</v>
      </c>
      <c r="D49" s="25" t="s">
        <v>920</v>
      </c>
      <c r="E49" s="25" t="s">
        <v>921</v>
      </c>
      <c r="F49" s="161">
        <v>40108</v>
      </c>
      <c r="G49" s="25" t="s">
        <v>39</v>
      </c>
      <c r="H49" s="96">
        <v>66</v>
      </c>
      <c r="I49" s="96">
        <v>73</v>
      </c>
      <c r="J49" s="96">
        <v>73</v>
      </c>
      <c r="K49" s="96">
        <v>66</v>
      </c>
      <c r="L49" s="96">
        <v>64</v>
      </c>
      <c r="M49" s="96">
        <v>44</v>
      </c>
      <c r="N49" s="162">
        <f t="shared" si="48"/>
        <v>342</v>
      </c>
      <c r="O49" s="163">
        <f t="shared" si="1"/>
        <v>85.5</v>
      </c>
      <c r="P49" s="13">
        <f t="shared" si="2"/>
        <v>115.5</v>
      </c>
      <c r="Q49" s="84">
        <f t="shared" si="3"/>
        <v>492</v>
      </c>
      <c r="R49" s="164">
        <f t="shared" ref="R49:V49" si="53">H49+30</f>
        <v>96</v>
      </c>
      <c r="S49" s="164">
        <f t="shared" si="53"/>
        <v>103</v>
      </c>
      <c r="T49" s="164">
        <f t="shared" si="53"/>
        <v>103</v>
      </c>
      <c r="U49" s="164">
        <f t="shared" si="53"/>
        <v>96</v>
      </c>
      <c r="V49" s="164">
        <f t="shared" si="53"/>
        <v>94</v>
      </c>
    </row>
    <row r="50" spans="1:22" ht="14.4" x14ac:dyDescent="0.3">
      <c r="A50" s="24">
        <v>49</v>
      </c>
      <c r="B50" s="42" t="s">
        <v>922</v>
      </c>
      <c r="C50" s="35" t="s">
        <v>923</v>
      </c>
      <c r="D50" s="35" t="s">
        <v>924</v>
      </c>
      <c r="E50" s="35" t="s">
        <v>925</v>
      </c>
      <c r="F50" s="43">
        <v>39863</v>
      </c>
      <c r="G50" s="35" t="s">
        <v>39</v>
      </c>
      <c r="H50" s="44">
        <v>57</v>
      </c>
      <c r="I50" s="44">
        <v>58</v>
      </c>
      <c r="J50" s="44">
        <v>31</v>
      </c>
      <c r="K50" s="44">
        <v>26</v>
      </c>
      <c r="L50" s="44">
        <v>39</v>
      </c>
      <c r="M50" s="44">
        <v>42</v>
      </c>
      <c r="N50" s="45">
        <f t="shared" si="48"/>
        <v>211</v>
      </c>
      <c r="O50" s="46">
        <f t="shared" si="1"/>
        <v>52.75</v>
      </c>
      <c r="P50" s="13">
        <f t="shared" si="2"/>
        <v>82.75</v>
      </c>
      <c r="Q50" s="84">
        <f t="shared" si="3"/>
        <v>361</v>
      </c>
      <c r="R50" s="164">
        <f t="shared" ref="R50:V50" si="54">H50+30</f>
        <v>87</v>
      </c>
      <c r="S50" s="164">
        <f t="shared" si="54"/>
        <v>88</v>
      </c>
      <c r="T50" s="164">
        <f t="shared" si="54"/>
        <v>61</v>
      </c>
      <c r="U50" s="164">
        <f t="shared" si="54"/>
        <v>56</v>
      </c>
      <c r="V50" s="164">
        <f t="shared" si="54"/>
        <v>69</v>
      </c>
    </row>
    <row r="51" spans="1:22" ht="14.4" x14ac:dyDescent="0.3">
      <c r="A51" s="24">
        <v>50</v>
      </c>
      <c r="B51" s="160" t="s">
        <v>926</v>
      </c>
      <c r="C51" s="25" t="s">
        <v>927</v>
      </c>
      <c r="D51" s="25" t="s">
        <v>928</v>
      </c>
      <c r="E51" s="25" t="s">
        <v>929</v>
      </c>
      <c r="F51" s="161">
        <v>39981</v>
      </c>
      <c r="G51" s="25" t="s">
        <v>30</v>
      </c>
      <c r="H51" s="96">
        <v>47</v>
      </c>
      <c r="I51" s="96">
        <v>61</v>
      </c>
      <c r="J51" s="96">
        <v>37</v>
      </c>
      <c r="K51" s="96">
        <v>47</v>
      </c>
      <c r="L51" s="96">
        <v>55</v>
      </c>
      <c r="M51" s="96">
        <v>42</v>
      </c>
      <c r="N51" s="162">
        <f t="shared" si="48"/>
        <v>247</v>
      </c>
      <c r="O51" s="163">
        <f t="shared" si="1"/>
        <v>61.750000000000007</v>
      </c>
      <c r="P51" s="13">
        <f t="shared" si="2"/>
        <v>91.75</v>
      </c>
      <c r="Q51" s="84">
        <f t="shared" si="3"/>
        <v>397</v>
      </c>
      <c r="R51" s="164">
        <f t="shared" ref="R51:V51" si="55">H51+30</f>
        <v>77</v>
      </c>
      <c r="S51" s="164">
        <f t="shared" si="55"/>
        <v>91</v>
      </c>
      <c r="T51" s="164">
        <f t="shared" si="55"/>
        <v>67</v>
      </c>
      <c r="U51" s="164">
        <f t="shared" si="55"/>
        <v>77</v>
      </c>
      <c r="V51" s="164">
        <f t="shared" si="55"/>
        <v>85</v>
      </c>
    </row>
    <row r="52" spans="1:22" ht="14.4" x14ac:dyDescent="0.3">
      <c r="Q52" s="84">
        <f t="shared" si="3"/>
        <v>0</v>
      </c>
    </row>
    <row r="53" spans="1:22" ht="14.4" x14ac:dyDescent="0.3">
      <c r="Q53" s="84">
        <f t="shared" si="3"/>
        <v>0</v>
      </c>
    </row>
    <row r="54" spans="1:22" ht="14.4" x14ac:dyDescent="0.3">
      <c r="Q54" s="84">
        <f t="shared" si="3"/>
        <v>0</v>
      </c>
    </row>
    <row r="55" spans="1:22" ht="14.4" x14ac:dyDescent="0.3">
      <c r="C55" s="64" t="s">
        <v>216</v>
      </c>
      <c r="D55" s="65">
        <v>30</v>
      </c>
      <c r="Q55" s="84">
        <f t="shared" si="3"/>
        <v>0</v>
      </c>
    </row>
    <row r="56" spans="1:22" ht="14.4" x14ac:dyDescent="0.3">
      <c r="C56" s="66" t="s">
        <v>217</v>
      </c>
      <c r="D56" s="67">
        <v>6</v>
      </c>
      <c r="Q56" s="84">
        <f t="shared" si="3"/>
        <v>0</v>
      </c>
    </row>
    <row r="57" spans="1:22" ht="14.4" x14ac:dyDescent="0.3">
      <c r="C57" s="68" t="s">
        <v>218</v>
      </c>
      <c r="D57" s="67">
        <v>10</v>
      </c>
      <c r="Q57" s="84">
        <f t="shared" si="3"/>
        <v>0</v>
      </c>
    </row>
    <row r="58" spans="1:22" ht="14.4" x14ac:dyDescent="0.3">
      <c r="C58" s="69" t="s">
        <v>219</v>
      </c>
      <c r="D58" s="67">
        <v>4</v>
      </c>
      <c r="Q58" s="84">
        <f t="shared" si="3"/>
        <v>0</v>
      </c>
    </row>
    <row r="59" spans="1:22" ht="14.4" x14ac:dyDescent="0.3">
      <c r="C59" s="70" t="s">
        <v>220</v>
      </c>
      <c r="D59" s="67">
        <v>0</v>
      </c>
      <c r="Q59" s="84">
        <f t="shared" si="3"/>
        <v>0</v>
      </c>
    </row>
    <row r="60" spans="1:22" ht="14.4" x14ac:dyDescent="0.3">
      <c r="C60" s="71" t="s">
        <v>221</v>
      </c>
      <c r="D60" s="67">
        <v>0</v>
      </c>
      <c r="Q60" s="84">
        <f t="shared" si="3"/>
        <v>0</v>
      </c>
    </row>
    <row r="61" spans="1:22" ht="14.4" x14ac:dyDescent="0.3">
      <c r="D61" s="72">
        <f>SUM(D55:D60)</f>
        <v>50</v>
      </c>
      <c r="Q61" s="84">
        <f t="shared" si="3"/>
        <v>0</v>
      </c>
    </row>
    <row r="62" spans="1:22" ht="14.4" x14ac:dyDescent="0.3">
      <c r="Q62" s="84">
        <f t="shared" si="3"/>
        <v>0</v>
      </c>
    </row>
    <row r="63" spans="1:22" ht="14.4" x14ac:dyDescent="0.3">
      <c r="Q63" s="84">
        <f t="shared" si="3"/>
        <v>0</v>
      </c>
    </row>
    <row r="64" spans="1:22" ht="14.4" x14ac:dyDescent="0.3">
      <c r="Q64" s="84">
        <f t="shared" si="3"/>
        <v>0</v>
      </c>
    </row>
    <row r="65" spans="17:17" ht="14.4" x14ac:dyDescent="0.3">
      <c r="Q65" s="84">
        <f t="shared" si="3"/>
        <v>0</v>
      </c>
    </row>
    <row r="66" spans="17:17" ht="14.4" x14ac:dyDescent="0.3">
      <c r="Q66" s="84">
        <f t="shared" si="3"/>
        <v>0</v>
      </c>
    </row>
    <row r="67" spans="17:17" ht="14.4" x14ac:dyDescent="0.3">
      <c r="Q67" s="84">
        <f t="shared" si="3"/>
        <v>0</v>
      </c>
    </row>
    <row r="68" spans="17:17" ht="14.4" x14ac:dyDescent="0.3">
      <c r="Q68" s="84">
        <f t="shared" si="3"/>
        <v>0</v>
      </c>
    </row>
    <row r="69" spans="17:17" ht="14.4" x14ac:dyDescent="0.3">
      <c r="Q69" s="84">
        <f t="shared" si="3"/>
        <v>0</v>
      </c>
    </row>
    <row r="70" spans="17:17" ht="14.4" x14ac:dyDescent="0.3">
      <c r="Q70" s="84">
        <f t="shared" si="3"/>
        <v>0</v>
      </c>
    </row>
    <row r="71" spans="17:17" ht="14.4" x14ac:dyDescent="0.3">
      <c r="Q71" s="84">
        <f t="shared" si="3"/>
        <v>0</v>
      </c>
    </row>
    <row r="72" spans="17:17" ht="14.4" x14ac:dyDescent="0.3">
      <c r="Q72" s="84">
        <f t="shared" si="3"/>
        <v>0</v>
      </c>
    </row>
    <row r="73" spans="17:17" ht="14.4" x14ac:dyDescent="0.3">
      <c r="Q73" s="84">
        <f t="shared" si="3"/>
        <v>0</v>
      </c>
    </row>
    <row r="74" spans="17:17" ht="14.4" x14ac:dyDescent="0.3">
      <c r="Q74" s="84">
        <f t="shared" si="3"/>
        <v>0</v>
      </c>
    </row>
    <row r="75" spans="17:17" ht="14.4" x14ac:dyDescent="0.3">
      <c r="Q75" s="84">
        <f t="shared" si="3"/>
        <v>0</v>
      </c>
    </row>
    <row r="76" spans="17:17" ht="14.4" x14ac:dyDescent="0.3">
      <c r="Q76" s="84">
        <f t="shared" si="3"/>
        <v>0</v>
      </c>
    </row>
    <row r="77" spans="17:17" ht="14.4" x14ac:dyDescent="0.3">
      <c r="Q77" s="84">
        <f t="shared" si="3"/>
        <v>0</v>
      </c>
    </row>
    <row r="78" spans="17:17" ht="14.4" x14ac:dyDescent="0.3">
      <c r="Q78" s="84">
        <f t="shared" si="3"/>
        <v>0</v>
      </c>
    </row>
    <row r="79" spans="17:17" ht="14.4" x14ac:dyDescent="0.3">
      <c r="Q79" s="84">
        <f t="shared" si="3"/>
        <v>0</v>
      </c>
    </row>
    <row r="80" spans="17:17" ht="14.4" x14ac:dyDescent="0.3">
      <c r="Q80" s="84">
        <f t="shared" si="3"/>
        <v>0</v>
      </c>
    </row>
    <row r="81" spans="17:17" ht="14.4" x14ac:dyDescent="0.3">
      <c r="Q81" s="84">
        <f t="shared" si="3"/>
        <v>0</v>
      </c>
    </row>
    <row r="82" spans="17:17" ht="14.4" x14ac:dyDescent="0.3">
      <c r="Q82" s="84">
        <f t="shared" si="3"/>
        <v>0</v>
      </c>
    </row>
    <row r="83" spans="17:17" ht="14.4" x14ac:dyDescent="0.3">
      <c r="Q83" s="84">
        <f t="shared" si="3"/>
        <v>0</v>
      </c>
    </row>
    <row r="84" spans="17:17" ht="14.4" x14ac:dyDescent="0.3">
      <c r="Q84" s="84">
        <f t="shared" si="3"/>
        <v>0</v>
      </c>
    </row>
    <row r="85" spans="17:17" ht="14.4" x14ac:dyDescent="0.3">
      <c r="Q85" s="84">
        <f t="shared" si="3"/>
        <v>0</v>
      </c>
    </row>
    <row r="86" spans="17:17" ht="14.4" x14ac:dyDescent="0.3">
      <c r="Q86" s="84">
        <f t="shared" si="3"/>
        <v>0</v>
      </c>
    </row>
    <row r="87" spans="17:17" ht="14.4" x14ac:dyDescent="0.3">
      <c r="Q87" s="84">
        <f t="shared" si="3"/>
        <v>0</v>
      </c>
    </row>
    <row r="88" spans="17:17" ht="14.4" x14ac:dyDescent="0.3">
      <c r="Q88" s="84">
        <f t="shared" si="3"/>
        <v>0</v>
      </c>
    </row>
    <row r="89" spans="17:17" ht="14.4" x14ac:dyDescent="0.3">
      <c r="Q89" s="84">
        <f t="shared" si="3"/>
        <v>0</v>
      </c>
    </row>
    <row r="90" spans="17:17" ht="14.4" x14ac:dyDescent="0.3">
      <c r="Q90" s="84">
        <f t="shared" si="3"/>
        <v>0</v>
      </c>
    </row>
    <row r="91" spans="17:17" ht="14.4" x14ac:dyDescent="0.3">
      <c r="Q91" s="84">
        <f t="shared" si="3"/>
        <v>0</v>
      </c>
    </row>
    <row r="92" spans="17:17" ht="14.4" x14ac:dyDescent="0.3">
      <c r="Q92" s="84">
        <f t="shared" si="3"/>
        <v>0</v>
      </c>
    </row>
    <row r="93" spans="17:17" ht="14.4" x14ac:dyDescent="0.3">
      <c r="Q93" s="84">
        <f t="shared" si="3"/>
        <v>0</v>
      </c>
    </row>
    <row r="94" spans="17:17" ht="14.4" x14ac:dyDescent="0.3">
      <c r="Q94" s="84">
        <f t="shared" si="3"/>
        <v>0</v>
      </c>
    </row>
    <row r="95" spans="17:17" ht="14.4" x14ac:dyDescent="0.3">
      <c r="Q95" s="84">
        <f t="shared" si="3"/>
        <v>0</v>
      </c>
    </row>
    <row r="96" spans="17:17" ht="14.4" x14ac:dyDescent="0.3">
      <c r="Q96" s="84">
        <f t="shared" si="3"/>
        <v>0</v>
      </c>
    </row>
    <row r="97" spans="17:17" ht="14.4" x14ac:dyDescent="0.3">
      <c r="Q97" s="84">
        <f t="shared" si="3"/>
        <v>0</v>
      </c>
    </row>
    <row r="98" spans="17:17" ht="14.4" x14ac:dyDescent="0.3">
      <c r="Q98" s="84">
        <f t="shared" si="3"/>
        <v>0</v>
      </c>
    </row>
    <row r="99" spans="17:17" ht="14.4" x14ac:dyDescent="0.3">
      <c r="Q99" s="84">
        <f t="shared" si="3"/>
        <v>0</v>
      </c>
    </row>
    <row r="100" spans="17:17" ht="14.4" x14ac:dyDescent="0.3">
      <c r="Q100" s="84">
        <f t="shared" si="3"/>
        <v>0</v>
      </c>
    </row>
    <row r="101" spans="17:17" ht="14.4" x14ac:dyDescent="0.3">
      <c r="Q101" s="84">
        <f t="shared" si="3"/>
        <v>0</v>
      </c>
    </row>
    <row r="102" spans="17:17" ht="14.4" x14ac:dyDescent="0.3">
      <c r="Q102" s="84">
        <f t="shared" si="3"/>
        <v>0</v>
      </c>
    </row>
    <row r="103" spans="17:17" ht="14.4" x14ac:dyDescent="0.3">
      <c r="Q103" s="84">
        <f t="shared" si="3"/>
        <v>0</v>
      </c>
    </row>
    <row r="104" spans="17:17" ht="14.4" x14ac:dyDescent="0.3">
      <c r="Q104" s="84">
        <f t="shared" si="3"/>
        <v>0</v>
      </c>
    </row>
    <row r="105" spans="17:17" ht="14.4" x14ac:dyDescent="0.3">
      <c r="Q105" s="84">
        <f t="shared" si="3"/>
        <v>0</v>
      </c>
    </row>
    <row r="106" spans="17:17" ht="14.4" x14ac:dyDescent="0.3">
      <c r="Q106" s="84">
        <f t="shared" si="3"/>
        <v>0</v>
      </c>
    </row>
    <row r="107" spans="17:17" ht="14.4" x14ac:dyDescent="0.3">
      <c r="Q107" s="84">
        <f t="shared" si="3"/>
        <v>0</v>
      </c>
    </row>
    <row r="108" spans="17:17" ht="14.4" x14ac:dyDescent="0.3">
      <c r="Q108" s="84">
        <f t="shared" si="3"/>
        <v>0</v>
      </c>
    </row>
    <row r="109" spans="17:17" ht="14.4" x14ac:dyDescent="0.3">
      <c r="Q109" s="84">
        <f t="shared" si="3"/>
        <v>0</v>
      </c>
    </row>
    <row r="110" spans="17:17" ht="14.4" x14ac:dyDescent="0.3">
      <c r="Q110" s="84">
        <f t="shared" si="3"/>
        <v>0</v>
      </c>
    </row>
    <row r="111" spans="17:17" ht="14.4" x14ac:dyDescent="0.3">
      <c r="Q111" s="84">
        <f t="shared" si="3"/>
        <v>0</v>
      </c>
    </row>
    <row r="112" spans="17:17" ht="14.4" x14ac:dyDescent="0.3">
      <c r="Q112" s="84">
        <f t="shared" si="3"/>
        <v>0</v>
      </c>
    </row>
    <row r="113" spans="17:17" ht="14.4" x14ac:dyDescent="0.3">
      <c r="Q113" s="84">
        <f t="shared" si="3"/>
        <v>0</v>
      </c>
    </row>
    <row r="114" spans="17:17" ht="14.4" x14ac:dyDescent="0.3">
      <c r="Q114" s="84">
        <f t="shared" si="3"/>
        <v>0</v>
      </c>
    </row>
    <row r="115" spans="17:17" ht="14.4" x14ac:dyDescent="0.3">
      <c r="Q115" s="84">
        <f t="shared" si="3"/>
        <v>0</v>
      </c>
    </row>
    <row r="116" spans="17:17" ht="14.4" x14ac:dyDescent="0.3">
      <c r="Q116" s="84">
        <f t="shared" si="3"/>
        <v>0</v>
      </c>
    </row>
    <row r="117" spans="17:17" ht="14.4" x14ac:dyDescent="0.3">
      <c r="Q117" s="84">
        <f t="shared" si="3"/>
        <v>0</v>
      </c>
    </row>
    <row r="118" spans="17:17" ht="14.4" x14ac:dyDescent="0.3">
      <c r="Q118" s="84">
        <f t="shared" si="3"/>
        <v>0</v>
      </c>
    </row>
    <row r="119" spans="17:17" ht="14.4" x14ac:dyDescent="0.3">
      <c r="Q119" s="84">
        <f t="shared" si="3"/>
        <v>0</v>
      </c>
    </row>
    <row r="120" spans="17:17" ht="14.4" x14ac:dyDescent="0.3">
      <c r="Q120" s="84">
        <f t="shared" si="3"/>
        <v>0</v>
      </c>
    </row>
    <row r="121" spans="17:17" ht="14.4" x14ac:dyDescent="0.3">
      <c r="Q121" s="84">
        <f t="shared" si="3"/>
        <v>0</v>
      </c>
    </row>
    <row r="122" spans="17:17" ht="14.4" x14ac:dyDescent="0.3">
      <c r="Q122" s="84">
        <f t="shared" si="3"/>
        <v>0</v>
      </c>
    </row>
    <row r="123" spans="17:17" ht="14.4" x14ac:dyDescent="0.3">
      <c r="Q123" s="84">
        <f t="shared" si="3"/>
        <v>0</v>
      </c>
    </row>
    <row r="124" spans="17:17" ht="14.4" x14ac:dyDescent="0.3">
      <c r="Q124" s="84">
        <f t="shared" si="3"/>
        <v>0</v>
      </c>
    </row>
    <row r="125" spans="17:17" ht="14.4" x14ac:dyDescent="0.3">
      <c r="Q125" s="84">
        <f t="shared" si="3"/>
        <v>0</v>
      </c>
    </row>
    <row r="126" spans="17:17" ht="14.4" x14ac:dyDescent="0.3">
      <c r="Q126" s="84">
        <f t="shared" si="3"/>
        <v>0</v>
      </c>
    </row>
    <row r="127" spans="17:17" ht="14.4" x14ac:dyDescent="0.3">
      <c r="Q127" s="84">
        <f t="shared" si="3"/>
        <v>0</v>
      </c>
    </row>
    <row r="128" spans="17:17" ht="14.4" x14ac:dyDescent="0.3">
      <c r="Q128" s="84">
        <f t="shared" si="3"/>
        <v>0</v>
      </c>
    </row>
    <row r="129" spans="17:17" ht="14.4" x14ac:dyDescent="0.3">
      <c r="Q129" s="84">
        <f t="shared" si="3"/>
        <v>0</v>
      </c>
    </row>
    <row r="130" spans="17:17" ht="14.4" x14ac:dyDescent="0.3">
      <c r="Q130" s="84">
        <f t="shared" si="3"/>
        <v>0</v>
      </c>
    </row>
    <row r="131" spans="17:17" ht="14.4" x14ac:dyDescent="0.3">
      <c r="Q131" s="84">
        <f t="shared" si="3"/>
        <v>0</v>
      </c>
    </row>
    <row r="132" spans="17:17" ht="14.4" x14ac:dyDescent="0.3">
      <c r="Q132" s="84">
        <f t="shared" si="3"/>
        <v>0</v>
      </c>
    </row>
    <row r="133" spans="17:17" ht="14.4" x14ac:dyDescent="0.3">
      <c r="Q133" s="84">
        <f t="shared" si="3"/>
        <v>0</v>
      </c>
    </row>
    <row r="134" spans="17:17" ht="14.4" x14ac:dyDescent="0.3">
      <c r="Q134" s="84">
        <f t="shared" si="3"/>
        <v>0</v>
      </c>
    </row>
    <row r="135" spans="17:17" ht="14.4" x14ac:dyDescent="0.3">
      <c r="Q135" s="84">
        <f t="shared" si="3"/>
        <v>0</v>
      </c>
    </row>
    <row r="136" spans="17:17" ht="14.4" x14ac:dyDescent="0.3">
      <c r="Q136" s="84">
        <f t="shared" si="3"/>
        <v>0</v>
      </c>
    </row>
    <row r="137" spans="17:17" ht="14.4" x14ac:dyDescent="0.3">
      <c r="Q137" s="84">
        <f t="shared" si="3"/>
        <v>0</v>
      </c>
    </row>
    <row r="138" spans="17:17" ht="14.4" x14ac:dyDescent="0.3">
      <c r="Q138" s="84">
        <f t="shared" si="3"/>
        <v>0</v>
      </c>
    </row>
    <row r="139" spans="17:17" ht="14.4" x14ac:dyDescent="0.3">
      <c r="Q139" s="84">
        <f t="shared" si="3"/>
        <v>0</v>
      </c>
    </row>
    <row r="140" spans="17:17" ht="14.4" x14ac:dyDescent="0.3">
      <c r="Q140" s="84">
        <f t="shared" si="3"/>
        <v>0</v>
      </c>
    </row>
    <row r="141" spans="17:17" ht="14.4" x14ac:dyDescent="0.3">
      <c r="Q141" s="84">
        <f t="shared" si="3"/>
        <v>0</v>
      </c>
    </row>
    <row r="142" spans="17:17" ht="14.4" x14ac:dyDescent="0.3">
      <c r="Q142" s="84">
        <f t="shared" si="3"/>
        <v>0</v>
      </c>
    </row>
    <row r="143" spans="17:17" ht="14.4" x14ac:dyDescent="0.3">
      <c r="Q143" s="84">
        <f t="shared" si="3"/>
        <v>0</v>
      </c>
    </row>
    <row r="144" spans="17:17" ht="14.4" x14ac:dyDescent="0.3">
      <c r="Q144" s="84">
        <f t="shared" si="3"/>
        <v>0</v>
      </c>
    </row>
    <row r="145" spans="17:17" ht="14.4" x14ac:dyDescent="0.3">
      <c r="Q145" s="84">
        <f t="shared" si="3"/>
        <v>0</v>
      </c>
    </row>
    <row r="146" spans="17:17" ht="14.4" x14ac:dyDescent="0.3">
      <c r="Q146" s="84">
        <f t="shared" si="3"/>
        <v>0</v>
      </c>
    </row>
    <row r="147" spans="17:17" ht="14.4" x14ac:dyDescent="0.3">
      <c r="Q147" s="84">
        <f t="shared" si="3"/>
        <v>0</v>
      </c>
    </row>
    <row r="148" spans="17:17" ht="14.4" x14ac:dyDescent="0.3">
      <c r="Q148" s="84">
        <f t="shared" si="3"/>
        <v>0</v>
      </c>
    </row>
    <row r="149" spans="17:17" ht="14.4" x14ac:dyDescent="0.3">
      <c r="Q149" s="84">
        <f t="shared" si="3"/>
        <v>0</v>
      </c>
    </row>
    <row r="150" spans="17:17" ht="14.4" x14ac:dyDescent="0.3">
      <c r="Q150" s="84">
        <f t="shared" si="3"/>
        <v>0</v>
      </c>
    </row>
    <row r="151" spans="17:17" ht="14.4" x14ac:dyDescent="0.3">
      <c r="Q151" s="84">
        <f t="shared" si="3"/>
        <v>0</v>
      </c>
    </row>
    <row r="152" spans="17:17" ht="14.4" x14ac:dyDescent="0.3">
      <c r="Q152" s="84">
        <f t="shared" si="3"/>
        <v>0</v>
      </c>
    </row>
    <row r="153" spans="17:17" ht="14.4" x14ac:dyDescent="0.3">
      <c r="Q153" s="84">
        <f t="shared" si="3"/>
        <v>0</v>
      </c>
    </row>
    <row r="154" spans="17:17" ht="14.4" x14ac:dyDescent="0.3">
      <c r="Q154" s="84">
        <f t="shared" si="3"/>
        <v>0</v>
      </c>
    </row>
    <row r="155" spans="17:17" ht="14.4" x14ac:dyDescent="0.3">
      <c r="Q155" s="84">
        <f t="shared" si="3"/>
        <v>0</v>
      </c>
    </row>
    <row r="156" spans="17:17" ht="14.4" x14ac:dyDescent="0.3">
      <c r="Q156" s="84">
        <f t="shared" si="3"/>
        <v>0</v>
      </c>
    </row>
    <row r="157" spans="17:17" ht="14.4" x14ac:dyDescent="0.3">
      <c r="Q157" s="84">
        <f t="shared" si="3"/>
        <v>0</v>
      </c>
    </row>
    <row r="158" spans="17:17" ht="14.4" x14ac:dyDescent="0.3">
      <c r="Q158" s="84">
        <f t="shared" si="3"/>
        <v>0</v>
      </c>
    </row>
    <row r="159" spans="17:17" ht="14.4" x14ac:dyDescent="0.3">
      <c r="Q159" s="84">
        <f t="shared" si="3"/>
        <v>0</v>
      </c>
    </row>
    <row r="160" spans="17:17" ht="14.4" x14ac:dyDescent="0.3">
      <c r="Q160" s="84">
        <f t="shared" si="3"/>
        <v>0</v>
      </c>
    </row>
    <row r="161" spans="17:17" ht="14.4" x14ac:dyDescent="0.3">
      <c r="Q161" s="84">
        <f t="shared" si="3"/>
        <v>0</v>
      </c>
    </row>
    <row r="162" spans="17:17" ht="14.4" x14ac:dyDescent="0.3">
      <c r="Q162" s="84">
        <f t="shared" si="3"/>
        <v>0</v>
      </c>
    </row>
    <row r="163" spans="17:17" ht="14.4" x14ac:dyDescent="0.3">
      <c r="Q163" s="84">
        <f t="shared" si="3"/>
        <v>0</v>
      </c>
    </row>
    <row r="164" spans="17:17" ht="14.4" x14ac:dyDescent="0.3">
      <c r="Q164" s="84">
        <f t="shared" si="3"/>
        <v>0</v>
      </c>
    </row>
    <row r="165" spans="17:17" ht="14.4" x14ac:dyDescent="0.3">
      <c r="Q165" s="84">
        <f t="shared" si="3"/>
        <v>0</v>
      </c>
    </row>
    <row r="166" spans="17:17" ht="14.4" x14ac:dyDescent="0.3">
      <c r="Q166" s="84">
        <f t="shared" si="3"/>
        <v>0</v>
      </c>
    </row>
    <row r="167" spans="17:17" ht="14.4" x14ac:dyDescent="0.3">
      <c r="Q167" s="84">
        <f t="shared" si="3"/>
        <v>0</v>
      </c>
    </row>
    <row r="168" spans="17:17" ht="14.4" x14ac:dyDescent="0.3">
      <c r="Q168" s="84">
        <f t="shared" si="3"/>
        <v>0</v>
      </c>
    </row>
    <row r="169" spans="17:17" ht="14.4" x14ac:dyDescent="0.3">
      <c r="Q169" s="84">
        <f t="shared" si="3"/>
        <v>0</v>
      </c>
    </row>
    <row r="170" spans="17:17" ht="14.4" x14ac:dyDescent="0.3">
      <c r="Q170" s="84">
        <f t="shared" si="3"/>
        <v>0</v>
      </c>
    </row>
    <row r="171" spans="17:17" ht="14.4" x14ac:dyDescent="0.3">
      <c r="Q171" s="84">
        <f t="shared" si="3"/>
        <v>0</v>
      </c>
    </row>
    <row r="172" spans="17:17" ht="14.4" x14ac:dyDescent="0.3">
      <c r="Q172" s="84">
        <f t="shared" si="3"/>
        <v>0</v>
      </c>
    </row>
    <row r="173" spans="17:17" ht="14.4" x14ac:dyDescent="0.3">
      <c r="Q173" s="84">
        <f t="shared" si="3"/>
        <v>0</v>
      </c>
    </row>
    <row r="174" spans="17:17" ht="14.4" x14ac:dyDescent="0.3">
      <c r="Q174" s="84">
        <f t="shared" si="3"/>
        <v>0</v>
      </c>
    </row>
    <row r="175" spans="17:17" ht="14.4" x14ac:dyDescent="0.3">
      <c r="Q175" s="84">
        <f t="shared" si="3"/>
        <v>0</v>
      </c>
    </row>
    <row r="176" spans="17:17" ht="14.4" x14ac:dyDescent="0.3">
      <c r="Q176" s="84">
        <f t="shared" si="3"/>
        <v>0</v>
      </c>
    </row>
    <row r="177" spans="17:17" ht="14.4" x14ac:dyDescent="0.3">
      <c r="Q177" s="84">
        <f t="shared" si="3"/>
        <v>0</v>
      </c>
    </row>
    <row r="178" spans="17:17" ht="14.4" x14ac:dyDescent="0.3">
      <c r="Q178" s="84">
        <f t="shared" si="3"/>
        <v>0</v>
      </c>
    </row>
    <row r="179" spans="17:17" ht="14.4" x14ac:dyDescent="0.3">
      <c r="Q179" s="84">
        <f t="shared" si="3"/>
        <v>0</v>
      </c>
    </row>
    <row r="180" spans="17:17" ht="14.4" x14ac:dyDescent="0.3">
      <c r="Q180" s="84">
        <f t="shared" si="3"/>
        <v>0</v>
      </c>
    </row>
    <row r="181" spans="17:17" ht="14.4" x14ac:dyDescent="0.3">
      <c r="Q181" s="84">
        <f t="shared" si="3"/>
        <v>0</v>
      </c>
    </row>
    <row r="182" spans="17:17" ht="14.4" x14ac:dyDescent="0.3">
      <c r="Q182" s="84">
        <f t="shared" si="3"/>
        <v>0</v>
      </c>
    </row>
    <row r="183" spans="17:17" ht="14.4" x14ac:dyDescent="0.3">
      <c r="Q183" s="84">
        <f t="shared" si="3"/>
        <v>0</v>
      </c>
    </row>
    <row r="184" spans="17:17" ht="14.4" x14ac:dyDescent="0.3">
      <c r="Q184" s="84">
        <f t="shared" si="3"/>
        <v>0</v>
      </c>
    </row>
    <row r="185" spans="17:17" ht="14.4" x14ac:dyDescent="0.3">
      <c r="Q185" s="84">
        <f t="shared" si="3"/>
        <v>0</v>
      </c>
    </row>
    <row r="186" spans="17:17" ht="14.4" x14ac:dyDescent="0.3">
      <c r="Q186" s="84">
        <f t="shared" si="3"/>
        <v>0</v>
      </c>
    </row>
    <row r="187" spans="17:17" ht="14.4" x14ac:dyDescent="0.3">
      <c r="Q187" s="84">
        <f t="shared" si="3"/>
        <v>0</v>
      </c>
    </row>
    <row r="188" spans="17:17" ht="14.4" x14ac:dyDescent="0.3">
      <c r="Q188" s="84">
        <f t="shared" si="3"/>
        <v>0</v>
      </c>
    </row>
    <row r="189" spans="17:17" ht="14.4" x14ac:dyDescent="0.3">
      <c r="Q189" s="84">
        <f t="shared" si="3"/>
        <v>0</v>
      </c>
    </row>
    <row r="190" spans="17:17" ht="14.4" x14ac:dyDescent="0.3">
      <c r="Q190" s="84">
        <f t="shared" si="3"/>
        <v>0</v>
      </c>
    </row>
    <row r="191" spans="17:17" ht="14.4" x14ac:dyDescent="0.3">
      <c r="Q191" s="84">
        <f t="shared" si="3"/>
        <v>0</v>
      </c>
    </row>
    <row r="192" spans="17:17" ht="14.4" x14ac:dyDescent="0.3">
      <c r="Q192" s="84">
        <f t="shared" si="3"/>
        <v>0</v>
      </c>
    </row>
    <row r="193" spans="17:17" ht="14.4" x14ac:dyDescent="0.3">
      <c r="Q193" s="84">
        <f t="shared" si="3"/>
        <v>0</v>
      </c>
    </row>
    <row r="194" spans="17:17" ht="14.4" x14ac:dyDescent="0.3">
      <c r="Q194" s="84">
        <f t="shared" si="3"/>
        <v>0</v>
      </c>
    </row>
    <row r="195" spans="17:17" ht="14.4" x14ac:dyDescent="0.3">
      <c r="Q195" s="84">
        <f t="shared" si="3"/>
        <v>0</v>
      </c>
    </row>
    <row r="196" spans="17:17" ht="14.4" x14ac:dyDescent="0.3">
      <c r="Q196" s="84">
        <f t="shared" si="3"/>
        <v>0</v>
      </c>
    </row>
    <row r="197" spans="17:17" ht="14.4" x14ac:dyDescent="0.3">
      <c r="Q197" s="84">
        <f t="shared" si="3"/>
        <v>0</v>
      </c>
    </row>
    <row r="198" spans="17:17" ht="14.4" x14ac:dyDescent="0.3">
      <c r="Q198" s="84">
        <f t="shared" si="3"/>
        <v>0</v>
      </c>
    </row>
    <row r="199" spans="17:17" ht="14.4" x14ac:dyDescent="0.3">
      <c r="Q199" s="84">
        <f t="shared" si="3"/>
        <v>0</v>
      </c>
    </row>
    <row r="200" spans="17:17" ht="14.4" x14ac:dyDescent="0.3">
      <c r="Q200" s="84">
        <f t="shared" si="3"/>
        <v>0</v>
      </c>
    </row>
    <row r="201" spans="17:17" ht="14.4" x14ac:dyDescent="0.3">
      <c r="Q201" s="84">
        <f t="shared" si="3"/>
        <v>0</v>
      </c>
    </row>
    <row r="202" spans="17:17" ht="14.4" x14ac:dyDescent="0.3">
      <c r="Q202" s="84">
        <f t="shared" si="3"/>
        <v>0</v>
      </c>
    </row>
    <row r="203" spans="17:17" ht="14.4" x14ac:dyDescent="0.3">
      <c r="Q203" s="84">
        <f t="shared" si="3"/>
        <v>0</v>
      </c>
    </row>
    <row r="204" spans="17:17" ht="14.4" x14ac:dyDescent="0.3">
      <c r="Q204" s="84">
        <f t="shared" si="3"/>
        <v>0</v>
      </c>
    </row>
    <row r="205" spans="17:17" ht="14.4" x14ac:dyDescent="0.3">
      <c r="Q205" s="84">
        <f t="shared" si="3"/>
        <v>0</v>
      </c>
    </row>
    <row r="206" spans="17:17" ht="14.4" x14ac:dyDescent="0.3">
      <c r="Q206" s="84">
        <f t="shared" si="3"/>
        <v>0</v>
      </c>
    </row>
    <row r="207" spans="17:17" ht="14.4" x14ac:dyDescent="0.3">
      <c r="Q207" s="84">
        <f t="shared" si="3"/>
        <v>0</v>
      </c>
    </row>
    <row r="208" spans="17:17" ht="14.4" x14ac:dyDescent="0.3">
      <c r="Q208" s="84">
        <f t="shared" si="3"/>
        <v>0</v>
      </c>
    </row>
    <row r="209" spans="17:17" ht="14.4" x14ac:dyDescent="0.3">
      <c r="Q209" s="84">
        <f t="shared" si="3"/>
        <v>0</v>
      </c>
    </row>
    <row r="210" spans="17:17" ht="14.4" x14ac:dyDescent="0.3">
      <c r="Q210" s="84">
        <f t="shared" si="3"/>
        <v>0</v>
      </c>
    </row>
    <row r="211" spans="17:17" ht="14.4" x14ac:dyDescent="0.3">
      <c r="Q211" s="84">
        <f t="shared" si="3"/>
        <v>0</v>
      </c>
    </row>
    <row r="212" spans="17:17" ht="14.4" x14ac:dyDescent="0.3">
      <c r="Q212" s="84">
        <f t="shared" si="3"/>
        <v>0</v>
      </c>
    </row>
    <row r="213" spans="17:17" ht="14.4" x14ac:dyDescent="0.3">
      <c r="Q213" s="84">
        <f t="shared" si="3"/>
        <v>0</v>
      </c>
    </row>
    <row r="214" spans="17:17" ht="14.4" x14ac:dyDescent="0.3">
      <c r="Q214" s="84">
        <f t="shared" si="3"/>
        <v>0</v>
      </c>
    </row>
    <row r="215" spans="17:17" ht="14.4" x14ac:dyDescent="0.3">
      <c r="Q215" s="84">
        <f t="shared" si="3"/>
        <v>0</v>
      </c>
    </row>
    <row r="216" spans="17:17" ht="14.4" x14ac:dyDescent="0.3">
      <c r="Q216" s="84">
        <f t="shared" si="3"/>
        <v>0</v>
      </c>
    </row>
    <row r="217" spans="17:17" ht="14.4" x14ac:dyDescent="0.3">
      <c r="Q217" s="84">
        <f t="shared" si="3"/>
        <v>0</v>
      </c>
    </row>
    <row r="218" spans="17:17" ht="14.4" x14ac:dyDescent="0.3">
      <c r="Q218" s="84">
        <f t="shared" si="3"/>
        <v>0</v>
      </c>
    </row>
    <row r="219" spans="17:17" ht="14.4" x14ac:dyDescent="0.3">
      <c r="Q219" s="84">
        <f t="shared" si="3"/>
        <v>0</v>
      </c>
    </row>
    <row r="220" spans="17:17" ht="14.4" x14ac:dyDescent="0.3">
      <c r="Q220" s="84">
        <f t="shared" si="3"/>
        <v>0</v>
      </c>
    </row>
    <row r="221" spans="17:17" ht="14.4" x14ac:dyDescent="0.3">
      <c r="Q221" s="84">
        <f t="shared" si="3"/>
        <v>0</v>
      </c>
    </row>
    <row r="222" spans="17:17" ht="14.4" x14ac:dyDescent="0.3">
      <c r="Q222" s="84">
        <f t="shared" si="3"/>
        <v>0</v>
      </c>
    </row>
    <row r="223" spans="17:17" ht="14.4" x14ac:dyDescent="0.3">
      <c r="Q223" s="84">
        <f t="shared" si="3"/>
        <v>0</v>
      </c>
    </row>
    <row r="224" spans="17:17" ht="14.4" x14ac:dyDescent="0.3">
      <c r="Q224" s="84">
        <f t="shared" si="3"/>
        <v>0</v>
      </c>
    </row>
    <row r="225" spans="17:17" ht="14.4" x14ac:dyDescent="0.3">
      <c r="Q225" s="84">
        <f t="shared" si="3"/>
        <v>0</v>
      </c>
    </row>
    <row r="226" spans="17:17" ht="14.4" x14ac:dyDescent="0.3">
      <c r="Q226" s="84">
        <f t="shared" si="3"/>
        <v>0</v>
      </c>
    </row>
    <row r="227" spans="17:17" ht="14.4" x14ac:dyDescent="0.3">
      <c r="Q227" s="84">
        <f t="shared" si="3"/>
        <v>0</v>
      </c>
    </row>
    <row r="228" spans="17:17" ht="14.4" x14ac:dyDescent="0.3">
      <c r="Q228" s="84">
        <f t="shared" si="3"/>
        <v>0</v>
      </c>
    </row>
    <row r="229" spans="17:17" ht="14.4" x14ac:dyDescent="0.3">
      <c r="Q229" s="84">
        <f t="shared" si="3"/>
        <v>0</v>
      </c>
    </row>
    <row r="230" spans="17:17" ht="14.4" x14ac:dyDescent="0.3">
      <c r="Q230" s="84">
        <f t="shared" si="3"/>
        <v>0</v>
      </c>
    </row>
    <row r="231" spans="17:17" ht="14.4" x14ac:dyDescent="0.3">
      <c r="Q231" s="84">
        <f t="shared" si="3"/>
        <v>0</v>
      </c>
    </row>
    <row r="232" spans="17:17" ht="14.4" x14ac:dyDescent="0.3">
      <c r="Q232" s="84">
        <f t="shared" si="3"/>
        <v>0</v>
      </c>
    </row>
    <row r="233" spans="17:17" ht="14.4" x14ac:dyDescent="0.3">
      <c r="Q233" s="84">
        <f t="shared" si="3"/>
        <v>0</v>
      </c>
    </row>
    <row r="234" spans="17:17" ht="14.4" x14ac:dyDescent="0.3">
      <c r="Q234" s="84">
        <f t="shared" si="3"/>
        <v>0</v>
      </c>
    </row>
    <row r="235" spans="17:17" ht="14.4" x14ac:dyDescent="0.3">
      <c r="Q235" s="84">
        <f t="shared" si="3"/>
        <v>0</v>
      </c>
    </row>
    <row r="236" spans="17:17" ht="14.4" x14ac:dyDescent="0.3">
      <c r="Q236" s="84">
        <f t="shared" si="3"/>
        <v>0</v>
      </c>
    </row>
    <row r="237" spans="17:17" ht="14.4" x14ac:dyDescent="0.3">
      <c r="Q237" s="84">
        <f t="shared" si="3"/>
        <v>0</v>
      </c>
    </row>
    <row r="238" spans="17:17" ht="14.4" x14ac:dyDescent="0.3">
      <c r="Q238" s="84">
        <f t="shared" si="3"/>
        <v>0</v>
      </c>
    </row>
    <row r="239" spans="17:17" ht="14.4" x14ac:dyDescent="0.3">
      <c r="Q239" s="84">
        <f t="shared" si="3"/>
        <v>0</v>
      </c>
    </row>
    <row r="240" spans="17:17" ht="14.4" x14ac:dyDescent="0.3">
      <c r="Q240" s="84">
        <f t="shared" si="3"/>
        <v>0</v>
      </c>
    </row>
    <row r="241" spans="17:17" ht="14.4" x14ac:dyDescent="0.3">
      <c r="Q241" s="84">
        <f t="shared" si="3"/>
        <v>0</v>
      </c>
    </row>
    <row r="242" spans="17:17" ht="14.4" x14ac:dyDescent="0.3">
      <c r="Q242" s="84">
        <f t="shared" si="3"/>
        <v>0</v>
      </c>
    </row>
    <row r="243" spans="17:17" ht="14.4" x14ac:dyDescent="0.3">
      <c r="Q243" s="84">
        <f t="shared" si="3"/>
        <v>0</v>
      </c>
    </row>
    <row r="244" spans="17:17" ht="14.4" x14ac:dyDescent="0.3">
      <c r="Q244" s="84">
        <f t="shared" si="3"/>
        <v>0</v>
      </c>
    </row>
    <row r="245" spans="17:17" ht="14.4" x14ac:dyDescent="0.3">
      <c r="Q245" s="84">
        <f t="shared" si="3"/>
        <v>0</v>
      </c>
    </row>
    <row r="246" spans="17:17" ht="14.4" x14ac:dyDescent="0.3">
      <c r="Q246" s="84">
        <f t="shared" si="3"/>
        <v>0</v>
      </c>
    </row>
    <row r="247" spans="17:17" ht="14.4" x14ac:dyDescent="0.3">
      <c r="Q247" s="84">
        <f t="shared" si="3"/>
        <v>0</v>
      </c>
    </row>
    <row r="248" spans="17:17" ht="14.4" x14ac:dyDescent="0.3">
      <c r="Q248" s="84">
        <f t="shared" si="3"/>
        <v>0</v>
      </c>
    </row>
    <row r="249" spans="17:17" ht="14.4" x14ac:dyDescent="0.3">
      <c r="Q249" s="84">
        <f t="shared" si="3"/>
        <v>0</v>
      </c>
    </row>
    <row r="250" spans="17:17" ht="14.4" x14ac:dyDescent="0.3">
      <c r="Q250" s="84">
        <f t="shared" si="3"/>
        <v>0</v>
      </c>
    </row>
    <row r="251" spans="17:17" ht="14.4" x14ac:dyDescent="0.3">
      <c r="Q251" s="84">
        <f t="shared" si="3"/>
        <v>0</v>
      </c>
    </row>
    <row r="252" spans="17:17" ht="14.4" x14ac:dyDescent="0.3">
      <c r="Q252" s="84">
        <f t="shared" si="3"/>
        <v>0</v>
      </c>
    </row>
    <row r="253" spans="17:17" ht="14.4" x14ac:dyDescent="0.3">
      <c r="Q253" s="84">
        <f t="shared" si="3"/>
        <v>0</v>
      </c>
    </row>
    <row r="254" spans="17:17" ht="14.4" x14ac:dyDescent="0.3">
      <c r="Q254" s="84">
        <f t="shared" si="3"/>
        <v>0</v>
      </c>
    </row>
    <row r="255" spans="17:17" ht="14.4" x14ac:dyDescent="0.3">
      <c r="Q255" s="84">
        <f t="shared" si="3"/>
        <v>0</v>
      </c>
    </row>
    <row r="256" spans="17:17" ht="14.4" x14ac:dyDescent="0.3">
      <c r="Q256" s="84">
        <f t="shared" si="3"/>
        <v>0</v>
      </c>
    </row>
    <row r="257" spans="17:17" ht="14.4" x14ac:dyDescent="0.3">
      <c r="Q257" s="84">
        <f t="shared" ref="Q257:Q511" si="56">SUM(R257:V257)</f>
        <v>0</v>
      </c>
    </row>
    <row r="258" spans="17:17" ht="14.4" x14ac:dyDescent="0.3">
      <c r="Q258" s="84">
        <f t="shared" si="56"/>
        <v>0</v>
      </c>
    </row>
    <row r="259" spans="17:17" ht="14.4" x14ac:dyDescent="0.3">
      <c r="Q259" s="84">
        <f t="shared" si="56"/>
        <v>0</v>
      </c>
    </row>
    <row r="260" spans="17:17" ht="14.4" x14ac:dyDescent="0.3">
      <c r="Q260" s="84">
        <f t="shared" si="56"/>
        <v>0</v>
      </c>
    </row>
    <row r="261" spans="17:17" ht="14.4" x14ac:dyDescent="0.3">
      <c r="Q261" s="84">
        <f t="shared" si="56"/>
        <v>0</v>
      </c>
    </row>
    <row r="262" spans="17:17" ht="14.4" x14ac:dyDescent="0.3">
      <c r="Q262" s="84">
        <f t="shared" si="56"/>
        <v>0</v>
      </c>
    </row>
    <row r="263" spans="17:17" ht="14.4" x14ac:dyDescent="0.3">
      <c r="Q263" s="84">
        <f t="shared" si="56"/>
        <v>0</v>
      </c>
    </row>
    <row r="264" spans="17:17" ht="14.4" x14ac:dyDescent="0.3">
      <c r="Q264" s="84">
        <f t="shared" si="56"/>
        <v>0</v>
      </c>
    </row>
    <row r="265" spans="17:17" ht="14.4" x14ac:dyDescent="0.3">
      <c r="Q265" s="84">
        <f t="shared" si="56"/>
        <v>0</v>
      </c>
    </row>
    <row r="266" spans="17:17" ht="14.4" x14ac:dyDescent="0.3">
      <c r="Q266" s="84">
        <f t="shared" si="56"/>
        <v>0</v>
      </c>
    </row>
    <row r="267" spans="17:17" ht="14.4" x14ac:dyDescent="0.3">
      <c r="Q267" s="84">
        <f t="shared" si="56"/>
        <v>0</v>
      </c>
    </row>
    <row r="268" spans="17:17" ht="14.4" x14ac:dyDescent="0.3">
      <c r="Q268" s="84">
        <f t="shared" si="56"/>
        <v>0</v>
      </c>
    </row>
    <row r="269" spans="17:17" ht="14.4" x14ac:dyDescent="0.3">
      <c r="Q269" s="84">
        <f t="shared" si="56"/>
        <v>0</v>
      </c>
    </row>
    <row r="270" spans="17:17" ht="14.4" x14ac:dyDescent="0.3">
      <c r="Q270" s="84">
        <f t="shared" si="56"/>
        <v>0</v>
      </c>
    </row>
    <row r="271" spans="17:17" ht="14.4" x14ac:dyDescent="0.3">
      <c r="Q271" s="84">
        <f t="shared" si="56"/>
        <v>0</v>
      </c>
    </row>
    <row r="272" spans="17:17" ht="14.4" x14ac:dyDescent="0.3">
      <c r="Q272" s="84">
        <f t="shared" si="56"/>
        <v>0</v>
      </c>
    </row>
    <row r="273" spans="17:17" ht="14.4" x14ac:dyDescent="0.3">
      <c r="Q273" s="84">
        <f t="shared" si="56"/>
        <v>0</v>
      </c>
    </row>
    <row r="274" spans="17:17" ht="14.4" x14ac:dyDescent="0.3">
      <c r="Q274" s="84">
        <f t="shared" si="56"/>
        <v>0</v>
      </c>
    </row>
    <row r="275" spans="17:17" ht="14.4" x14ac:dyDescent="0.3">
      <c r="Q275" s="84">
        <f t="shared" si="56"/>
        <v>0</v>
      </c>
    </row>
    <row r="276" spans="17:17" ht="14.4" x14ac:dyDescent="0.3">
      <c r="Q276" s="84">
        <f t="shared" si="56"/>
        <v>0</v>
      </c>
    </row>
    <row r="277" spans="17:17" ht="14.4" x14ac:dyDescent="0.3">
      <c r="Q277" s="84">
        <f t="shared" si="56"/>
        <v>0</v>
      </c>
    </row>
    <row r="278" spans="17:17" ht="14.4" x14ac:dyDescent="0.3">
      <c r="Q278" s="84">
        <f t="shared" si="56"/>
        <v>0</v>
      </c>
    </row>
    <row r="279" spans="17:17" ht="14.4" x14ac:dyDescent="0.3">
      <c r="Q279" s="84">
        <f t="shared" si="56"/>
        <v>0</v>
      </c>
    </row>
    <row r="280" spans="17:17" ht="14.4" x14ac:dyDescent="0.3">
      <c r="Q280" s="84">
        <f t="shared" si="56"/>
        <v>0</v>
      </c>
    </row>
    <row r="281" spans="17:17" ht="14.4" x14ac:dyDescent="0.3">
      <c r="Q281" s="84">
        <f t="shared" si="56"/>
        <v>0</v>
      </c>
    </row>
    <row r="282" spans="17:17" ht="14.4" x14ac:dyDescent="0.3">
      <c r="Q282" s="84">
        <f t="shared" si="56"/>
        <v>0</v>
      </c>
    </row>
    <row r="283" spans="17:17" ht="14.4" x14ac:dyDescent="0.3">
      <c r="Q283" s="84">
        <f t="shared" si="56"/>
        <v>0</v>
      </c>
    </row>
    <row r="284" spans="17:17" ht="14.4" x14ac:dyDescent="0.3">
      <c r="Q284" s="84">
        <f t="shared" si="56"/>
        <v>0</v>
      </c>
    </row>
    <row r="285" spans="17:17" ht="14.4" x14ac:dyDescent="0.3">
      <c r="Q285" s="84">
        <f t="shared" si="56"/>
        <v>0</v>
      </c>
    </row>
    <row r="286" spans="17:17" ht="14.4" x14ac:dyDescent="0.3">
      <c r="Q286" s="84">
        <f t="shared" si="56"/>
        <v>0</v>
      </c>
    </row>
    <row r="287" spans="17:17" ht="14.4" x14ac:dyDescent="0.3">
      <c r="Q287" s="84">
        <f t="shared" si="56"/>
        <v>0</v>
      </c>
    </row>
    <row r="288" spans="17:17" ht="14.4" x14ac:dyDescent="0.3">
      <c r="Q288" s="84">
        <f t="shared" si="56"/>
        <v>0</v>
      </c>
    </row>
    <row r="289" spans="17:17" ht="14.4" x14ac:dyDescent="0.3">
      <c r="Q289" s="84">
        <f t="shared" si="56"/>
        <v>0</v>
      </c>
    </row>
    <row r="290" spans="17:17" ht="14.4" x14ac:dyDescent="0.3">
      <c r="Q290" s="84">
        <f t="shared" si="56"/>
        <v>0</v>
      </c>
    </row>
    <row r="291" spans="17:17" ht="14.4" x14ac:dyDescent="0.3">
      <c r="Q291" s="84">
        <f t="shared" si="56"/>
        <v>0</v>
      </c>
    </row>
    <row r="292" spans="17:17" ht="14.4" x14ac:dyDescent="0.3">
      <c r="Q292" s="84">
        <f t="shared" si="56"/>
        <v>0</v>
      </c>
    </row>
    <row r="293" spans="17:17" ht="14.4" x14ac:dyDescent="0.3">
      <c r="Q293" s="84">
        <f t="shared" si="56"/>
        <v>0</v>
      </c>
    </row>
    <row r="294" spans="17:17" ht="14.4" x14ac:dyDescent="0.3">
      <c r="Q294" s="84">
        <f t="shared" si="56"/>
        <v>0</v>
      </c>
    </row>
    <row r="295" spans="17:17" ht="14.4" x14ac:dyDescent="0.3">
      <c r="Q295" s="84">
        <f t="shared" si="56"/>
        <v>0</v>
      </c>
    </row>
    <row r="296" spans="17:17" ht="14.4" x14ac:dyDescent="0.3">
      <c r="Q296" s="84">
        <f t="shared" si="56"/>
        <v>0</v>
      </c>
    </row>
    <row r="297" spans="17:17" ht="14.4" x14ac:dyDescent="0.3">
      <c r="Q297" s="84">
        <f t="shared" si="56"/>
        <v>0</v>
      </c>
    </row>
    <row r="298" spans="17:17" ht="14.4" x14ac:dyDescent="0.3">
      <c r="Q298" s="84">
        <f t="shared" si="56"/>
        <v>0</v>
      </c>
    </row>
    <row r="299" spans="17:17" ht="14.4" x14ac:dyDescent="0.3">
      <c r="Q299" s="84">
        <f t="shared" si="56"/>
        <v>0</v>
      </c>
    </row>
    <row r="300" spans="17:17" ht="14.4" x14ac:dyDescent="0.3">
      <c r="Q300" s="84">
        <f t="shared" si="56"/>
        <v>0</v>
      </c>
    </row>
    <row r="301" spans="17:17" ht="14.4" x14ac:dyDescent="0.3">
      <c r="Q301" s="84">
        <f t="shared" si="56"/>
        <v>0</v>
      </c>
    </row>
    <row r="302" spans="17:17" ht="14.4" x14ac:dyDescent="0.3">
      <c r="Q302" s="84">
        <f t="shared" si="56"/>
        <v>0</v>
      </c>
    </row>
    <row r="303" spans="17:17" ht="14.4" x14ac:dyDescent="0.3">
      <c r="Q303" s="84">
        <f t="shared" si="56"/>
        <v>0</v>
      </c>
    </row>
    <row r="304" spans="17:17" ht="14.4" x14ac:dyDescent="0.3">
      <c r="Q304" s="84">
        <f t="shared" si="56"/>
        <v>0</v>
      </c>
    </row>
    <row r="305" spans="17:17" ht="14.4" x14ac:dyDescent="0.3">
      <c r="Q305" s="84">
        <f t="shared" si="56"/>
        <v>0</v>
      </c>
    </row>
    <row r="306" spans="17:17" ht="14.4" x14ac:dyDescent="0.3">
      <c r="Q306" s="84">
        <f t="shared" si="56"/>
        <v>0</v>
      </c>
    </row>
    <row r="307" spans="17:17" ht="14.4" x14ac:dyDescent="0.3">
      <c r="Q307" s="84">
        <f t="shared" si="56"/>
        <v>0</v>
      </c>
    </row>
    <row r="308" spans="17:17" ht="14.4" x14ac:dyDescent="0.3">
      <c r="Q308" s="84">
        <f t="shared" si="56"/>
        <v>0</v>
      </c>
    </row>
    <row r="309" spans="17:17" ht="14.4" x14ac:dyDescent="0.3">
      <c r="Q309" s="84">
        <f t="shared" si="56"/>
        <v>0</v>
      </c>
    </row>
    <row r="310" spans="17:17" ht="14.4" x14ac:dyDescent="0.3">
      <c r="Q310" s="84">
        <f t="shared" si="56"/>
        <v>0</v>
      </c>
    </row>
    <row r="311" spans="17:17" ht="14.4" x14ac:dyDescent="0.3">
      <c r="Q311" s="84">
        <f t="shared" si="56"/>
        <v>0</v>
      </c>
    </row>
    <row r="312" spans="17:17" ht="14.4" x14ac:dyDescent="0.3">
      <c r="Q312" s="84">
        <f t="shared" si="56"/>
        <v>0</v>
      </c>
    </row>
    <row r="313" spans="17:17" ht="14.4" x14ac:dyDescent="0.3">
      <c r="Q313" s="84">
        <f t="shared" si="56"/>
        <v>0</v>
      </c>
    </row>
    <row r="314" spans="17:17" ht="14.4" x14ac:dyDescent="0.3">
      <c r="Q314" s="84">
        <f t="shared" si="56"/>
        <v>0</v>
      </c>
    </row>
    <row r="315" spans="17:17" ht="14.4" x14ac:dyDescent="0.3">
      <c r="Q315" s="84">
        <f t="shared" si="56"/>
        <v>0</v>
      </c>
    </row>
    <row r="316" spans="17:17" ht="14.4" x14ac:dyDescent="0.3">
      <c r="Q316" s="84">
        <f t="shared" si="56"/>
        <v>0</v>
      </c>
    </row>
    <row r="317" spans="17:17" ht="14.4" x14ac:dyDescent="0.3">
      <c r="Q317" s="84">
        <f t="shared" si="56"/>
        <v>0</v>
      </c>
    </row>
    <row r="318" spans="17:17" ht="14.4" x14ac:dyDescent="0.3">
      <c r="Q318" s="84">
        <f t="shared" si="56"/>
        <v>0</v>
      </c>
    </row>
    <row r="319" spans="17:17" ht="14.4" x14ac:dyDescent="0.3">
      <c r="Q319" s="84">
        <f t="shared" si="56"/>
        <v>0</v>
      </c>
    </row>
    <row r="320" spans="17:17" ht="14.4" x14ac:dyDescent="0.3">
      <c r="Q320" s="84">
        <f t="shared" si="56"/>
        <v>0</v>
      </c>
    </row>
    <row r="321" spans="17:17" ht="14.4" x14ac:dyDescent="0.3">
      <c r="Q321" s="84">
        <f t="shared" si="56"/>
        <v>0</v>
      </c>
    </row>
    <row r="322" spans="17:17" ht="14.4" x14ac:dyDescent="0.3">
      <c r="Q322" s="84">
        <f t="shared" si="56"/>
        <v>0</v>
      </c>
    </row>
    <row r="323" spans="17:17" ht="14.4" x14ac:dyDescent="0.3">
      <c r="Q323" s="84">
        <f t="shared" si="56"/>
        <v>0</v>
      </c>
    </row>
    <row r="324" spans="17:17" ht="14.4" x14ac:dyDescent="0.3">
      <c r="Q324" s="84">
        <f t="shared" si="56"/>
        <v>0</v>
      </c>
    </row>
    <row r="325" spans="17:17" ht="14.4" x14ac:dyDescent="0.3">
      <c r="Q325" s="84">
        <f t="shared" si="56"/>
        <v>0</v>
      </c>
    </row>
    <row r="326" spans="17:17" ht="14.4" x14ac:dyDescent="0.3">
      <c r="Q326" s="84">
        <f t="shared" si="56"/>
        <v>0</v>
      </c>
    </row>
    <row r="327" spans="17:17" ht="14.4" x14ac:dyDescent="0.3">
      <c r="Q327" s="84">
        <f t="shared" si="56"/>
        <v>0</v>
      </c>
    </row>
    <row r="328" spans="17:17" ht="14.4" x14ac:dyDescent="0.3">
      <c r="Q328" s="84">
        <f t="shared" si="56"/>
        <v>0</v>
      </c>
    </row>
    <row r="329" spans="17:17" ht="14.4" x14ac:dyDescent="0.3">
      <c r="Q329" s="84">
        <f t="shared" si="56"/>
        <v>0</v>
      </c>
    </row>
    <row r="330" spans="17:17" ht="14.4" x14ac:dyDescent="0.3">
      <c r="Q330" s="84">
        <f t="shared" si="56"/>
        <v>0</v>
      </c>
    </row>
    <row r="331" spans="17:17" ht="14.4" x14ac:dyDescent="0.3">
      <c r="Q331" s="84">
        <f t="shared" si="56"/>
        <v>0</v>
      </c>
    </row>
    <row r="332" spans="17:17" ht="14.4" x14ac:dyDescent="0.3">
      <c r="Q332" s="84">
        <f t="shared" si="56"/>
        <v>0</v>
      </c>
    </row>
    <row r="333" spans="17:17" ht="14.4" x14ac:dyDescent="0.3">
      <c r="Q333" s="84">
        <f t="shared" si="56"/>
        <v>0</v>
      </c>
    </row>
    <row r="334" spans="17:17" ht="14.4" x14ac:dyDescent="0.3">
      <c r="Q334" s="84">
        <f t="shared" si="56"/>
        <v>0</v>
      </c>
    </row>
    <row r="335" spans="17:17" ht="14.4" x14ac:dyDescent="0.3">
      <c r="Q335" s="84">
        <f t="shared" si="56"/>
        <v>0</v>
      </c>
    </row>
    <row r="336" spans="17:17" ht="14.4" x14ac:dyDescent="0.3">
      <c r="Q336" s="84">
        <f t="shared" si="56"/>
        <v>0</v>
      </c>
    </row>
    <row r="337" spans="17:17" ht="14.4" x14ac:dyDescent="0.3">
      <c r="Q337" s="84">
        <f t="shared" si="56"/>
        <v>0</v>
      </c>
    </row>
    <row r="338" spans="17:17" ht="14.4" x14ac:dyDescent="0.3">
      <c r="Q338" s="84">
        <f t="shared" si="56"/>
        <v>0</v>
      </c>
    </row>
    <row r="339" spans="17:17" ht="14.4" x14ac:dyDescent="0.3">
      <c r="Q339" s="84">
        <f t="shared" si="56"/>
        <v>0</v>
      </c>
    </row>
    <row r="340" spans="17:17" ht="14.4" x14ac:dyDescent="0.3">
      <c r="Q340" s="84">
        <f t="shared" si="56"/>
        <v>0</v>
      </c>
    </row>
    <row r="341" spans="17:17" ht="14.4" x14ac:dyDescent="0.3">
      <c r="Q341" s="84">
        <f t="shared" si="56"/>
        <v>0</v>
      </c>
    </row>
    <row r="342" spans="17:17" ht="14.4" x14ac:dyDescent="0.3">
      <c r="Q342" s="84">
        <f t="shared" si="56"/>
        <v>0</v>
      </c>
    </row>
    <row r="343" spans="17:17" ht="14.4" x14ac:dyDescent="0.3">
      <c r="Q343" s="84">
        <f t="shared" si="56"/>
        <v>0</v>
      </c>
    </row>
    <row r="344" spans="17:17" ht="14.4" x14ac:dyDescent="0.3">
      <c r="Q344" s="84">
        <f t="shared" si="56"/>
        <v>0</v>
      </c>
    </row>
    <row r="345" spans="17:17" ht="14.4" x14ac:dyDescent="0.3">
      <c r="Q345" s="84">
        <f t="shared" si="56"/>
        <v>0</v>
      </c>
    </row>
    <row r="346" spans="17:17" ht="14.4" x14ac:dyDescent="0.3">
      <c r="Q346" s="84">
        <f t="shared" si="56"/>
        <v>0</v>
      </c>
    </row>
    <row r="347" spans="17:17" ht="14.4" x14ac:dyDescent="0.3">
      <c r="Q347" s="84">
        <f t="shared" si="56"/>
        <v>0</v>
      </c>
    </row>
    <row r="348" spans="17:17" ht="14.4" x14ac:dyDescent="0.3">
      <c r="Q348" s="84">
        <f t="shared" si="56"/>
        <v>0</v>
      </c>
    </row>
    <row r="349" spans="17:17" ht="14.4" x14ac:dyDescent="0.3">
      <c r="Q349" s="84">
        <f t="shared" si="56"/>
        <v>0</v>
      </c>
    </row>
    <row r="350" spans="17:17" ht="14.4" x14ac:dyDescent="0.3">
      <c r="Q350" s="84">
        <f t="shared" si="56"/>
        <v>0</v>
      </c>
    </row>
    <row r="351" spans="17:17" ht="14.4" x14ac:dyDescent="0.3">
      <c r="Q351" s="84">
        <f t="shared" si="56"/>
        <v>0</v>
      </c>
    </row>
    <row r="352" spans="17:17" ht="14.4" x14ac:dyDescent="0.3">
      <c r="Q352" s="84">
        <f t="shared" si="56"/>
        <v>0</v>
      </c>
    </row>
    <row r="353" spans="17:17" ht="14.4" x14ac:dyDescent="0.3">
      <c r="Q353" s="84">
        <f t="shared" si="56"/>
        <v>0</v>
      </c>
    </row>
    <row r="354" spans="17:17" ht="14.4" x14ac:dyDescent="0.3">
      <c r="Q354" s="84">
        <f t="shared" si="56"/>
        <v>0</v>
      </c>
    </row>
    <row r="355" spans="17:17" ht="14.4" x14ac:dyDescent="0.3">
      <c r="Q355" s="84">
        <f t="shared" si="56"/>
        <v>0</v>
      </c>
    </row>
    <row r="356" spans="17:17" ht="14.4" x14ac:dyDescent="0.3">
      <c r="Q356" s="84">
        <f t="shared" si="56"/>
        <v>0</v>
      </c>
    </row>
    <row r="357" spans="17:17" ht="14.4" x14ac:dyDescent="0.3">
      <c r="Q357" s="84">
        <f t="shared" si="56"/>
        <v>0</v>
      </c>
    </row>
    <row r="358" spans="17:17" ht="14.4" x14ac:dyDescent="0.3">
      <c r="Q358" s="84">
        <f t="shared" si="56"/>
        <v>0</v>
      </c>
    </row>
    <row r="359" spans="17:17" ht="14.4" x14ac:dyDescent="0.3">
      <c r="Q359" s="84">
        <f t="shared" si="56"/>
        <v>0</v>
      </c>
    </row>
    <row r="360" spans="17:17" ht="14.4" x14ac:dyDescent="0.3">
      <c r="Q360" s="84">
        <f t="shared" si="56"/>
        <v>0</v>
      </c>
    </row>
    <row r="361" spans="17:17" ht="14.4" x14ac:dyDescent="0.3">
      <c r="Q361" s="84">
        <f t="shared" si="56"/>
        <v>0</v>
      </c>
    </row>
    <row r="362" spans="17:17" ht="14.4" x14ac:dyDescent="0.3">
      <c r="Q362" s="84">
        <f t="shared" si="56"/>
        <v>0</v>
      </c>
    </row>
    <row r="363" spans="17:17" ht="14.4" x14ac:dyDescent="0.3">
      <c r="Q363" s="84">
        <f t="shared" si="56"/>
        <v>0</v>
      </c>
    </row>
    <row r="364" spans="17:17" ht="14.4" x14ac:dyDescent="0.3">
      <c r="Q364" s="84">
        <f t="shared" si="56"/>
        <v>0</v>
      </c>
    </row>
    <row r="365" spans="17:17" ht="14.4" x14ac:dyDescent="0.3">
      <c r="Q365" s="84">
        <f t="shared" si="56"/>
        <v>0</v>
      </c>
    </row>
    <row r="366" spans="17:17" ht="14.4" x14ac:dyDescent="0.3">
      <c r="Q366" s="84">
        <f t="shared" si="56"/>
        <v>0</v>
      </c>
    </row>
    <row r="367" spans="17:17" ht="14.4" x14ac:dyDescent="0.3">
      <c r="Q367" s="84">
        <f t="shared" si="56"/>
        <v>0</v>
      </c>
    </row>
    <row r="368" spans="17:17" ht="14.4" x14ac:dyDescent="0.3">
      <c r="Q368" s="84">
        <f t="shared" si="56"/>
        <v>0</v>
      </c>
    </row>
    <row r="369" spans="17:17" ht="14.4" x14ac:dyDescent="0.3">
      <c r="Q369" s="84">
        <f t="shared" si="56"/>
        <v>0</v>
      </c>
    </row>
    <row r="370" spans="17:17" ht="14.4" x14ac:dyDescent="0.3">
      <c r="Q370" s="84">
        <f t="shared" si="56"/>
        <v>0</v>
      </c>
    </row>
    <row r="371" spans="17:17" ht="14.4" x14ac:dyDescent="0.3">
      <c r="Q371" s="84">
        <f t="shared" si="56"/>
        <v>0</v>
      </c>
    </row>
    <row r="372" spans="17:17" ht="14.4" x14ac:dyDescent="0.3">
      <c r="Q372" s="84">
        <f t="shared" si="56"/>
        <v>0</v>
      </c>
    </row>
    <row r="373" spans="17:17" ht="14.4" x14ac:dyDescent="0.3">
      <c r="Q373" s="84">
        <f t="shared" si="56"/>
        <v>0</v>
      </c>
    </row>
    <row r="374" spans="17:17" ht="14.4" x14ac:dyDescent="0.3">
      <c r="Q374" s="84">
        <f t="shared" si="56"/>
        <v>0</v>
      </c>
    </row>
    <row r="375" spans="17:17" ht="14.4" x14ac:dyDescent="0.3">
      <c r="Q375" s="84">
        <f t="shared" si="56"/>
        <v>0</v>
      </c>
    </row>
    <row r="376" spans="17:17" ht="14.4" x14ac:dyDescent="0.3">
      <c r="Q376" s="84">
        <f t="shared" si="56"/>
        <v>0</v>
      </c>
    </row>
    <row r="377" spans="17:17" ht="14.4" x14ac:dyDescent="0.3">
      <c r="Q377" s="84">
        <f t="shared" si="56"/>
        <v>0</v>
      </c>
    </row>
    <row r="378" spans="17:17" ht="14.4" x14ac:dyDescent="0.3">
      <c r="Q378" s="84">
        <f t="shared" si="56"/>
        <v>0</v>
      </c>
    </row>
    <row r="379" spans="17:17" ht="14.4" x14ac:dyDescent="0.3">
      <c r="Q379" s="84">
        <f t="shared" si="56"/>
        <v>0</v>
      </c>
    </row>
    <row r="380" spans="17:17" ht="14.4" x14ac:dyDescent="0.3">
      <c r="Q380" s="84">
        <f t="shared" si="56"/>
        <v>0</v>
      </c>
    </row>
    <row r="381" spans="17:17" ht="14.4" x14ac:dyDescent="0.3">
      <c r="Q381" s="84">
        <f t="shared" si="56"/>
        <v>0</v>
      </c>
    </row>
    <row r="382" spans="17:17" ht="14.4" x14ac:dyDescent="0.3">
      <c r="Q382" s="84">
        <f t="shared" si="56"/>
        <v>0</v>
      </c>
    </row>
    <row r="383" spans="17:17" ht="14.4" x14ac:dyDescent="0.3">
      <c r="Q383" s="84">
        <f t="shared" si="56"/>
        <v>0</v>
      </c>
    </row>
    <row r="384" spans="17:17" ht="14.4" x14ac:dyDescent="0.3">
      <c r="Q384" s="84">
        <f t="shared" si="56"/>
        <v>0</v>
      </c>
    </row>
    <row r="385" spans="17:17" ht="14.4" x14ac:dyDescent="0.3">
      <c r="Q385" s="84">
        <f t="shared" si="56"/>
        <v>0</v>
      </c>
    </row>
    <row r="386" spans="17:17" ht="14.4" x14ac:dyDescent="0.3">
      <c r="Q386" s="84">
        <f t="shared" si="56"/>
        <v>0</v>
      </c>
    </row>
    <row r="387" spans="17:17" ht="14.4" x14ac:dyDescent="0.3">
      <c r="Q387" s="84">
        <f t="shared" si="56"/>
        <v>0</v>
      </c>
    </row>
    <row r="388" spans="17:17" ht="14.4" x14ac:dyDescent="0.3">
      <c r="Q388" s="84">
        <f t="shared" si="56"/>
        <v>0</v>
      </c>
    </row>
    <row r="389" spans="17:17" ht="14.4" x14ac:dyDescent="0.3">
      <c r="Q389" s="84">
        <f t="shared" si="56"/>
        <v>0</v>
      </c>
    </row>
    <row r="390" spans="17:17" ht="14.4" x14ac:dyDescent="0.3">
      <c r="Q390" s="84">
        <f t="shared" si="56"/>
        <v>0</v>
      </c>
    </row>
    <row r="391" spans="17:17" ht="14.4" x14ac:dyDescent="0.3">
      <c r="Q391" s="84">
        <f t="shared" si="56"/>
        <v>0</v>
      </c>
    </row>
    <row r="392" spans="17:17" ht="14.4" x14ac:dyDescent="0.3">
      <c r="Q392" s="84">
        <f t="shared" si="56"/>
        <v>0</v>
      </c>
    </row>
    <row r="393" spans="17:17" ht="14.4" x14ac:dyDescent="0.3">
      <c r="Q393" s="84">
        <f t="shared" si="56"/>
        <v>0</v>
      </c>
    </row>
    <row r="394" spans="17:17" ht="14.4" x14ac:dyDescent="0.3">
      <c r="Q394" s="84">
        <f t="shared" si="56"/>
        <v>0</v>
      </c>
    </row>
    <row r="395" spans="17:17" ht="14.4" x14ac:dyDescent="0.3">
      <c r="Q395" s="84">
        <f t="shared" si="56"/>
        <v>0</v>
      </c>
    </row>
    <row r="396" spans="17:17" ht="14.4" x14ac:dyDescent="0.3">
      <c r="Q396" s="84">
        <f t="shared" si="56"/>
        <v>0</v>
      </c>
    </row>
    <row r="397" spans="17:17" ht="14.4" x14ac:dyDescent="0.3">
      <c r="Q397" s="84">
        <f t="shared" si="56"/>
        <v>0</v>
      </c>
    </row>
    <row r="398" spans="17:17" ht="14.4" x14ac:dyDescent="0.3">
      <c r="Q398" s="84">
        <f t="shared" si="56"/>
        <v>0</v>
      </c>
    </row>
    <row r="399" spans="17:17" ht="14.4" x14ac:dyDescent="0.3">
      <c r="Q399" s="84">
        <f t="shared" si="56"/>
        <v>0</v>
      </c>
    </row>
    <row r="400" spans="17:17" ht="14.4" x14ac:dyDescent="0.3">
      <c r="Q400" s="84">
        <f t="shared" si="56"/>
        <v>0</v>
      </c>
    </row>
    <row r="401" spans="17:17" ht="14.4" x14ac:dyDescent="0.3">
      <c r="Q401" s="84">
        <f t="shared" si="56"/>
        <v>0</v>
      </c>
    </row>
    <row r="402" spans="17:17" ht="14.4" x14ac:dyDescent="0.3">
      <c r="Q402" s="84">
        <f t="shared" si="56"/>
        <v>0</v>
      </c>
    </row>
    <row r="403" spans="17:17" ht="14.4" x14ac:dyDescent="0.3">
      <c r="Q403" s="84">
        <f t="shared" si="56"/>
        <v>0</v>
      </c>
    </row>
    <row r="404" spans="17:17" ht="14.4" x14ac:dyDescent="0.3">
      <c r="Q404" s="84">
        <f t="shared" si="56"/>
        <v>0</v>
      </c>
    </row>
    <row r="405" spans="17:17" ht="14.4" x14ac:dyDescent="0.3">
      <c r="Q405" s="84">
        <f t="shared" si="56"/>
        <v>0</v>
      </c>
    </row>
    <row r="406" spans="17:17" ht="14.4" x14ac:dyDescent="0.3">
      <c r="Q406" s="84">
        <f t="shared" si="56"/>
        <v>0</v>
      </c>
    </row>
    <row r="407" spans="17:17" ht="14.4" x14ac:dyDescent="0.3">
      <c r="Q407" s="84">
        <f t="shared" si="56"/>
        <v>0</v>
      </c>
    </row>
    <row r="408" spans="17:17" ht="14.4" x14ac:dyDescent="0.3">
      <c r="Q408" s="84">
        <f t="shared" si="56"/>
        <v>0</v>
      </c>
    </row>
    <row r="409" spans="17:17" ht="14.4" x14ac:dyDescent="0.3">
      <c r="Q409" s="84">
        <f t="shared" si="56"/>
        <v>0</v>
      </c>
    </row>
    <row r="410" spans="17:17" ht="14.4" x14ac:dyDescent="0.3">
      <c r="Q410" s="84">
        <f t="shared" si="56"/>
        <v>0</v>
      </c>
    </row>
    <row r="411" spans="17:17" ht="14.4" x14ac:dyDescent="0.3">
      <c r="Q411" s="84">
        <f t="shared" si="56"/>
        <v>0</v>
      </c>
    </row>
    <row r="412" spans="17:17" ht="14.4" x14ac:dyDescent="0.3">
      <c r="Q412" s="84">
        <f t="shared" si="56"/>
        <v>0</v>
      </c>
    </row>
    <row r="413" spans="17:17" ht="14.4" x14ac:dyDescent="0.3">
      <c r="Q413" s="84">
        <f t="shared" si="56"/>
        <v>0</v>
      </c>
    </row>
    <row r="414" spans="17:17" ht="14.4" x14ac:dyDescent="0.3">
      <c r="Q414" s="84">
        <f t="shared" si="56"/>
        <v>0</v>
      </c>
    </row>
    <row r="415" spans="17:17" ht="14.4" x14ac:dyDescent="0.3">
      <c r="Q415" s="84">
        <f t="shared" si="56"/>
        <v>0</v>
      </c>
    </row>
    <row r="416" spans="17:17" ht="14.4" x14ac:dyDescent="0.3">
      <c r="Q416" s="84">
        <f t="shared" si="56"/>
        <v>0</v>
      </c>
    </row>
    <row r="417" spans="17:17" ht="14.4" x14ac:dyDescent="0.3">
      <c r="Q417" s="84">
        <f t="shared" si="56"/>
        <v>0</v>
      </c>
    </row>
    <row r="418" spans="17:17" ht="14.4" x14ac:dyDescent="0.3">
      <c r="Q418" s="84">
        <f t="shared" si="56"/>
        <v>0</v>
      </c>
    </row>
    <row r="419" spans="17:17" ht="14.4" x14ac:dyDescent="0.3">
      <c r="Q419" s="84">
        <f t="shared" si="56"/>
        <v>0</v>
      </c>
    </row>
    <row r="420" spans="17:17" ht="14.4" x14ac:dyDescent="0.3">
      <c r="Q420" s="84">
        <f t="shared" si="56"/>
        <v>0</v>
      </c>
    </row>
    <row r="421" spans="17:17" ht="14.4" x14ac:dyDescent="0.3">
      <c r="Q421" s="84">
        <f t="shared" si="56"/>
        <v>0</v>
      </c>
    </row>
    <row r="422" spans="17:17" ht="14.4" x14ac:dyDescent="0.3">
      <c r="Q422" s="84">
        <f t="shared" si="56"/>
        <v>0</v>
      </c>
    </row>
    <row r="423" spans="17:17" ht="14.4" x14ac:dyDescent="0.3">
      <c r="Q423" s="84">
        <f t="shared" si="56"/>
        <v>0</v>
      </c>
    </row>
    <row r="424" spans="17:17" ht="14.4" x14ac:dyDescent="0.3">
      <c r="Q424" s="84">
        <f t="shared" si="56"/>
        <v>0</v>
      </c>
    </row>
    <row r="425" spans="17:17" ht="14.4" x14ac:dyDescent="0.3">
      <c r="Q425" s="84">
        <f t="shared" si="56"/>
        <v>0</v>
      </c>
    </row>
    <row r="426" spans="17:17" ht="14.4" x14ac:dyDescent="0.3">
      <c r="Q426" s="84">
        <f t="shared" si="56"/>
        <v>0</v>
      </c>
    </row>
    <row r="427" spans="17:17" ht="14.4" x14ac:dyDescent="0.3">
      <c r="Q427" s="84">
        <f t="shared" si="56"/>
        <v>0</v>
      </c>
    </row>
    <row r="428" spans="17:17" ht="14.4" x14ac:dyDescent="0.3">
      <c r="Q428" s="84">
        <f t="shared" si="56"/>
        <v>0</v>
      </c>
    </row>
    <row r="429" spans="17:17" ht="14.4" x14ac:dyDescent="0.3">
      <c r="Q429" s="84">
        <f t="shared" si="56"/>
        <v>0</v>
      </c>
    </row>
    <row r="430" spans="17:17" ht="14.4" x14ac:dyDescent="0.3">
      <c r="Q430" s="84">
        <f t="shared" si="56"/>
        <v>0</v>
      </c>
    </row>
    <row r="431" spans="17:17" ht="14.4" x14ac:dyDescent="0.3">
      <c r="Q431" s="84">
        <f t="shared" si="56"/>
        <v>0</v>
      </c>
    </row>
    <row r="432" spans="17:17" ht="14.4" x14ac:dyDescent="0.3">
      <c r="Q432" s="84">
        <f t="shared" si="56"/>
        <v>0</v>
      </c>
    </row>
    <row r="433" spans="17:17" ht="14.4" x14ac:dyDescent="0.3">
      <c r="Q433" s="84">
        <f t="shared" si="56"/>
        <v>0</v>
      </c>
    </row>
    <row r="434" spans="17:17" ht="14.4" x14ac:dyDescent="0.3">
      <c r="Q434" s="84">
        <f t="shared" si="56"/>
        <v>0</v>
      </c>
    </row>
    <row r="435" spans="17:17" ht="14.4" x14ac:dyDescent="0.3">
      <c r="Q435" s="84">
        <f t="shared" si="56"/>
        <v>0</v>
      </c>
    </row>
    <row r="436" spans="17:17" ht="14.4" x14ac:dyDescent="0.3">
      <c r="Q436" s="84">
        <f t="shared" si="56"/>
        <v>0</v>
      </c>
    </row>
    <row r="437" spans="17:17" ht="14.4" x14ac:dyDescent="0.3">
      <c r="Q437" s="84">
        <f t="shared" si="56"/>
        <v>0</v>
      </c>
    </row>
    <row r="438" spans="17:17" ht="14.4" x14ac:dyDescent="0.3">
      <c r="Q438" s="84">
        <f t="shared" si="56"/>
        <v>0</v>
      </c>
    </row>
    <row r="439" spans="17:17" ht="14.4" x14ac:dyDescent="0.3">
      <c r="Q439" s="84">
        <f t="shared" si="56"/>
        <v>0</v>
      </c>
    </row>
    <row r="440" spans="17:17" ht="14.4" x14ac:dyDescent="0.3">
      <c r="Q440" s="84">
        <f t="shared" si="56"/>
        <v>0</v>
      </c>
    </row>
    <row r="441" spans="17:17" ht="14.4" x14ac:dyDescent="0.3">
      <c r="Q441" s="84">
        <f t="shared" si="56"/>
        <v>0</v>
      </c>
    </row>
    <row r="442" spans="17:17" ht="14.4" x14ac:dyDescent="0.3">
      <c r="Q442" s="84">
        <f t="shared" si="56"/>
        <v>0</v>
      </c>
    </row>
    <row r="443" spans="17:17" ht="14.4" x14ac:dyDescent="0.3">
      <c r="Q443" s="84">
        <f t="shared" si="56"/>
        <v>0</v>
      </c>
    </row>
    <row r="444" spans="17:17" ht="14.4" x14ac:dyDescent="0.3">
      <c r="Q444" s="84">
        <f t="shared" si="56"/>
        <v>0</v>
      </c>
    </row>
    <row r="445" spans="17:17" ht="14.4" x14ac:dyDescent="0.3">
      <c r="Q445" s="84">
        <f t="shared" si="56"/>
        <v>0</v>
      </c>
    </row>
    <row r="446" spans="17:17" ht="14.4" x14ac:dyDescent="0.3">
      <c r="Q446" s="84">
        <f t="shared" si="56"/>
        <v>0</v>
      </c>
    </row>
    <row r="447" spans="17:17" ht="14.4" x14ac:dyDescent="0.3">
      <c r="Q447" s="84">
        <f t="shared" si="56"/>
        <v>0</v>
      </c>
    </row>
    <row r="448" spans="17:17" ht="14.4" x14ac:dyDescent="0.3">
      <c r="Q448" s="84">
        <f t="shared" si="56"/>
        <v>0</v>
      </c>
    </row>
    <row r="449" spans="17:17" ht="14.4" x14ac:dyDescent="0.3">
      <c r="Q449" s="84">
        <f t="shared" si="56"/>
        <v>0</v>
      </c>
    </row>
    <row r="450" spans="17:17" ht="14.4" x14ac:dyDescent="0.3">
      <c r="Q450" s="84">
        <f t="shared" si="56"/>
        <v>0</v>
      </c>
    </row>
    <row r="451" spans="17:17" ht="14.4" x14ac:dyDescent="0.3">
      <c r="Q451" s="84">
        <f t="shared" si="56"/>
        <v>0</v>
      </c>
    </row>
    <row r="452" spans="17:17" ht="14.4" x14ac:dyDescent="0.3">
      <c r="Q452" s="84">
        <f t="shared" si="56"/>
        <v>0</v>
      </c>
    </row>
    <row r="453" spans="17:17" ht="14.4" x14ac:dyDescent="0.3">
      <c r="Q453" s="84">
        <f t="shared" si="56"/>
        <v>0</v>
      </c>
    </row>
    <row r="454" spans="17:17" ht="14.4" x14ac:dyDescent="0.3">
      <c r="Q454" s="84">
        <f t="shared" si="56"/>
        <v>0</v>
      </c>
    </row>
    <row r="455" spans="17:17" ht="14.4" x14ac:dyDescent="0.3">
      <c r="Q455" s="84">
        <f t="shared" si="56"/>
        <v>0</v>
      </c>
    </row>
    <row r="456" spans="17:17" ht="14.4" x14ac:dyDescent="0.3">
      <c r="Q456" s="84">
        <f t="shared" si="56"/>
        <v>0</v>
      </c>
    </row>
    <row r="457" spans="17:17" ht="14.4" x14ac:dyDescent="0.3">
      <c r="Q457" s="84">
        <f t="shared" si="56"/>
        <v>0</v>
      </c>
    </row>
    <row r="458" spans="17:17" ht="14.4" x14ac:dyDescent="0.3">
      <c r="Q458" s="84">
        <f t="shared" si="56"/>
        <v>0</v>
      </c>
    </row>
    <row r="459" spans="17:17" ht="14.4" x14ac:dyDescent="0.3">
      <c r="Q459" s="84">
        <f t="shared" si="56"/>
        <v>0</v>
      </c>
    </row>
    <row r="460" spans="17:17" ht="14.4" x14ac:dyDescent="0.3">
      <c r="Q460" s="84">
        <f t="shared" si="56"/>
        <v>0</v>
      </c>
    </row>
    <row r="461" spans="17:17" ht="14.4" x14ac:dyDescent="0.3">
      <c r="Q461" s="84">
        <f t="shared" si="56"/>
        <v>0</v>
      </c>
    </row>
    <row r="462" spans="17:17" ht="14.4" x14ac:dyDescent="0.3">
      <c r="Q462" s="84">
        <f t="shared" si="56"/>
        <v>0</v>
      </c>
    </row>
    <row r="463" spans="17:17" ht="14.4" x14ac:dyDescent="0.3">
      <c r="Q463" s="84">
        <f t="shared" si="56"/>
        <v>0</v>
      </c>
    </row>
    <row r="464" spans="17:17" ht="14.4" x14ac:dyDescent="0.3">
      <c r="Q464" s="84">
        <f t="shared" si="56"/>
        <v>0</v>
      </c>
    </row>
    <row r="465" spans="17:17" ht="14.4" x14ac:dyDescent="0.3">
      <c r="Q465" s="84">
        <f t="shared" si="56"/>
        <v>0</v>
      </c>
    </row>
    <row r="466" spans="17:17" ht="14.4" x14ac:dyDescent="0.3">
      <c r="Q466" s="84">
        <f t="shared" si="56"/>
        <v>0</v>
      </c>
    </row>
    <row r="467" spans="17:17" ht="14.4" x14ac:dyDescent="0.3">
      <c r="Q467" s="84">
        <f t="shared" si="56"/>
        <v>0</v>
      </c>
    </row>
    <row r="468" spans="17:17" ht="14.4" x14ac:dyDescent="0.3">
      <c r="Q468" s="84">
        <f t="shared" si="56"/>
        <v>0</v>
      </c>
    </row>
    <row r="469" spans="17:17" ht="14.4" x14ac:dyDescent="0.3">
      <c r="Q469" s="84">
        <f t="shared" si="56"/>
        <v>0</v>
      </c>
    </row>
    <row r="470" spans="17:17" ht="14.4" x14ac:dyDescent="0.3">
      <c r="Q470" s="84">
        <f t="shared" si="56"/>
        <v>0</v>
      </c>
    </row>
    <row r="471" spans="17:17" ht="14.4" x14ac:dyDescent="0.3">
      <c r="Q471" s="84">
        <f t="shared" si="56"/>
        <v>0</v>
      </c>
    </row>
    <row r="472" spans="17:17" ht="14.4" x14ac:dyDescent="0.3">
      <c r="Q472" s="84">
        <f t="shared" si="56"/>
        <v>0</v>
      </c>
    </row>
    <row r="473" spans="17:17" ht="14.4" x14ac:dyDescent="0.3">
      <c r="Q473" s="84">
        <f t="shared" si="56"/>
        <v>0</v>
      </c>
    </row>
    <row r="474" spans="17:17" ht="14.4" x14ac:dyDescent="0.3">
      <c r="Q474" s="84">
        <f t="shared" si="56"/>
        <v>0</v>
      </c>
    </row>
    <row r="475" spans="17:17" ht="14.4" x14ac:dyDescent="0.3">
      <c r="Q475" s="84">
        <f t="shared" si="56"/>
        <v>0</v>
      </c>
    </row>
    <row r="476" spans="17:17" ht="14.4" x14ac:dyDescent="0.3">
      <c r="Q476" s="84">
        <f t="shared" si="56"/>
        <v>0</v>
      </c>
    </row>
    <row r="477" spans="17:17" ht="14.4" x14ac:dyDescent="0.3">
      <c r="Q477" s="84">
        <f t="shared" si="56"/>
        <v>0</v>
      </c>
    </row>
    <row r="478" spans="17:17" ht="14.4" x14ac:dyDescent="0.3">
      <c r="Q478" s="84">
        <f t="shared" si="56"/>
        <v>0</v>
      </c>
    </row>
    <row r="479" spans="17:17" ht="14.4" x14ac:dyDescent="0.3">
      <c r="Q479" s="84">
        <f t="shared" si="56"/>
        <v>0</v>
      </c>
    </row>
    <row r="480" spans="17:17" ht="14.4" x14ac:dyDescent="0.3">
      <c r="Q480" s="84">
        <f t="shared" si="56"/>
        <v>0</v>
      </c>
    </row>
    <row r="481" spans="17:17" ht="14.4" x14ac:dyDescent="0.3">
      <c r="Q481" s="84">
        <f t="shared" si="56"/>
        <v>0</v>
      </c>
    </row>
    <row r="482" spans="17:17" ht="14.4" x14ac:dyDescent="0.3">
      <c r="Q482" s="84">
        <f t="shared" si="56"/>
        <v>0</v>
      </c>
    </row>
    <row r="483" spans="17:17" ht="14.4" x14ac:dyDescent="0.3">
      <c r="Q483" s="84">
        <f t="shared" si="56"/>
        <v>0</v>
      </c>
    </row>
    <row r="484" spans="17:17" ht="14.4" x14ac:dyDescent="0.3">
      <c r="Q484" s="84">
        <f t="shared" si="56"/>
        <v>0</v>
      </c>
    </row>
    <row r="485" spans="17:17" ht="14.4" x14ac:dyDescent="0.3">
      <c r="Q485" s="84">
        <f t="shared" si="56"/>
        <v>0</v>
      </c>
    </row>
    <row r="486" spans="17:17" ht="14.4" x14ac:dyDescent="0.3">
      <c r="Q486" s="84">
        <f t="shared" si="56"/>
        <v>0</v>
      </c>
    </row>
    <row r="487" spans="17:17" ht="14.4" x14ac:dyDescent="0.3">
      <c r="Q487" s="84">
        <f t="shared" si="56"/>
        <v>0</v>
      </c>
    </row>
    <row r="488" spans="17:17" ht="14.4" x14ac:dyDescent="0.3">
      <c r="Q488" s="84">
        <f t="shared" si="56"/>
        <v>0</v>
      </c>
    </row>
    <row r="489" spans="17:17" ht="14.4" x14ac:dyDescent="0.3">
      <c r="Q489" s="84">
        <f t="shared" si="56"/>
        <v>0</v>
      </c>
    </row>
    <row r="490" spans="17:17" ht="14.4" x14ac:dyDescent="0.3">
      <c r="Q490" s="84">
        <f t="shared" si="56"/>
        <v>0</v>
      </c>
    </row>
    <row r="491" spans="17:17" ht="14.4" x14ac:dyDescent="0.3">
      <c r="Q491" s="84">
        <f t="shared" si="56"/>
        <v>0</v>
      </c>
    </row>
    <row r="492" spans="17:17" ht="14.4" x14ac:dyDescent="0.3">
      <c r="Q492" s="84">
        <f t="shared" si="56"/>
        <v>0</v>
      </c>
    </row>
    <row r="493" spans="17:17" ht="14.4" x14ac:dyDescent="0.3">
      <c r="Q493" s="84">
        <f t="shared" si="56"/>
        <v>0</v>
      </c>
    </row>
    <row r="494" spans="17:17" ht="14.4" x14ac:dyDescent="0.3">
      <c r="Q494" s="84">
        <f t="shared" si="56"/>
        <v>0</v>
      </c>
    </row>
    <row r="495" spans="17:17" ht="14.4" x14ac:dyDescent="0.3">
      <c r="Q495" s="84">
        <f t="shared" si="56"/>
        <v>0</v>
      </c>
    </row>
    <row r="496" spans="17:17" ht="14.4" x14ac:dyDescent="0.3">
      <c r="Q496" s="84">
        <f t="shared" si="56"/>
        <v>0</v>
      </c>
    </row>
    <row r="497" spans="17:17" ht="14.4" x14ac:dyDescent="0.3">
      <c r="Q497" s="84">
        <f t="shared" si="56"/>
        <v>0</v>
      </c>
    </row>
    <row r="498" spans="17:17" ht="14.4" x14ac:dyDescent="0.3">
      <c r="Q498" s="84">
        <f t="shared" si="56"/>
        <v>0</v>
      </c>
    </row>
    <row r="499" spans="17:17" ht="14.4" x14ac:dyDescent="0.3">
      <c r="Q499" s="84">
        <f t="shared" si="56"/>
        <v>0</v>
      </c>
    </row>
    <row r="500" spans="17:17" ht="14.4" x14ac:dyDescent="0.3">
      <c r="Q500" s="84">
        <f t="shared" si="56"/>
        <v>0</v>
      </c>
    </row>
    <row r="501" spans="17:17" ht="14.4" x14ac:dyDescent="0.3">
      <c r="Q501" s="84">
        <f t="shared" si="56"/>
        <v>0</v>
      </c>
    </row>
    <row r="502" spans="17:17" ht="14.4" x14ac:dyDescent="0.3">
      <c r="Q502" s="84">
        <f t="shared" si="56"/>
        <v>0</v>
      </c>
    </row>
    <row r="503" spans="17:17" ht="14.4" x14ac:dyDescent="0.3">
      <c r="Q503" s="84">
        <f t="shared" si="56"/>
        <v>0</v>
      </c>
    </row>
    <row r="504" spans="17:17" ht="14.4" x14ac:dyDescent="0.3">
      <c r="Q504" s="84">
        <f t="shared" si="56"/>
        <v>0</v>
      </c>
    </row>
    <row r="505" spans="17:17" ht="14.4" x14ac:dyDescent="0.3">
      <c r="Q505" s="84">
        <f t="shared" si="56"/>
        <v>0</v>
      </c>
    </row>
    <row r="506" spans="17:17" ht="14.4" x14ac:dyDescent="0.3">
      <c r="Q506" s="84">
        <f t="shared" si="56"/>
        <v>0</v>
      </c>
    </row>
    <row r="507" spans="17:17" ht="14.4" x14ac:dyDescent="0.3">
      <c r="Q507" s="84">
        <f t="shared" si="56"/>
        <v>0</v>
      </c>
    </row>
    <row r="508" spans="17:17" ht="14.4" x14ac:dyDescent="0.3">
      <c r="Q508" s="84">
        <f t="shared" si="56"/>
        <v>0</v>
      </c>
    </row>
    <row r="509" spans="17:17" ht="14.4" x14ac:dyDescent="0.3">
      <c r="Q509" s="84">
        <f t="shared" si="56"/>
        <v>0</v>
      </c>
    </row>
    <row r="510" spans="17:17" ht="14.4" x14ac:dyDescent="0.3">
      <c r="Q510" s="84">
        <f t="shared" si="56"/>
        <v>0</v>
      </c>
    </row>
    <row r="511" spans="17:17" ht="14.4" x14ac:dyDescent="0.3">
      <c r="Q511" s="84">
        <f t="shared" si="56"/>
        <v>0</v>
      </c>
    </row>
    <row r="512" spans="17:17" ht="14.4" x14ac:dyDescent="0.3">
      <c r="Q512" s="84">
        <f t="shared" ref="Q512:Q766" si="57">SUM(R512:V512)</f>
        <v>0</v>
      </c>
    </row>
    <row r="513" spans="17:17" ht="14.4" x14ac:dyDescent="0.3">
      <c r="Q513" s="84">
        <f t="shared" si="57"/>
        <v>0</v>
      </c>
    </row>
    <row r="514" spans="17:17" ht="14.4" x14ac:dyDescent="0.3">
      <c r="Q514" s="84">
        <f t="shared" si="57"/>
        <v>0</v>
      </c>
    </row>
    <row r="515" spans="17:17" ht="14.4" x14ac:dyDescent="0.3">
      <c r="Q515" s="84">
        <f t="shared" si="57"/>
        <v>0</v>
      </c>
    </row>
    <row r="516" spans="17:17" ht="14.4" x14ac:dyDescent="0.3">
      <c r="Q516" s="84">
        <f t="shared" si="57"/>
        <v>0</v>
      </c>
    </row>
    <row r="517" spans="17:17" ht="14.4" x14ac:dyDescent="0.3">
      <c r="Q517" s="84">
        <f t="shared" si="57"/>
        <v>0</v>
      </c>
    </row>
    <row r="518" spans="17:17" ht="14.4" x14ac:dyDescent="0.3">
      <c r="Q518" s="84">
        <f t="shared" si="57"/>
        <v>0</v>
      </c>
    </row>
    <row r="519" spans="17:17" ht="14.4" x14ac:dyDescent="0.3">
      <c r="Q519" s="84">
        <f t="shared" si="57"/>
        <v>0</v>
      </c>
    </row>
    <row r="520" spans="17:17" ht="14.4" x14ac:dyDescent="0.3">
      <c r="Q520" s="84">
        <f t="shared" si="57"/>
        <v>0</v>
      </c>
    </row>
    <row r="521" spans="17:17" ht="14.4" x14ac:dyDescent="0.3">
      <c r="Q521" s="84">
        <f t="shared" si="57"/>
        <v>0</v>
      </c>
    </row>
    <row r="522" spans="17:17" ht="14.4" x14ac:dyDescent="0.3">
      <c r="Q522" s="84">
        <f t="shared" si="57"/>
        <v>0</v>
      </c>
    </row>
    <row r="523" spans="17:17" ht="14.4" x14ac:dyDescent="0.3">
      <c r="Q523" s="84">
        <f t="shared" si="57"/>
        <v>0</v>
      </c>
    </row>
    <row r="524" spans="17:17" ht="14.4" x14ac:dyDescent="0.3">
      <c r="Q524" s="84">
        <f t="shared" si="57"/>
        <v>0</v>
      </c>
    </row>
    <row r="525" spans="17:17" ht="14.4" x14ac:dyDescent="0.3">
      <c r="Q525" s="84">
        <f t="shared" si="57"/>
        <v>0</v>
      </c>
    </row>
    <row r="526" spans="17:17" ht="14.4" x14ac:dyDescent="0.3">
      <c r="Q526" s="84">
        <f t="shared" si="57"/>
        <v>0</v>
      </c>
    </row>
    <row r="527" spans="17:17" ht="14.4" x14ac:dyDescent="0.3">
      <c r="Q527" s="84">
        <f t="shared" si="57"/>
        <v>0</v>
      </c>
    </row>
    <row r="528" spans="17:17" ht="14.4" x14ac:dyDescent="0.3">
      <c r="Q528" s="84">
        <f t="shared" si="57"/>
        <v>0</v>
      </c>
    </row>
    <row r="529" spans="17:17" ht="14.4" x14ac:dyDescent="0.3">
      <c r="Q529" s="84">
        <f t="shared" si="57"/>
        <v>0</v>
      </c>
    </row>
    <row r="530" spans="17:17" ht="14.4" x14ac:dyDescent="0.3">
      <c r="Q530" s="84">
        <f t="shared" si="57"/>
        <v>0</v>
      </c>
    </row>
    <row r="531" spans="17:17" ht="14.4" x14ac:dyDescent="0.3">
      <c r="Q531" s="84">
        <f t="shared" si="57"/>
        <v>0</v>
      </c>
    </row>
    <row r="532" spans="17:17" ht="14.4" x14ac:dyDescent="0.3">
      <c r="Q532" s="84">
        <f t="shared" si="57"/>
        <v>0</v>
      </c>
    </row>
    <row r="533" spans="17:17" ht="14.4" x14ac:dyDescent="0.3">
      <c r="Q533" s="84">
        <f t="shared" si="57"/>
        <v>0</v>
      </c>
    </row>
    <row r="534" spans="17:17" ht="14.4" x14ac:dyDescent="0.3">
      <c r="Q534" s="84">
        <f t="shared" si="57"/>
        <v>0</v>
      </c>
    </row>
    <row r="535" spans="17:17" ht="14.4" x14ac:dyDescent="0.3">
      <c r="Q535" s="84">
        <f t="shared" si="57"/>
        <v>0</v>
      </c>
    </row>
    <row r="536" spans="17:17" ht="14.4" x14ac:dyDescent="0.3">
      <c r="Q536" s="84">
        <f t="shared" si="57"/>
        <v>0</v>
      </c>
    </row>
    <row r="537" spans="17:17" ht="14.4" x14ac:dyDescent="0.3">
      <c r="Q537" s="84">
        <f t="shared" si="57"/>
        <v>0</v>
      </c>
    </row>
    <row r="538" spans="17:17" ht="14.4" x14ac:dyDescent="0.3">
      <c r="Q538" s="84">
        <f t="shared" si="57"/>
        <v>0</v>
      </c>
    </row>
    <row r="539" spans="17:17" ht="14.4" x14ac:dyDescent="0.3">
      <c r="Q539" s="84">
        <f t="shared" si="57"/>
        <v>0</v>
      </c>
    </row>
    <row r="540" spans="17:17" ht="14.4" x14ac:dyDescent="0.3">
      <c r="Q540" s="84">
        <f t="shared" si="57"/>
        <v>0</v>
      </c>
    </row>
    <row r="541" spans="17:17" ht="14.4" x14ac:dyDescent="0.3">
      <c r="Q541" s="84">
        <f t="shared" si="57"/>
        <v>0</v>
      </c>
    </row>
    <row r="542" spans="17:17" ht="14.4" x14ac:dyDescent="0.3">
      <c r="Q542" s="84">
        <f t="shared" si="57"/>
        <v>0</v>
      </c>
    </row>
    <row r="543" spans="17:17" ht="14.4" x14ac:dyDescent="0.3">
      <c r="Q543" s="84">
        <f t="shared" si="57"/>
        <v>0</v>
      </c>
    </row>
    <row r="544" spans="17:17" ht="14.4" x14ac:dyDescent="0.3">
      <c r="Q544" s="84">
        <f t="shared" si="57"/>
        <v>0</v>
      </c>
    </row>
    <row r="545" spans="17:17" ht="14.4" x14ac:dyDescent="0.3">
      <c r="Q545" s="84">
        <f t="shared" si="57"/>
        <v>0</v>
      </c>
    </row>
    <row r="546" spans="17:17" ht="14.4" x14ac:dyDescent="0.3">
      <c r="Q546" s="84">
        <f t="shared" si="57"/>
        <v>0</v>
      </c>
    </row>
    <row r="547" spans="17:17" ht="14.4" x14ac:dyDescent="0.3">
      <c r="Q547" s="84">
        <f t="shared" si="57"/>
        <v>0</v>
      </c>
    </row>
    <row r="548" spans="17:17" ht="14.4" x14ac:dyDescent="0.3">
      <c r="Q548" s="84">
        <f t="shared" si="57"/>
        <v>0</v>
      </c>
    </row>
    <row r="549" spans="17:17" ht="14.4" x14ac:dyDescent="0.3">
      <c r="Q549" s="84">
        <f t="shared" si="57"/>
        <v>0</v>
      </c>
    </row>
    <row r="550" spans="17:17" ht="14.4" x14ac:dyDescent="0.3">
      <c r="Q550" s="84">
        <f t="shared" si="57"/>
        <v>0</v>
      </c>
    </row>
    <row r="551" spans="17:17" ht="14.4" x14ac:dyDescent="0.3">
      <c r="Q551" s="84">
        <f t="shared" si="57"/>
        <v>0</v>
      </c>
    </row>
    <row r="552" spans="17:17" ht="14.4" x14ac:dyDescent="0.3">
      <c r="Q552" s="84">
        <f t="shared" si="57"/>
        <v>0</v>
      </c>
    </row>
    <row r="553" spans="17:17" ht="14.4" x14ac:dyDescent="0.3">
      <c r="Q553" s="84">
        <f t="shared" si="57"/>
        <v>0</v>
      </c>
    </row>
    <row r="554" spans="17:17" ht="14.4" x14ac:dyDescent="0.3">
      <c r="Q554" s="84">
        <f t="shared" si="57"/>
        <v>0</v>
      </c>
    </row>
    <row r="555" spans="17:17" ht="14.4" x14ac:dyDescent="0.3">
      <c r="Q555" s="84">
        <f t="shared" si="57"/>
        <v>0</v>
      </c>
    </row>
    <row r="556" spans="17:17" ht="14.4" x14ac:dyDescent="0.3">
      <c r="Q556" s="84">
        <f t="shared" si="57"/>
        <v>0</v>
      </c>
    </row>
    <row r="557" spans="17:17" ht="14.4" x14ac:dyDescent="0.3">
      <c r="Q557" s="84">
        <f t="shared" si="57"/>
        <v>0</v>
      </c>
    </row>
    <row r="558" spans="17:17" ht="14.4" x14ac:dyDescent="0.3">
      <c r="Q558" s="84">
        <f t="shared" si="57"/>
        <v>0</v>
      </c>
    </row>
    <row r="559" spans="17:17" ht="14.4" x14ac:dyDescent="0.3">
      <c r="Q559" s="84">
        <f t="shared" si="57"/>
        <v>0</v>
      </c>
    </row>
    <row r="560" spans="17:17" ht="14.4" x14ac:dyDescent="0.3">
      <c r="Q560" s="84">
        <f t="shared" si="57"/>
        <v>0</v>
      </c>
    </row>
    <row r="561" spans="17:17" ht="14.4" x14ac:dyDescent="0.3">
      <c r="Q561" s="84">
        <f t="shared" si="57"/>
        <v>0</v>
      </c>
    </row>
    <row r="562" spans="17:17" ht="14.4" x14ac:dyDescent="0.3">
      <c r="Q562" s="84">
        <f t="shared" si="57"/>
        <v>0</v>
      </c>
    </row>
    <row r="563" spans="17:17" ht="14.4" x14ac:dyDescent="0.3">
      <c r="Q563" s="84">
        <f t="shared" si="57"/>
        <v>0</v>
      </c>
    </row>
    <row r="564" spans="17:17" ht="14.4" x14ac:dyDescent="0.3">
      <c r="Q564" s="84">
        <f t="shared" si="57"/>
        <v>0</v>
      </c>
    </row>
    <row r="565" spans="17:17" ht="14.4" x14ac:dyDescent="0.3">
      <c r="Q565" s="84">
        <f t="shared" si="57"/>
        <v>0</v>
      </c>
    </row>
    <row r="566" spans="17:17" ht="14.4" x14ac:dyDescent="0.3">
      <c r="Q566" s="84">
        <f t="shared" si="57"/>
        <v>0</v>
      </c>
    </row>
    <row r="567" spans="17:17" ht="14.4" x14ac:dyDescent="0.3">
      <c r="Q567" s="84">
        <f t="shared" si="57"/>
        <v>0</v>
      </c>
    </row>
    <row r="568" spans="17:17" ht="14.4" x14ac:dyDescent="0.3">
      <c r="Q568" s="84">
        <f t="shared" si="57"/>
        <v>0</v>
      </c>
    </row>
    <row r="569" spans="17:17" ht="14.4" x14ac:dyDescent="0.3">
      <c r="Q569" s="84">
        <f t="shared" si="57"/>
        <v>0</v>
      </c>
    </row>
    <row r="570" spans="17:17" ht="14.4" x14ac:dyDescent="0.3">
      <c r="Q570" s="84">
        <f t="shared" si="57"/>
        <v>0</v>
      </c>
    </row>
    <row r="571" spans="17:17" ht="14.4" x14ac:dyDescent="0.3">
      <c r="Q571" s="84">
        <f t="shared" si="57"/>
        <v>0</v>
      </c>
    </row>
    <row r="572" spans="17:17" ht="14.4" x14ac:dyDescent="0.3">
      <c r="Q572" s="84">
        <f t="shared" si="57"/>
        <v>0</v>
      </c>
    </row>
    <row r="573" spans="17:17" ht="14.4" x14ac:dyDescent="0.3">
      <c r="Q573" s="84">
        <f t="shared" si="57"/>
        <v>0</v>
      </c>
    </row>
    <row r="574" spans="17:17" ht="14.4" x14ac:dyDescent="0.3">
      <c r="Q574" s="84">
        <f t="shared" si="57"/>
        <v>0</v>
      </c>
    </row>
    <row r="575" spans="17:17" ht="14.4" x14ac:dyDescent="0.3">
      <c r="Q575" s="84">
        <f t="shared" si="57"/>
        <v>0</v>
      </c>
    </row>
    <row r="576" spans="17:17" ht="14.4" x14ac:dyDescent="0.3">
      <c r="Q576" s="84">
        <f t="shared" si="57"/>
        <v>0</v>
      </c>
    </row>
    <row r="577" spans="17:17" ht="14.4" x14ac:dyDescent="0.3">
      <c r="Q577" s="84">
        <f t="shared" si="57"/>
        <v>0</v>
      </c>
    </row>
    <row r="578" spans="17:17" ht="14.4" x14ac:dyDescent="0.3">
      <c r="Q578" s="84">
        <f t="shared" si="57"/>
        <v>0</v>
      </c>
    </row>
    <row r="579" spans="17:17" ht="14.4" x14ac:dyDescent="0.3">
      <c r="Q579" s="84">
        <f t="shared" si="57"/>
        <v>0</v>
      </c>
    </row>
    <row r="580" spans="17:17" ht="14.4" x14ac:dyDescent="0.3">
      <c r="Q580" s="84">
        <f t="shared" si="57"/>
        <v>0</v>
      </c>
    </row>
    <row r="581" spans="17:17" ht="14.4" x14ac:dyDescent="0.3">
      <c r="Q581" s="84">
        <f t="shared" si="57"/>
        <v>0</v>
      </c>
    </row>
    <row r="582" spans="17:17" ht="14.4" x14ac:dyDescent="0.3">
      <c r="Q582" s="84">
        <f t="shared" si="57"/>
        <v>0</v>
      </c>
    </row>
    <row r="583" spans="17:17" ht="14.4" x14ac:dyDescent="0.3">
      <c r="Q583" s="84">
        <f t="shared" si="57"/>
        <v>0</v>
      </c>
    </row>
    <row r="584" spans="17:17" ht="14.4" x14ac:dyDescent="0.3">
      <c r="Q584" s="84">
        <f t="shared" si="57"/>
        <v>0</v>
      </c>
    </row>
    <row r="585" spans="17:17" ht="14.4" x14ac:dyDescent="0.3">
      <c r="Q585" s="84">
        <f t="shared" si="57"/>
        <v>0</v>
      </c>
    </row>
    <row r="586" spans="17:17" ht="14.4" x14ac:dyDescent="0.3">
      <c r="Q586" s="84">
        <f t="shared" si="57"/>
        <v>0</v>
      </c>
    </row>
    <row r="587" spans="17:17" ht="14.4" x14ac:dyDescent="0.3">
      <c r="Q587" s="84">
        <f t="shared" si="57"/>
        <v>0</v>
      </c>
    </row>
    <row r="588" spans="17:17" ht="14.4" x14ac:dyDescent="0.3">
      <c r="Q588" s="84">
        <f t="shared" si="57"/>
        <v>0</v>
      </c>
    </row>
    <row r="589" spans="17:17" ht="14.4" x14ac:dyDescent="0.3">
      <c r="Q589" s="84">
        <f t="shared" si="57"/>
        <v>0</v>
      </c>
    </row>
    <row r="590" spans="17:17" ht="14.4" x14ac:dyDescent="0.3">
      <c r="Q590" s="84">
        <f t="shared" si="57"/>
        <v>0</v>
      </c>
    </row>
    <row r="591" spans="17:17" ht="14.4" x14ac:dyDescent="0.3">
      <c r="Q591" s="84">
        <f t="shared" si="57"/>
        <v>0</v>
      </c>
    </row>
    <row r="592" spans="17:17" ht="14.4" x14ac:dyDescent="0.3">
      <c r="Q592" s="84">
        <f t="shared" si="57"/>
        <v>0</v>
      </c>
    </row>
    <row r="593" spans="17:17" ht="14.4" x14ac:dyDescent="0.3">
      <c r="Q593" s="84">
        <f t="shared" si="57"/>
        <v>0</v>
      </c>
    </row>
    <row r="594" spans="17:17" ht="14.4" x14ac:dyDescent="0.3">
      <c r="Q594" s="84">
        <f t="shared" si="57"/>
        <v>0</v>
      </c>
    </row>
    <row r="595" spans="17:17" ht="14.4" x14ac:dyDescent="0.3">
      <c r="Q595" s="84">
        <f t="shared" si="57"/>
        <v>0</v>
      </c>
    </row>
    <row r="596" spans="17:17" ht="14.4" x14ac:dyDescent="0.3">
      <c r="Q596" s="84">
        <f t="shared" si="57"/>
        <v>0</v>
      </c>
    </row>
    <row r="597" spans="17:17" ht="14.4" x14ac:dyDescent="0.3">
      <c r="Q597" s="84">
        <f t="shared" si="57"/>
        <v>0</v>
      </c>
    </row>
    <row r="598" spans="17:17" ht="14.4" x14ac:dyDescent="0.3">
      <c r="Q598" s="84">
        <f t="shared" si="57"/>
        <v>0</v>
      </c>
    </row>
    <row r="599" spans="17:17" ht="14.4" x14ac:dyDescent="0.3">
      <c r="Q599" s="84">
        <f t="shared" si="57"/>
        <v>0</v>
      </c>
    </row>
    <row r="600" spans="17:17" ht="14.4" x14ac:dyDescent="0.3">
      <c r="Q600" s="84">
        <f t="shared" si="57"/>
        <v>0</v>
      </c>
    </row>
    <row r="601" spans="17:17" ht="14.4" x14ac:dyDescent="0.3">
      <c r="Q601" s="84">
        <f t="shared" si="57"/>
        <v>0</v>
      </c>
    </row>
    <row r="602" spans="17:17" ht="14.4" x14ac:dyDescent="0.3">
      <c r="Q602" s="84">
        <f t="shared" si="57"/>
        <v>0</v>
      </c>
    </row>
    <row r="603" spans="17:17" ht="14.4" x14ac:dyDescent="0.3">
      <c r="Q603" s="84">
        <f t="shared" si="57"/>
        <v>0</v>
      </c>
    </row>
    <row r="604" spans="17:17" ht="14.4" x14ac:dyDescent="0.3">
      <c r="Q604" s="84">
        <f t="shared" si="57"/>
        <v>0</v>
      </c>
    </row>
    <row r="605" spans="17:17" ht="14.4" x14ac:dyDescent="0.3">
      <c r="Q605" s="84">
        <f t="shared" si="57"/>
        <v>0</v>
      </c>
    </row>
    <row r="606" spans="17:17" ht="14.4" x14ac:dyDescent="0.3">
      <c r="Q606" s="84">
        <f t="shared" si="57"/>
        <v>0</v>
      </c>
    </row>
    <row r="607" spans="17:17" ht="14.4" x14ac:dyDescent="0.3">
      <c r="Q607" s="84">
        <f t="shared" si="57"/>
        <v>0</v>
      </c>
    </row>
    <row r="608" spans="17:17" ht="14.4" x14ac:dyDescent="0.3">
      <c r="Q608" s="84">
        <f t="shared" si="57"/>
        <v>0</v>
      </c>
    </row>
    <row r="609" spans="17:17" ht="14.4" x14ac:dyDescent="0.3">
      <c r="Q609" s="84">
        <f t="shared" si="57"/>
        <v>0</v>
      </c>
    </row>
    <row r="610" spans="17:17" ht="14.4" x14ac:dyDescent="0.3">
      <c r="Q610" s="84">
        <f t="shared" si="57"/>
        <v>0</v>
      </c>
    </row>
    <row r="611" spans="17:17" ht="14.4" x14ac:dyDescent="0.3">
      <c r="Q611" s="84">
        <f t="shared" si="57"/>
        <v>0</v>
      </c>
    </row>
    <row r="612" spans="17:17" ht="14.4" x14ac:dyDescent="0.3">
      <c r="Q612" s="84">
        <f t="shared" si="57"/>
        <v>0</v>
      </c>
    </row>
    <row r="613" spans="17:17" ht="14.4" x14ac:dyDescent="0.3">
      <c r="Q613" s="84">
        <f t="shared" si="57"/>
        <v>0</v>
      </c>
    </row>
    <row r="614" spans="17:17" ht="14.4" x14ac:dyDescent="0.3">
      <c r="Q614" s="84">
        <f t="shared" si="57"/>
        <v>0</v>
      </c>
    </row>
    <row r="615" spans="17:17" ht="14.4" x14ac:dyDescent="0.3">
      <c r="Q615" s="84">
        <f t="shared" si="57"/>
        <v>0</v>
      </c>
    </row>
    <row r="616" spans="17:17" ht="14.4" x14ac:dyDescent="0.3">
      <c r="Q616" s="84">
        <f t="shared" si="57"/>
        <v>0</v>
      </c>
    </row>
    <row r="617" spans="17:17" ht="14.4" x14ac:dyDescent="0.3">
      <c r="Q617" s="84">
        <f t="shared" si="57"/>
        <v>0</v>
      </c>
    </row>
    <row r="618" spans="17:17" ht="14.4" x14ac:dyDescent="0.3">
      <c r="Q618" s="84">
        <f t="shared" si="57"/>
        <v>0</v>
      </c>
    </row>
    <row r="619" spans="17:17" ht="14.4" x14ac:dyDescent="0.3">
      <c r="Q619" s="84">
        <f t="shared" si="57"/>
        <v>0</v>
      </c>
    </row>
    <row r="620" spans="17:17" ht="14.4" x14ac:dyDescent="0.3">
      <c r="Q620" s="84">
        <f t="shared" si="57"/>
        <v>0</v>
      </c>
    </row>
    <row r="621" spans="17:17" ht="14.4" x14ac:dyDescent="0.3">
      <c r="Q621" s="84">
        <f t="shared" si="57"/>
        <v>0</v>
      </c>
    </row>
    <row r="622" spans="17:17" ht="14.4" x14ac:dyDescent="0.3">
      <c r="Q622" s="84">
        <f t="shared" si="57"/>
        <v>0</v>
      </c>
    </row>
    <row r="623" spans="17:17" ht="14.4" x14ac:dyDescent="0.3">
      <c r="Q623" s="84">
        <f t="shared" si="57"/>
        <v>0</v>
      </c>
    </row>
    <row r="624" spans="17:17" ht="14.4" x14ac:dyDescent="0.3">
      <c r="Q624" s="84">
        <f t="shared" si="57"/>
        <v>0</v>
      </c>
    </row>
    <row r="625" spans="17:17" ht="14.4" x14ac:dyDescent="0.3">
      <c r="Q625" s="84">
        <f t="shared" si="57"/>
        <v>0</v>
      </c>
    </row>
    <row r="626" spans="17:17" ht="14.4" x14ac:dyDescent="0.3">
      <c r="Q626" s="84">
        <f t="shared" si="57"/>
        <v>0</v>
      </c>
    </row>
    <row r="627" spans="17:17" ht="14.4" x14ac:dyDescent="0.3">
      <c r="Q627" s="84">
        <f t="shared" si="57"/>
        <v>0</v>
      </c>
    </row>
    <row r="628" spans="17:17" ht="14.4" x14ac:dyDescent="0.3">
      <c r="Q628" s="84">
        <f t="shared" si="57"/>
        <v>0</v>
      </c>
    </row>
    <row r="629" spans="17:17" ht="14.4" x14ac:dyDescent="0.3">
      <c r="Q629" s="84">
        <f t="shared" si="57"/>
        <v>0</v>
      </c>
    </row>
    <row r="630" spans="17:17" ht="14.4" x14ac:dyDescent="0.3">
      <c r="Q630" s="84">
        <f t="shared" si="57"/>
        <v>0</v>
      </c>
    </row>
    <row r="631" spans="17:17" ht="14.4" x14ac:dyDescent="0.3">
      <c r="Q631" s="84">
        <f t="shared" si="57"/>
        <v>0</v>
      </c>
    </row>
    <row r="632" spans="17:17" ht="14.4" x14ac:dyDescent="0.3">
      <c r="Q632" s="84">
        <f t="shared" si="57"/>
        <v>0</v>
      </c>
    </row>
    <row r="633" spans="17:17" ht="14.4" x14ac:dyDescent="0.3">
      <c r="Q633" s="84">
        <f t="shared" si="57"/>
        <v>0</v>
      </c>
    </row>
    <row r="634" spans="17:17" ht="14.4" x14ac:dyDescent="0.3">
      <c r="Q634" s="84">
        <f t="shared" si="57"/>
        <v>0</v>
      </c>
    </row>
    <row r="635" spans="17:17" ht="14.4" x14ac:dyDescent="0.3">
      <c r="Q635" s="84">
        <f t="shared" si="57"/>
        <v>0</v>
      </c>
    </row>
    <row r="636" spans="17:17" ht="14.4" x14ac:dyDescent="0.3">
      <c r="Q636" s="84">
        <f t="shared" si="57"/>
        <v>0</v>
      </c>
    </row>
    <row r="637" spans="17:17" ht="14.4" x14ac:dyDescent="0.3">
      <c r="Q637" s="84">
        <f t="shared" si="57"/>
        <v>0</v>
      </c>
    </row>
    <row r="638" spans="17:17" ht="14.4" x14ac:dyDescent="0.3">
      <c r="Q638" s="84">
        <f t="shared" si="57"/>
        <v>0</v>
      </c>
    </row>
    <row r="639" spans="17:17" ht="14.4" x14ac:dyDescent="0.3">
      <c r="Q639" s="84">
        <f t="shared" si="57"/>
        <v>0</v>
      </c>
    </row>
    <row r="640" spans="17:17" ht="14.4" x14ac:dyDescent="0.3">
      <c r="Q640" s="84">
        <f t="shared" si="57"/>
        <v>0</v>
      </c>
    </row>
    <row r="641" spans="17:17" ht="14.4" x14ac:dyDescent="0.3">
      <c r="Q641" s="84">
        <f t="shared" si="57"/>
        <v>0</v>
      </c>
    </row>
    <row r="642" spans="17:17" ht="14.4" x14ac:dyDescent="0.3">
      <c r="Q642" s="84">
        <f t="shared" si="57"/>
        <v>0</v>
      </c>
    </row>
    <row r="643" spans="17:17" ht="14.4" x14ac:dyDescent="0.3">
      <c r="Q643" s="84">
        <f t="shared" si="57"/>
        <v>0</v>
      </c>
    </row>
    <row r="644" spans="17:17" ht="14.4" x14ac:dyDescent="0.3">
      <c r="Q644" s="84">
        <f t="shared" si="57"/>
        <v>0</v>
      </c>
    </row>
    <row r="645" spans="17:17" ht="14.4" x14ac:dyDescent="0.3">
      <c r="Q645" s="84">
        <f t="shared" si="57"/>
        <v>0</v>
      </c>
    </row>
    <row r="646" spans="17:17" ht="14.4" x14ac:dyDescent="0.3">
      <c r="Q646" s="84">
        <f t="shared" si="57"/>
        <v>0</v>
      </c>
    </row>
    <row r="647" spans="17:17" ht="14.4" x14ac:dyDescent="0.3">
      <c r="Q647" s="84">
        <f t="shared" si="57"/>
        <v>0</v>
      </c>
    </row>
    <row r="648" spans="17:17" ht="14.4" x14ac:dyDescent="0.3">
      <c r="Q648" s="84">
        <f t="shared" si="57"/>
        <v>0</v>
      </c>
    </row>
    <row r="649" spans="17:17" ht="14.4" x14ac:dyDescent="0.3">
      <c r="Q649" s="84">
        <f t="shared" si="57"/>
        <v>0</v>
      </c>
    </row>
    <row r="650" spans="17:17" ht="14.4" x14ac:dyDescent="0.3">
      <c r="Q650" s="84">
        <f t="shared" si="57"/>
        <v>0</v>
      </c>
    </row>
    <row r="651" spans="17:17" ht="14.4" x14ac:dyDescent="0.3">
      <c r="Q651" s="84">
        <f t="shared" si="57"/>
        <v>0</v>
      </c>
    </row>
    <row r="652" spans="17:17" ht="14.4" x14ac:dyDescent="0.3">
      <c r="Q652" s="84">
        <f t="shared" si="57"/>
        <v>0</v>
      </c>
    </row>
    <row r="653" spans="17:17" ht="14.4" x14ac:dyDescent="0.3">
      <c r="Q653" s="84">
        <f t="shared" si="57"/>
        <v>0</v>
      </c>
    </row>
    <row r="654" spans="17:17" ht="14.4" x14ac:dyDescent="0.3">
      <c r="Q654" s="84">
        <f t="shared" si="57"/>
        <v>0</v>
      </c>
    </row>
    <row r="655" spans="17:17" ht="14.4" x14ac:dyDescent="0.3">
      <c r="Q655" s="84">
        <f t="shared" si="57"/>
        <v>0</v>
      </c>
    </row>
    <row r="656" spans="17:17" ht="14.4" x14ac:dyDescent="0.3">
      <c r="Q656" s="84">
        <f t="shared" si="57"/>
        <v>0</v>
      </c>
    </row>
    <row r="657" spans="17:17" ht="14.4" x14ac:dyDescent="0.3">
      <c r="Q657" s="84">
        <f t="shared" si="57"/>
        <v>0</v>
      </c>
    </row>
    <row r="658" spans="17:17" ht="14.4" x14ac:dyDescent="0.3">
      <c r="Q658" s="84">
        <f t="shared" si="57"/>
        <v>0</v>
      </c>
    </row>
    <row r="659" spans="17:17" ht="14.4" x14ac:dyDescent="0.3">
      <c r="Q659" s="84">
        <f t="shared" si="57"/>
        <v>0</v>
      </c>
    </row>
    <row r="660" spans="17:17" ht="14.4" x14ac:dyDescent="0.3">
      <c r="Q660" s="84">
        <f t="shared" si="57"/>
        <v>0</v>
      </c>
    </row>
    <row r="661" spans="17:17" ht="14.4" x14ac:dyDescent="0.3">
      <c r="Q661" s="84">
        <f t="shared" si="57"/>
        <v>0</v>
      </c>
    </row>
    <row r="662" spans="17:17" ht="14.4" x14ac:dyDescent="0.3">
      <c r="Q662" s="84">
        <f t="shared" si="57"/>
        <v>0</v>
      </c>
    </row>
    <row r="663" spans="17:17" ht="14.4" x14ac:dyDescent="0.3">
      <c r="Q663" s="84">
        <f t="shared" si="57"/>
        <v>0</v>
      </c>
    </row>
    <row r="664" spans="17:17" ht="14.4" x14ac:dyDescent="0.3">
      <c r="Q664" s="84">
        <f t="shared" si="57"/>
        <v>0</v>
      </c>
    </row>
    <row r="665" spans="17:17" ht="14.4" x14ac:dyDescent="0.3">
      <c r="Q665" s="84">
        <f t="shared" si="57"/>
        <v>0</v>
      </c>
    </row>
    <row r="666" spans="17:17" ht="14.4" x14ac:dyDescent="0.3">
      <c r="Q666" s="84">
        <f t="shared" si="57"/>
        <v>0</v>
      </c>
    </row>
    <row r="667" spans="17:17" ht="14.4" x14ac:dyDescent="0.3">
      <c r="Q667" s="84">
        <f t="shared" si="57"/>
        <v>0</v>
      </c>
    </row>
    <row r="668" spans="17:17" ht="14.4" x14ac:dyDescent="0.3">
      <c r="Q668" s="84">
        <f t="shared" si="57"/>
        <v>0</v>
      </c>
    </row>
    <row r="669" spans="17:17" ht="14.4" x14ac:dyDescent="0.3">
      <c r="Q669" s="84">
        <f t="shared" si="57"/>
        <v>0</v>
      </c>
    </row>
    <row r="670" spans="17:17" ht="14.4" x14ac:dyDescent="0.3">
      <c r="Q670" s="84">
        <f t="shared" si="57"/>
        <v>0</v>
      </c>
    </row>
    <row r="671" spans="17:17" ht="14.4" x14ac:dyDescent="0.3">
      <c r="Q671" s="84">
        <f t="shared" si="57"/>
        <v>0</v>
      </c>
    </row>
    <row r="672" spans="17:17" ht="14.4" x14ac:dyDescent="0.3">
      <c r="Q672" s="84">
        <f t="shared" si="57"/>
        <v>0</v>
      </c>
    </row>
    <row r="673" spans="17:17" ht="14.4" x14ac:dyDescent="0.3">
      <c r="Q673" s="84">
        <f t="shared" si="57"/>
        <v>0</v>
      </c>
    </row>
    <row r="674" spans="17:17" ht="14.4" x14ac:dyDescent="0.3">
      <c r="Q674" s="84">
        <f t="shared" si="57"/>
        <v>0</v>
      </c>
    </row>
    <row r="675" spans="17:17" ht="14.4" x14ac:dyDescent="0.3">
      <c r="Q675" s="84">
        <f t="shared" si="57"/>
        <v>0</v>
      </c>
    </row>
    <row r="676" spans="17:17" ht="14.4" x14ac:dyDescent="0.3">
      <c r="Q676" s="84">
        <f t="shared" si="57"/>
        <v>0</v>
      </c>
    </row>
    <row r="677" spans="17:17" ht="14.4" x14ac:dyDescent="0.3">
      <c r="Q677" s="84">
        <f t="shared" si="57"/>
        <v>0</v>
      </c>
    </row>
    <row r="678" spans="17:17" ht="14.4" x14ac:dyDescent="0.3">
      <c r="Q678" s="84">
        <f t="shared" si="57"/>
        <v>0</v>
      </c>
    </row>
    <row r="679" spans="17:17" ht="14.4" x14ac:dyDescent="0.3">
      <c r="Q679" s="84">
        <f t="shared" si="57"/>
        <v>0</v>
      </c>
    </row>
    <row r="680" spans="17:17" ht="14.4" x14ac:dyDescent="0.3">
      <c r="Q680" s="84">
        <f t="shared" si="57"/>
        <v>0</v>
      </c>
    </row>
    <row r="681" spans="17:17" ht="14.4" x14ac:dyDescent="0.3">
      <c r="Q681" s="84">
        <f t="shared" si="57"/>
        <v>0</v>
      </c>
    </row>
    <row r="682" spans="17:17" ht="14.4" x14ac:dyDescent="0.3">
      <c r="Q682" s="84">
        <f t="shared" si="57"/>
        <v>0</v>
      </c>
    </row>
    <row r="683" spans="17:17" ht="14.4" x14ac:dyDescent="0.3">
      <c r="Q683" s="84">
        <f t="shared" si="57"/>
        <v>0</v>
      </c>
    </row>
    <row r="684" spans="17:17" ht="14.4" x14ac:dyDescent="0.3">
      <c r="Q684" s="84">
        <f t="shared" si="57"/>
        <v>0</v>
      </c>
    </row>
    <row r="685" spans="17:17" ht="14.4" x14ac:dyDescent="0.3">
      <c r="Q685" s="84">
        <f t="shared" si="57"/>
        <v>0</v>
      </c>
    </row>
    <row r="686" spans="17:17" ht="14.4" x14ac:dyDescent="0.3">
      <c r="Q686" s="84">
        <f t="shared" si="57"/>
        <v>0</v>
      </c>
    </row>
    <row r="687" spans="17:17" ht="14.4" x14ac:dyDescent="0.3">
      <c r="Q687" s="84">
        <f t="shared" si="57"/>
        <v>0</v>
      </c>
    </row>
    <row r="688" spans="17:17" ht="14.4" x14ac:dyDescent="0.3">
      <c r="Q688" s="84">
        <f t="shared" si="57"/>
        <v>0</v>
      </c>
    </row>
    <row r="689" spans="17:17" ht="14.4" x14ac:dyDescent="0.3">
      <c r="Q689" s="84">
        <f t="shared" si="57"/>
        <v>0</v>
      </c>
    </row>
    <row r="690" spans="17:17" ht="14.4" x14ac:dyDescent="0.3">
      <c r="Q690" s="84">
        <f t="shared" si="57"/>
        <v>0</v>
      </c>
    </row>
    <row r="691" spans="17:17" ht="14.4" x14ac:dyDescent="0.3">
      <c r="Q691" s="84">
        <f t="shared" si="57"/>
        <v>0</v>
      </c>
    </row>
    <row r="692" spans="17:17" ht="14.4" x14ac:dyDescent="0.3">
      <c r="Q692" s="84">
        <f t="shared" si="57"/>
        <v>0</v>
      </c>
    </row>
    <row r="693" spans="17:17" ht="14.4" x14ac:dyDescent="0.3">
      <c r="Q693" s="84">
        <f t="shared" si="57"/>
        <v>0</v>
      </c>
    </row>
    <row r="694" spans="17:17" ht="14.4" x14ac:dyDescent="0.3">
      <c r="Q694" s="84">
        <f t="shared" si="57"/>
        <v>0</v>
      </c>
    </row>
    <row r="695" spans="17:17" ht="14.4" x14ac:dyDescent="0.3">
      <c r="Q695" s="84">
        <f t="shared" si="57"/>
        <v>0</v>
      </c>
    </row>
    <row r="696" spans="17:17" ht="14.4" x14ac:dyDescent="0.3">
      <c r="Q696" s="84">
        <f t="shared" si="57"/>
        <v>0</v>
      </c>
    </row>
    <row r="697" spans="17:17" ht="14.4" x14ac:dyDescent="0.3">
      <c r="Q697" s="84">
        <f t="shared" si="57"/>
        <v>0</v>
      </c>
    </row>
    <row r="698" spans="17:17" ht="14.4" x14ac:dyDescent="0.3">
      <c r="Q698" s="84">
        <f t="shared" si="57"/>
        <v>0</v>
      </c>
    </row>
    <row r="699" spans="17:17" ht="14.4" x14ac:dyDescent="0.3">
      <c r="Q699" s="84">
        <f t="shared" si="57"/>
        <v>0</v>
      </c>
    </row>
    <row r="700" spans="17:17" ht="14.4" x14ac:dyDescent="0.3">
      <c r="Q700" s="84">
        <f t="shared" si="57"/>
        <v>0</v>
      </c>
    </row>
    <row r="701" spans="17:17" ht="14.4" x14ac:dyDescent="0.3">
      <c r="Q701" s="84">
        <f t="shared" si="57"/>
        <v>0</v>
      </c>
    </row>
    <row r="702" spans="17:17" ht="14.4" x14ac:dyDescent="0.3">
      <c r="Q702" s="84">
        <f t="shared" si="57"/>
        <v>0</v>
      </c>
    </row>
    <row r="703" spans="17:17" ht="14.4" x14ac:dyDescent="0.3">
      <c r="Q703" s="84">
        <f t="shared" si="57"/>
        <v>0</v>
      </c>
    </row>
    <row r="704" spans="17:17" ht="14.4" x14ac:dyDescent="0.3">
      <c r="Q704" s="84">
        <f t="shared" si="57"/>
        <v>0</v>
      </c>
    </row>
    <row r="705" spans="17:17" ht="14.4" x14ac:dyDescent="0.3">
      <c r="Q705" s="84">
        <f t="shared" si="57"/>
        <v>0</v>
      </c>
    </row>
    <row r="706" spans="17:17" ht="14.4" x14ac:dyDescent="0.3">
      <c r="Q706" s="84">
        <f t="shared" si="57"/>
        <v>0</v>
      </c>
    </row>
    <row r="707" spans="17:17" ht="14.4" x14ac:dyDescent="0.3">
      <c r="Q707" s="84">
        <f t="shared" si="57"/>
        <v>0</v>
      </c>
    </row>
    <row r="708" spans="17:17" ht="14.4" x14ac:dyDescent="0.3">
      <c r="Q708" s="84">
        <f t="shared" si="57"/>
        <v>0</v>
      </c>
    </row>
    <row r="709" spans="17:17" ht="14.4" x14ac:dyDescent="0.3">
      <c r="Q709" s="84">
        <f t="shared" si="57"/>
        <v>0</v>
      </c>
    </row>
    <row r="710" spans="17:17" ht="14.4" x14ac:dyDescent="0.3">
      <c r="Q710" s="84">
        <f t="shared" si="57"/>
        <v>0</v>
      </c>
    </row>
    <row r="711" spans="17:17" ht="14.4" x14ac:dyDescent="0.3">
      <c r="Q711" s="84">
        <f t="shared" si="57"/>
        <v>0</v>
      </c>
    </row>
    <row r="712" spans="17:17" ht="14.4" x14ac:dyDescent="0.3">
      <c r="Q712" s="84">
        <f t="shared" si="57"/>
        <v>0</v>
      </c>
    </row>
    <row r="713" spans="17:17" ht="14.4" x14ac:dyDescent="0.3">
      <c r="Q713" s="84">
        <f t="shared" si="57"/>
        <v>0</v>
      </c>
    </row>
    <row r="714" spans="17:17" ht="14.4" x14ac:dyDescent="0.3">
      <c r="Q714" s="84">
        <f t="shared" si="57"/>
        <v>0</v>
      </c>
    </row>
    <row r="715" spans="17:17" ht="14.4" x14ac:dyDescent="0.3">
      <c r="Q715" s="84">
        <f t="shared" si="57"/>
        <v>0</v>
      </c>
    </row>
    <row r="716" spans="17:17" ht="14.4" x14ac:dyDescent="0.3">
      <c r="Q716" s="84">
        <f t="shared" si="57"/>
        <v>0</v>
      </c>
    </row>
    <row r="717" spans="17:17" ht="14.4" x14ac:dyDescent="0.3">
      <c r="Q717" s="84">
        <f t="shared" si="57"/>
        <v>0</v>
      </c>
    </row>
    <row r="718" spans="17:17" ht="14.4" x14ac:dyDescent="0.3">
      <c r="Q718" s="84">
        <f t="shared" si="57"/>
        <v>0</v>
      </c>
    </row>
    <row r="719" spans="17:17" ht="14.4" x14ac:dyDescent="0.3">
      <c r="Q719" s="84">
        <f t="shared" si="57"/>
        <v>0</v>
      </c>
    </row>
    <row r="720" spans="17:17" ht="14.4" x14ac:dyDescent="0.3">
      <c r="Q720" s="84">
        <f t="shared" si="57"/>
        <v>0</v>
      </c>
    </row>
    <row r="721" spans="17:17" ht="14.4" x14ac:dyDescent="0.3">
      <c r="Q721" s="84">
        <f t="shared" si="57"/>
        <v>0</v>
      </c>
    </row>
    <row r="722" spans="17:17" ht="14.4" x14ac:dyDescent="0.3">
      <c r="Q722" s="84">
        <f t="shared" si="57"/>
        <v>0</v>
      </c>
    </row>
    <row r="723" spans="17:17" ht="14.4" x14ac:dyDescent="0.3">
      <c r="Q723" s="84">
        <f t="shared" si="57"/>
        <v>0</v>
      </c>
    </row>
    <row r="724" spans="17:17" ht="14.4" x14ac:dyDescent="0.3">
      <c r="Q724" s="84">
        <f t="shared" si="57"/>
        <v>0</v>
      </c>
    </row>
    <row r="725" spans="17:17" ht="14.4" x14ac:dyDescent="0.3">
      <c r="Q725" s="84">
        <f t="shared" si="57"/>
        <v>0</v>
      </c>
    </row>
    <row r="726" spans="17:17" ht="14.4" x14ac:dyDescent="0.3">
      <c r="Q726" s="84">
        <f t="shared" si="57"/>
        <v>0</v>
      </c>
    </row>
    <row r="727" spans="17:17" ht="14.4" x14ac:dyDescent="0.3">
      <c r="Q727" s="84">
        <f t="shared" si="57"/>
        <v>0</v>
      </c>
    </row>
    <row r="728" spans="17:17" ht="14.4" x14ac:dyDescent="0.3">
      <c r="Q728" s="84">
        <f t="shared" si="57"/>
        <v>0</v>
      </c>
    </row>
    <row r="729" spans="17:17" ht="14.4" x14ac:dyDescent="0.3">
      <c r="Q729" s="84">
        <f t="shared" si="57"/>
        <v>0</v>
      </c>
    </row>
    <row r="730" spans="17:17" ht="14.4" x14ac:dyDescent="0.3">
      <c r="Q730" s="84">
        <f t="shared" si="57"/>
        <v>0</v>
      </c>
    </row>
    <row r="731" spans="17:17" ht="14.4" x14ac:dyDescent="0.3">
      <c r="Q731" s="84">
        <f t="shared" si="57"/>
        <v>0</v>
      </c>
    </row>
    <row r="732" spans="17:17" ht="14.4" x14ac:dyDescent="0.3">
      <c r="Q732" s="84">
        <f t="shared" si="57"/>
        <v>0</v>
      </c>
    </row>
    <row r="733" spans="17:17" ht="14.4" x14ac:dyDescent="0.3">
      <c r="Q733" s="84">
        <f t="shared" si="57"/>
        <v>0</v>
      </c>
    </row>
    <row r="734" spans="17:17" ht="14.4" x14ac:dyDescent="0.3">
      <c r="Q734" s="84">
        <f t="shared" si="57"/>
        <v>0</v>
      </c>
    </row>
    <row r="735" spans="17:17" ht="14.4" x14ac:dyDescent="0.3">
      <c r="Q735" s="84">
        <f t="shared" si="57"/>
        <v>0</v>
      </c>
    </row>
    <row r="736" spans="17:17" ht="14.4" x14ac:dyDescent="0.3">
      <c r="Q736" s="84">
        <f t="shared" si="57"/>
        <v>0</v>
      </c>
    </row>
    <row r="737" spans="17:17" ht="14.4" x14ac:dyDescent="0.3">
      <c r="Q737" s="84">
        <f t="shared" si="57"/>
        <v>0</v>
      </c>
    </row>
    <row r="738" spans="17:17" ht="14.4" x14ac:dyDescent="0.3">
      <c r="Q738" s="84">
        <f t="shared" si="57"/>
        <v>0</v>
      </c>
    </row>
    <row r="739" spans="17:17" ht="14.4" x14ac:dyDescent="0.3">
      <c r="Q739" s="84">
        <f t="shared" si="57"/>
        <v>0</v>
      </c>
    </row>
    <row r="740" spans="17:17" ht="14.4" x14ac:dyDescent="0.3">
      <c r="Q740" s="84">
        <f t="shared" si="57"/>
        <v>0</v>
      </c>
    </row>
    <row r="741" spans="17:17" ht="14.4" x14ac:dyDescent="0.3">
      <c r="Q741" s="84">
        <f t="shared" si="57"/>
        <v>0</v>
      </c>
    </row>
    <row r="742" spans="17:17" ht="14.4" x14ac:dyDescent="0.3">
      <c r="Q742" s="84">
        <f t="shared" si="57"/>
        <v>0</v>
      </c>
    </row>
    <row r="743" spans="17:17" ht="14.4" x14ac:dyDescent="0.3">
      <c r="Q743" s="84">
        <f t="shared" si="57"/>
        <v>0</v>
      </c>
    </row>
    <row r="744" spans="17:17" ht="14.4" x14ac:dyDescent="0.3">
      <c r="Q744" s="84">
        <f t="shared" si="57"/>
        <v>0</v>
      </c>
    </row>
    <row r="745" spans="17:17" ht="14.4" x14ac:dyDescent="0.3">
      <c r="Q745" s="84">
        <f t="shared" si="57"/>
        <v>0</v>
      </c>
    </row>
    <row r="746" spans="17:17" ht="14.4" x14ac:dyDescent="0.3">
      <c r="Q746" s="84">
        <f t="shared" si="57"/>
        <v>0</v>
      </c>
    </row>
    <row r="747" spans="17:17" ht="14.4" x14ac:dyDescent="0.3">
      <c r="Q747" s="84">
        <f t="shared" si="57"/>
        <v>0</v>
      </c>
    </row>
    <row r="748" spans="17:17" ht="14.4" x14ac:dyDescent="0.3">
      <c r="Q748" s="84">
        <f t="shared" si="57"/>
        <v>0</v>
      </c>
    </row>
    <row r="749" spans="17:17" ht="14.4" x14ac:dyDescent="0.3">
      <c r="Q749" s="84">
        <f t="shared" si="57"/>
        <v>0</v>
      </c>
    </row>
    <row r="750" spans="17:17" ht="14.4" x14ac:dyDescent="0.3">
      <c r="Q750" s="84">
        <f t="shared" si="57"/>
        <v>0</v>
      </c>
    </row>
    <row r="751" spans="17:17" ht="14.4" x14ac:dyDescent="0.3">
      <c r="Q751" s="84">
        <f t="shared" si="57"/>
        <v>0</v>
      </c>
    </row>
    <row r="752" spans="17:17" ht="14.4" x14ac:dyDescent="0.3">
      <c r="Q752" s="84">
        <f t="shared" si="57"/>
        <v>0</v>
      </c>
    </row>
    <row r="753" spans="17:17" ht="14.4" x14ac:dyDescent="0.3">
      <c r="Q753" s="84">
        <f t="shared" si="57"/>
        <v>0</v>
      </c>
    </row>
    <row r="754" spans="17:17" ht="14.4" x14ac:dyDescent="0.3">
      <c r="Q754" s="84">
        <f t="shared" si="57"/>
        <v>0</v>
      </c>
    </row>
    <row r="755" spans="17:17" ht="14.4" x14ac:dyDescent="0.3">
      <c r="Q755" s="84">
        <f t="shared" si="57"/>
        <v>0</v>
      </c>
    </row>
    <row r="756" spans="17:17" ht="14.4" x14ac:dyDescent="0.3">
      <c r="Q756" s="84">
        <f t="shared" si="57"/>
        <v>0</v>
      </c>
    </row>
    <row r="757" spans="17:17" ht="14.4" x14ac:dyDescent="0.3">
      <c r="Q757" s="84">
        <f t="shared" si="57"/>
        <v>0</v>
      </c>
    </row>
    <row r="758" spans="17:17" ht="14.4" x14ac:dyDescent="0.3">
      <c r="Q758" s="84">
        <f t="shared" si="57"/>
        <v>0</v>
      </c>
    </row>
    <row r="759" spans="17:17" ht="14.4" x14ac:dyDescent="0.3">
      <c r="Q759" s="84">
        <f t="shared" si="57"/>
        <v>0</v>
      </c>
    </row>
    <row r="760" spans="17:17" ht="14.4" x14ac:dyDescent="0.3">
      <c r="Q760" s="84">
        <f t="shared" si="57"/>
        <v>0</v>
      </c>
    </row>
    <row r="761" spans="17:17" ht="14.4" x14ac:dyDescent="0.3">
      <c r="Q761" s="84">
        <f t="shared" si="57"/>
        <v>0</v>
      </c>
    </row>
    <row r="762" spans="17:17" ht="14.4" x14ac:dyDescent="0.3">
      <c r="Q762" s="84">
        <f t="shared" si="57"/>
        <v>0</v>
      </c>
    </row>
    <row r="763" spans="17:17" ht="14.4" x14ac:dyDescent="0.3">
      <c r="Q763" s="84">
        <f t="shared" si="57"/>
        <v>0</v>
      </c>
    </row>
    <row r="764" spans="17:17" ht="14.4" x14ac:dyDescent="0.3">
      <c r="Q764" s="84">
        <f t="shared" si="57"/>
        <v>0</v>
      </c>
    </row>
    <row r="765" spans="17:17" ht="14.4" x14ac:dyDescent="0.3">
      <c r="Q765" s="84">
        <f t="shared" si="57"/>
        <v>0</v>
      </c>
    </row>
    <row r="766" spans="17:17" ht="14.4" x14ac:dyDescent="0.3">
      <c r="Q766" s="84">
        <f t="shared" si="57"/>
        <v>0</v>
      </c>
    </row>
    <row r="767" spans="17:17" ht="14.4" x14ac:dyDescent="0.3">
      <c r="Q767" s="84">
        <f t="shared" ref="Q767:Q1001" si="58">SUM(R767:V767)</f>
        <v>0</v>
      </c>
    </row>
    <row r="768" spans="17:17" ht="14.4" x14ac:dyDescent="0.3">
      <c r="Q768" s="84">
        <f t="shared" si="58"/>
        <v>0</v>
      </c>
    </row>
    <row r="769" spans="17:17" ht="14.4" x14ac:dyDescent="0.3">
      <c r="Q769" s="84">
        <f t="shared" si="58"/>
        <v>0</v>
      </c>
    </row>
    <row r="770" spans="17:17" ht="14.4" x14ac:dyDescent="0.3">
      <c r="Q770" s="84">
        <f t="shared" si="58"/>
        <v>0</v>
      </c>
    </row>
    <row r="771" spans="17:17" ht="14.4" x14ac:dyDescent="0.3">
      <c r="Q771" s="84">
        <f t="shared" si="58"/>
        <v>0</v>
      </c>
    </row>
    <row r="772" spans="17:17" ht="14.4" x14ac:dyDescent="0.3">
      <c r="Q772" s="84">
        <f t="shared" si="58"/>
        <v>0</v>
      </c>
    </row>
    <row r="773" spans="17:17" ht="14.4" x14ac:dyDescent="0.3">
      <c r="Q773" s="84">
        <f t="shared" si="58"/>
        <v>0</v>
      </c>
    </row>
    <row r="774" spans="17:17" ht="14.4" x14ac:dyDescent="0.3">
      <c r="Q774" s="84">
        <f t="shared" si="58"/>
        <v>0</v>
      </c>
    </row>
    <row r="775" spans="17:17" ht="14.4" x14ac:dyDescent="0.3">
      <c r="Q775" s="84">
        <f t="shared" si="58"/>
        <v>0</v>
      </c>
    </row>
    <row r="776" spans="17:17" ht="14.4" x14ac:dyDescent="0.3">
      <c r="Q776" s="84">
        <f t="shared" si="58"/>
        <v>0</v>
      </c>
    </row>
    <row r="777" spans="17:17" ht="14.4" x14ac:dyDescent="0.3">
      <c r="Q777" s="84">
        <f t="shared" si="58"/>
        <v>0</v>
      </c>
    </row>
    <row r="778" spans="17:17" ht="14.4" x14ac:dyDescent="0.3">
      <c r="Q778" s="84">
        <f t="shared" si="58"/>
        <v>0</v>
      </c>
    </row>
    <row r="779" spans="17:17" ht="14.4" x14ac:dyDescent="0.3">
      <c r="Q779" s="84">
        <f t="shared" si="58"/>
        <v>0</v>
      </c>
    </row>
    <row r="780" spans="17:17" ht="14.4" x14ac:dyDescent="0.3">
      <c r="Q780" s="84">
        <f t="shared" si="58"/>
        <v>0</v>
      </c>
    </row>
    <row r="781" spans="17:17" ht="14.4" x14ac:dyDescent="0.3">
      <c r="Q781" s="84">
        <f t="shared" si="58"/>
        <v>0</v>
      </c>
    </row>
    <row r="782" spans="17:17" ht="14.4" x14ac:dyDescent="0.3">
      <c r="Q782" s="84">
        <f t="shared" si="58"/>
        <v>0</v>
      </c>
    </row>
    <row r="783" spans="17:17" ht="14.4" x14ac:dyDescent="0.3">
      <c r="Q783" s="84">
        <f t="shared" si="58"/>
        <v>0</v>
      </c>
    </row>
    <row r="784" spans="17:17" ht="14.4" x14ac:dyDescent="0.3">
      <c r="Q784" s="84">
        <f t="shared" si="58"/>
        <v>0</v>
      </c>
    </row>
    <row r="785" spans="17:17" ht="14.4" x14ac:dyDescent="0.3">
      <c r="Q785" s="84">
        <f t="shared" si="58"/>
        <v>0</v>
      </c>
    </row>
    <row r="786" spans="17:17" ht="14.4" x14ac:dyDescent="0.3">
      <c r="Q786" s="84">
        <f t="shared" si="58"/>
        <v>0</v>
      </c>
    </row>
    <row r="787" spans="17:17" ht="14.4" x14ac:dyDescent="0.3">
      <c r="Q787" s="84">
        <f t="shared" si="58"/>
        <v>0</v>
      </c>
    </row>
    <row r="788" spans="17:17" ht="14.4" x14ac:dyDescent="0.3">
      <c r="Q788" s="84">
        <f t="shared" si="58"/>
        <v>0</v>
      </c>
    </row>
    <row r="789" spans="17:17" ht="14.4" x14ac:dyDescent="0.3">
      <c r="Q789" s="84">
        <f t="shared" si="58"/>
        <v>0</v>
      </c>
    </row>
    <row r="790" spans="17:17" ht="14.4" x14ac:dyDescent="0.3">
      <c r="Q790" s="84">
        <f t="shared" si="58"/>
        <v>0</v>
      </c>
    </row>
    <row r="791" spans="17:17" ht="14.4" x14ac:dyDescent="0.3">
      <c r="Q791" s="84">
        <f t="shared" si="58"/>
        <v>0</v>
      </c>
    </row>
    <row r="792" spans="17:17" ht="14.4" x14ac:dyDescent="0.3">
      <c r="Q792" s="84">
        <f t="shared" si="58"/>
        <v>0</v>
      </c>
    </row>
    <row r="793" spans="17:17" ht="14.4" x14ac:dyDescent="0.3">
      <c r="Q793" s="84">
        <f t="shared" si="58"/>
        <v>0</v>
      </c>
    </row>
    <row r="794" spans="17:17" ht="14.4" x14ac:dyDescent="0.3">
      <c r="Q794" s="84">
        <f t="shared" si="58"/>
        <v>0</v>
      </c>
    </row>
    <row r="795" spans="17:17" ht="14.4" x14ac:dyDescent="0.3">
      <c r="Q795" s="84">
        <f t="shared" si="58"/>
        <v>0</v>
      </c>
    </row>
    <row r="796" spans="17:17" ht="14.4" x14ac:dyDescent="0.3">
      <c r="Q796" s="84">
        <f t="shared" si="58"/>
        <v>0</v>
      </c>
    </row>
    <row r="797" spans="17:17" ht="14.4" x14ac:dyDescent="0.3">
      <c r="Q797" s="84">
        <f t="shared" si="58"/>
        <v>0</v>
      </c>
    </row>
    <row r="798" spans="17:17" ht="14.4" x14ac:dyDescent="0.3">
      <c r="Q798" s="84">
        <f t="shared" si="58"/>
        <v>0</v>
      </c>
    </row>
    <row r="799" spans="17:17" ht="14.4" x14ac:dyDescent="0.3">
      <c r="Q799" s="84">
        <f t="shared" si="58"/>
        <v>0</v>
      </c>
    </row>
    <row r="800" spans="17:17" ht="14.4" x14ac:dyDescent="0.3">
      <c r="Q800" s="84">
        <f t="shared" si="58"/>
        <v>0</v>
      </c>
    </row>
    <row r="801" spans="17:17" ht="14.4" x14ac:dyDescent="0.3">
      <c r="Q801" s="84">
        <f t="shared" si="58"/>
        <v>0</v>
      </c>
    </row>
    <row r="802" spans="17:17" ht="14.4" x14ac:dyDescent="0.3">
      <c r="Q802" s="84">
        <f t="shared" si="58"/>
        <v>0</v>
      </c>
    </row>
    <row r="803" spans="17:17" ht="14.4" x14ac:dyDescent="0.3">
      <c r="Q803" s="84">
        <f t="shared" si="58"/>
        <v>0</v>
      </c>
    </row>
    <row r="804" spans="17:17" ht="14.4" x14ac:dyDescent="0.3">
      <c r="Q804" s="84">
        <f t="shared" si="58"/>
        <v>0</v>
      </c>
    </row>
    <row r="805" spans="17:17" ht="14.4" x14ac:dyDescent="0.3">
      <c r="Q805" s="84">
        <f t="shared" si="58"/>
        <v>0</v>
      </c>
    </row>
    <row r="806" spans="17:17" ht="14.4" x14ac:dyDescent="0.3">
      <c r="Q806" s="84">
        <f t="shared" si="58"/>
        <v>0</v>
      </c>
    </row>
    <row r="807" spans="17:17" ht="14.4" x14ac:dyDescent="0.3">
      <c r="Q807" s="84">
        <f t="shared" si="58"/>
        <v>0</v>
      </c>
    </row>
    <row r="808" spans="17:17" ht="14.4" x14ac:dyDescent="0.3">
      <c r="Q808" s="84">
        <f t="shared" si="58"/>
        <v>0</v>
      </c>
    </row>
    <row r="809" spans="17:17" ht="14.4" x14ac:dyDescent="0.3">
      <c r="Q809" s="84">
        <f t="shared" si="58"/>
        <v>0</v>
      </c>
    </row>
    <row r="810" spans="17:17" ht="14.4" x14ac:dyDescent="0.3">
      <c r="Q810" s="84">
        <f t="shared" si="58"/>
        <v>0</v>
      </c>
    </row>
    <row r="811" spans="17:17" ht="14.4" x14ac:dyDescent="0.3">
      <c r="Q811" s="84">
        <f t="shared" si="58"/>
        <v>0</v>
      </c>
    </row>
    <row r="812" spans="17:17" ht="14.4" x14ac:dyDescent="0.3">
      <c r="Q812" s="84">
        <f t="shared" si="58"/>
        <v>0</v>
      </c>
    </row>
    <row r="813" spans="17:17" ht="14.4" x14ac:dyDescent="0.3">
      <c r="Q813" s="84">
        <f t="shared" si="58"/>
        <v>0</v>
      </c>
    </row>
    <row r="814" spans="17:17" ht="14.4" x14ac:dyDescent="0.3">
      <c r="Q814" s="84">
        <f t="shared" si="58"/>
        <v>0</v>
      </c>
    </row>
    <row r="815" spans="17:17" ht="14.4" x14ac:dyDescent="0.3">
      <c r="Q815" s="84">
        <f t="shared" si="58"/>
        <v>0</v>
      </c>
    </row>
    <row r="816" spans="17:17" ht="14.4" x14ac:dyDescent="0.3">
      <c r="Q816" s="84">
        <f t="shared" si="58"/>
        <v>0</v>
      </c>
    </row>
    <row r="817" spans="17:17" ht="14.4" x14ac:dyDescent="0.3">
      <c r="Q817" s="84">
        <f t="shared" si="58"/>
        <v>0</v>
      </c>
    </row>
    <row r="818" spans="17:17" ht="14.4" x14ac:dyDescent="0.3">
      <c r="Q818" s="84">
        <f t="shared" si="58"/>
        <v>0</v>
      </c>
    </row>
    <row r="819" spans="17:17" ht="14.4" x14ac:dyDescent="0.3">
      <c r="Q819" s="84">
        <f t="shared" si="58"/>
        <v>0</v>
      </c>
    </row>
    <row r="820" spans="17:17" ht="14.4" x14ac:dyDescent="0.3">
      <c r="Q820" s="84">
        <f t="shared" si="58"/>
        <v>0</v>
      </c>
    </row>
    <row r="821" spans="17:17" ht="14.4" x14ac:dyDescent="0.3">
      <c r="Q821" s="84">
        <f t="shared" si="58"/>
        <v>0</v>
      </c>
    </row>
    <row r="822" spans="17:17" ht="14.4" x14ac:dyDescent="0.3">
      <c r="Q822" s="84">
        <f t="shared" si="58"/>
        <v>0</v>
      </c>
    </row>
    <row r="823" spans="17:17" ht="14.4" x14ac:dyDescent="0.3">
      <c r="Q823" s="84">
        <f t="shared" si="58"/>
        <v>0</v>
      </c>
    </row>
    <row r="824" spans="17:17" ht="14.4" x14ac:dyDescent="0.3">
      <c r="Q824" s="84">
        <f t="shared" si="58"/>
        <v>0</v>
      </c>
    </row>
    <row r="825" spans="17:17" ht="14.4" x14ac:dyDescent="0.3">
      <c r="Q825" s="84">
        <f t="shared" si="58"/>
        <v>0</v>
      </c>
    </row>
    <row r="826" spans="17:17" ht="14.4" x14ac:dyDescent="0.3">
      <c r="Q826" s="84">
        <f t="shared" si="58"/>
        <v>0</v>
      </c>
    </row>
    <row r="827" spans="17:17" ht="14.4" x14ac:dyDescent="0.3">
      <c r="Q827" s="84">
        <f t="shared" si="58"/>
        <v>0</v>
      </c>
    </row>
    <row r="828" spans="17:17" ht="14.4" x14ac:dyDescent="0.3">
      <c r="Q828" s="84">
        <f t="shared" si="58"/>
        <v>0</v>
      </c>
    </row>
    <row r="829" spans="17:17" ht="14.4" x14ac:dyDescent="0.3">
      <c r="Q829" s="84">
        <f t="shared" si="58"/>
        <v>0</v>
      </c>
    </row>
    <row r="830" spans="17:17" ht="14.4" x14ac:dyDescent="0.3">
      <c r="Q830" s="84">
        <f t="shared" si="58"/>
        <v>0</v>
      </c>
    </row>
    <row r="831" spans="17:17" ht="14.4" x14ac:dyDescent="0.3">
      <c r="Q831" s="84">
        <f t="shared" si="58"/>
        <v>0</v>
      </c>
    </row>
    <row r="832" spans="17:17" ht="14.4" x14ac:dyDescent="0.3">
      <c r="Q832" s="84">
        <f t="shared" si="58"/>
        <v>0</v>
      </c>
    </row>
    <row r="833" spans="17:17" ht="14.4" x14ac:dyDescent="0.3">
      <c r="Q833" s="84">
        <f t="shared" si="58"/>
        <v>0</v>
      </c>
    </row>
    <row r="834" spans="17:17" ht="14.4" x14ac:dyDescent="0.3">
      <c r="Q834" s="84">
        <f t="shared" si="58"/>
        <v>0</v>
      </c>
    </row>
    <row r="835" spans="17:17" ht="14.4" x14ac:dyDescent="0.3">
      <c r="Q835" s="84">
        <f t="shared" si="58"/>
        <v>0</v>
      </c>
    </row>
    <row r="836" spans="17:17" ht="14.4" x14ac:dyDescent="0.3">
      <c r="Q836" s="84">
        <f t="shared" si="58"/>
        <v>0</v>
      </c>
    </row>
    <row r="837" spans="17:17" ht="14.4" x14ac:dyDescent="0.3">
      <c r="Q837" s="84">
        <f t="shared" si="58"/>
        <v>0</v>
      </c>
    </row>
    <row r="838" spans="17:17" ht="14.4" x14ac:dyDescent="0.3">
      <c r="Q838" s="84">
        <f t="shared" si="58"/>
        <v>0</v>
      </c>
    </row>
    <row r="839" spans="17:17" ht="14.4" x14ac:dyDescent="0.3">
      <c r="Q839" s="84">
        <f t="shared" si="58"/>
        <v>0</v>
      </c>
    </row>
    <row r="840" spans="17:17" ht="14.4" x14ac:dyDescent="0.3">
      <c r="Q840" s="84">
        <f t="shared" si="58"/>
        <v>0</v>
      </c>
    </row>
    <row r="841" spans="17:17" ht="14.4" x14ac:dyDescent="0.3">
      <c r="Q841" s="84">
        <f t="shared" si="58"/>
        <v>0</v>
      </c>
    </row>
    <row r="842" spans="17:17" ht="14.4" x14ac:dyDescent="0.3">
      <c r="Q842" s="84">
        <f t="shared" si="58"/>
        <v>0</v>
      </c>
    </row>
    <row r="843" spans="17:17" ht="14.4" x14ac:dyDescent="0.3">
      <c r="Q843" s="84">
        <f t="shared" si="58"/>
        <v>0</v>
      </c>
    </row>
    <row r="844" spans="17:17" ht="14.4" x14ac:dyDescent="0.3">
      <c r="Q844" s="84">
        <f t="shared" si="58"/>
        <v>0</v>
      </c>
    </row>
    <row r="845" spans="17:17" ht="14.4" x14ac:dyDescent="0.3">
      <c r="Q845" s="84">
        <f t="shared" si="58"/>
        <v>0</v>
      </c>
    </row>
    <row r="846" spans="17:17" ht="14.4" x14ac:dyDescent="0.3">
      <c r="Q846" s="84">
        <f t="shared" si="58"/>
        <v>0</v>
      </c>
    </row>
    <row r="847" spans="17:17" ht="14.4" x14ac:dyDescent="0.3">
      <c r="Q847" s="84">
        <f t="shared" si="58"/>
        <v>0</v>
      </c>
    </row>
    <row r="848" spans="17:17" ht="14.4" x14ac:dyDescent="0.3">
      <c r="Q848" s="84">
        <f t="shared" si="58"/>
        <v>0</v>
      </c>
    </row>
    <row r="849" spans="17:17" ht="14.4" x14ac:dyDescent="0.3">
      <c r="Q849" s="84">
        <f t="shared" si="58"/>
        <v>0</v>
      </c>
    </row>
    <row r="850" spans="17:17" ht="14.4" x14ac:dyDescent="0.3">
      <c r="Q850" s="84">
        <f t="shared" si="58"/>
        <v>0</v>
      </c>
    </row>
    <row r="851" spans="17:17" ht="14.4" x14ac:dyDescent="0.3">
      <c r="Q851" s="84">
        <f t="shared" si="58"/>
        <v>0</v>
      </c>
    </row>
    <row r="852" spans="17:17" ht="14.4" x14ac:dyDescent="0.3">
      <c r="Q852" s="84">
        <f t="shared" si="58"/>
        <v>0</v>
      </c>
    </row>
    <row r="853" spans="17:17" ht="14.4" x14ac:dyDescent="0.3">
      <c r="Q853" s="84">
        <f t="shared" si="58"/>
        <v>0</v>
      </c>
    </row>
    <row r="854" spans="17:17" ht="14.4" x14ac:dyDescent="0.3">
      <c r="Q854" s="84">
        <f t="shared" si="58"/>
        <v>0</v>
      </c>
    </row>
    <row r="855" spans="17:17" ht="14.4" x14ac:dyDescent="0.3">
      <c r="Q855" s="84">
        <f t="shared" si="58"/>
        <v>0</v>
      </c>
    </row>
    <row r="856" spans="17:17" ht="14.4" x14ac:dyDescent="0.3">
      <c r="Q856" s="84">
        <f t="shared" si="58"/>
        <v>0</v>
      </c>
    </row>
    <row r="857" spans="17:17" ht="14.4" x14ac:dyDescent="0.3">
      <c r="Q857" s="84">
        <f t="shared" si="58"/>
        <v>0</v>
      </c>
    </row>
    <row r="858" spans="17:17" ht="14.4" x14ac:dyDescent="0.3">
      <c r="Q858" s="84">
        <f t="shared" si="58"/>
        <v>0</v>
      </c>
    </row>
    <row r="859" spans="17:17" ht="14.4" x14ac:dyDescent="0.3">
      <c r="Q859" s="84">
        <f t="shared" si="58"/>
        <v>0</v>
      </c>
    </row>
    <row r="860" spans="17:17" ht="14.4" x14ac:dyDescent="0.3">
      <c r="Q860" s="84">
        <f t="shared" si="58"/>
        <v>0</v>
      </c>
    </row>
    <row r="861" spans="17:17" ht="14.4" x14ac:dyDescent="0.3">
      <c r="Q861" s="84">
        <f t="shared" si="58"/>
        <v>0</v>
      </c>
    </row>
    <row r="862" spans="17:17" ht="14.4" x14ac:dyDescent="0.3">
      <c r="Q862" s="84">
        <f t="shared" si="58"/>
        <v>0</v>
      </c>
    </row>
    <row r="863" spans="17:17" ht="14.4" x14ac:dyDescent="0.3">
      <c r="Q863" s="84">
        <f t="shared" si="58"/>
        <v>0</v>
      </c>
    </row>
    <row r="864" spans="17:17" ht="14.4" x14ac:dyDescent="0.3">
      <c r="Q864" s="84">
        <f t="shared" si="58"/>
        <v>0</v>
      </c>
    </row>
    <row r="865" spans="17:17" ht="14.4" x14ac:dyDescent="0.3">
      <c r="Q865" s="84">
        <f t="shared" si="58"/>
        <v>0</v>
      </c>
    </row>
    <row r="866" spans="17:17" ht="14.4" x14ac:dyDescent="0.3">
      <c r="Q866" s="84">
        <f t="shared" si="58"/>
        <v>0</v>
      </c>
    </row>
    <row r="867" spans="17:17" ht="14.4" x14ac:dyDescent="0.3">
      <c r="Q867" s="84">
        <f t="shared" si="58"/>
        <v>0</v>
      </c>
    </row>
    <row r="868" spans="17:17" ht="14.4" x14ac:dyDescent="0.3">
      <c r="Q868" s="84">
        <f t="shared" si="58"/>
        <v>0</v>
      </c>
    </row>
    <row r="869" spans="17:17" ht="14.4" x14ac:dyDescent="0.3">
      <c r="Q869" s="84">
        <f t="shared" si="58"/>
        <v>0</v>
      </c>
    </row>
    <row r="870" spans="17:17" ht="14.4" x14ac:dyDescent="0.3">
      <c r="Q870" s="84">
        <f t="shared" si="58"/>
        <v>0</v>
      </c>
    </row>
    <row r="871" spans="17:17" ht="14.4" x14ac:dyDescent="0.3">
      <c r="Q871" s="84">
        <f t="shared" si="58"/>
        <v>0</v>
      </c>
    </row>
    <row r="872" spans="17:17" ht="14.4" x14ac:dyDescent="0.3">
      <c r="Q872" s="84">
        <f t="shared" si="58"/>
        <v>0</v>
      </c>
    </row>
    <row r="873" spans="17:17" ht="14.4" x14ac:dyDescent="0.3">
      <c r="Q873" s="84">
        <f t="shared" si="58"/>
        <v>0</v>
      </c>
    </row>
    <row r="874" spans="17:17" ht="14.4" x14ac:dyDescent="0.3">
      <c r="Q874" s="84">
        <f t="shared" si="58"/>
        <v>0</v>
      </c>
    </row>
    <row r="875" spans="17:17" ht="14.4" x14ac:dyDescent="0.3">
      <c r="Q875" s="84">
        <f t="shared" si="58"/>
        <v>0</v>
      </c>
    </row>
    <row r="876" spans="17:17" ht="14.4" x14ac:dyDescent="0.3">
      <c r="Q876" s="84">
        <f t="shared" si="58"/>
        <v>0</v>
      </c>
    </row>
    <row r="877" spans="17:17" ht="14.4" x14ac:dyDescent="0.3">
      <c r="Q877" s="84">
        <f t="shared" si="58"/>
        <v>0</v>
      </c>
    </row>
    <row r="878" spans="17:17" ht="14.4" x14ac:dyDescent="0.3">
      <c r="Q878" s="84">
        <f t="shared" si="58"/>
        <v>0</v>
      </c>
    </row>
    <row r="879" spans="17:17" ht="14.4" x14ac:dyDescent="0.3">
      <c r="Q879" s="84">
        <f t="shared" si="58"/>
        <v>0</v>
      </c>
    </row>
    <row r="880" spans="17:17" ht="14.4" x14ac:dyDescent="0.3">
      <c r="Q880" s="84">
        <f t="shared" si="58"/>
        <v>0</v>
      </c>
    </row>
    <row r="881" spans="17:17" ht="14.4" x14ac:dyDescent="0.3">
      <c r="Q881" s="84">
        <f t="shared" si="58"/>
        <v>0</v>
      </c>
    </row>
    <row r="882" spans="17:17" ht="14.4" x14ac:dyDescent="0.3">
      <c r="Q882" s="84">
        <f t="shared" si="58"/>
        <v>0</v>
      </c>
    </row>
    <row r="883" spans="17:17" ht="14.4" x14ac:dyDescent="0.3">
      <c r="Q883" s="84">
        <f t="shared" si="58"/>
        <v>0</v>
      </c>
    </row>
    <row r="884" spans="17:17" ht="14.4" x14ac:dyDescent="0.3">
      <c r="Q884" s="84">
        <f t="shared" si="58"/>
        <v>0</v>
      </c>
    </row>
    <row r="885" spans="17:17" ht="14.4" x14ac:dyDescent="0.3">
      <c r="Q885" s="84">
        <f t="shared" si="58"/>
        <v>0</v>
      </c>
    </row>
    <row r="886" spans="17:17" ht="14.4" x14ac:dyDescent="0.3">
      <c r="Q886" s="84">
        <f t="shared" si="58"/>
        <v>0</v>
      </c>
    </row>
    <row r="887" spans="17:17" ht="14.4" x14ac:dyDescent="0.3">
      <c r="Q887" s="84">
        <f t="shared" si="58"/>
        <v>0</v>
      </c>
    </row>
    <row r="888" spans="17:17" ht="14.4" x14ac:dyDescent="0.3">
      <c r="Q888" s="84">
        <f t="shared" si="58"/>
        <v>0</v>
      </c>
    </row>
    <row r="889" spans="17:17" ht="14.4" x14ac:dyDescent="0.3">
      <c r="Q889" s="84">
        <f t="shared" si="58"/>
        <v>0</v>
      </c>
    </row>
    <row r="890" spans="17:17" ht="14.4" x14ac:dyDescent="0.3">
      <c r="Q890" s="84">
        <f t="shared" si="58"/>
        <v>0</v>
      </c>
    </row>
    <row r="891" spans="17:17" ht="14.4" x14ac:dyDescent="0.3">
      <c r="Q891" s="84">
        <f t="shared" si="58"/>
        <v>0</v>
      </c>
    </row>
    <row r="892" spans="17:17" ht="14.4" x14ac:dyDescent="0.3">
      <c r="Q892" s="84">
        <f t="shared" si="58"/>
        <v>0</v>
      </c>
    </row>
    <row r="893" spans="17:17" ht="14.4" x14ac:dyDescent="0.3">
      <c r="Q893" s="84">
        <f t="shared" si="58"/>
        <v>0</v>
      </c>
    </row>
    <row r="894" spans="17:17" ht="14.4" x14ac:dyDescent="0.3">
      <c r="Q894" s="84">
        <f t="shared" si="58"/>
        <v>0</v>
      </c>
    </row>
    <row r="895" spans="17:17" ht="14.4" x14ac:dyDescent="0.3">
      <c r="Q895" s="84">
        <f t="shared" si="58"/>
        <v>0</v>
      </c>
    </row>
    <row r="896" spans="17:17" ht="14.4" x14ac:dyDescent="0.3">
      <c r="Q896" s="84">
        <f t="shared" si="58"/>
        <v>0</v>
      </c>
    </row>
    <row r="897" spans="17:17" ht="14.4" x14ac:dyDescent="0.3">
      <c r="Q897" s="84">
        <f t="shared" si="58"/>
        <v>0</v>
      </c>
    </row>
    <row r="898" spans="17:17" ht="14.4" x14ac:dyDescent="0.3">
      <c r="Q898" s="84">
        <f t="shared" si="58"/>
        <v>0</v>
      </c>
    </row>
    <row r="899" spans="17:17" ht="14.4" x14ac:dyDescent="0.3">
      <c r="Q899" s="84">
        <f t="shared" si="58"/>
        <v>0</v>
      </c>
    </row>
    <row r="900" spans="17:17" ht="14.4" x14ac:dyDescent="0.3">
      <c r="Q900" s="84">
        <f t="shared" si="58"/>
        <v>0</v>
      </c>
    </row>
    <row r="901" spans="17:17" ht="14.4" x14ac:dyDescent="0.3">
      <c r="Q901" s="84">
        <f t="shared" si="58"/>
        <v>0</v>
      </c>
    </row>
    <row r="902" spans="17:17" ht="14.4" x14ac:dyDescent="0.3">
      <c r="Q902" s="84">
        <f t="shared" si="58"/>
        <v>0</v>
      </c>
    </row>
    <row r="903" spans="17:17" ht="14.4" x14ac:dyDescent="0.3">
      <c r="Q903" s="84">
        <f t="shared" si="58"/>
        <v>0</v>
      </c>
    </row>
    <row r="904" spans="17:17" ht="14.4" x14ac:dyDescent="0.3">
      <c r="Q904" s="84">
        <f t="shared" si="58"/>
        <v>0</v>
      </c>
    </row>
    <row r="905" spans="17:17" ht="14.4" x14ac:dyDescent="0.3">
      <c r="Q905" s="84">
        <f t="shared" si="58"/>
        <v>0</v>
      </c>
    </row>
    <row r="906" spans="17:17" ht="14.4" x14ac:dyDescent="0.3">
      <c r="Q906" s="84">
        <f t="shared" si="58"/>
        <v>0</v>
      </c>
    </row>
    <row r="907" spans="17:17" ht="14.4" x14ac:dyDescent="0.3">
      <c r="Q907" s="84">
        <f t="shared" si="58"/>
        <v>0</v>
      </c>
    </row>
    <row r="908" spans="17:17" ht="14.4" x14ac:dyDescent="0.3">
      <c r="Q908" s="84">
        <f t="shared" si="58"/>
        <v>0</v>
      </c>
    </row>
    <row r="909" spans="17:17" ht="14.4" x14ac:dyDescent="0.3">
      <c r="Q909" s="84">
        <f t="shared" si="58"/>
        <v>0</v>
      </c>
    </row>
    <row r="910" spans="17:17" ht="14.4" x14ac:dyDescent="0.3">
      <c r="Q910" s="84">
        <f t="shared" si="58"/>
        <v>0</v>
      </c>
    </row>
    <row r="911" spans="17:17" ht="14.4" x14ac:dyDescent="0.3">
      <c r="Q911" s="84">
        <f t="shared" si="58"/>
        <v>0</v>
      </c>
    </row>
    <row r="912" spans="17:17" ht="14.4" x14ac:dyDescent="0.3">
      <c r="Q912" s="84">
        <f t="shared" si="58"/>
        <v>0</v>
      </c>
    </row>
    <row r="913" spans="17:17" ht="14.4" x14ac:dyDescent="0.3">
      <c r="Q913" s="84">
        <f t="shared" si="58"/>
        <v>0</v>
      </c>
    </row>
    <row r="914" spans="17:17" ht="14.4" x14ac:dyDescent="0.3">
      <c r="Q914" s="84">
        <f t="shared" si="58"/>
        <v>0</v>
      </c>
    </row>
    <row r="915" spans="17:17" ht="14.4" x14ac:dyDescent="0.3">
      <c r="Q915" s="84">
        <f t="shared" si="58"/>
        <v>0</v>
      </c>
    </row>
    <row r="916" spans="17:17" ht="14.4" x14ac:dyDescent="0.3">
      <c r="Q916" s="84">
        <f t="shared" si="58"/>
        <v>0</v>
      </c>
    </row>
    <row r="917" spans="17:17" ht="14.4" x14ac:dyDescent="0.3">
      <c r="Q917" s="84">
        <f t="shared" si="58"/>
        <v>0</v>
      </c>
    </row>
    <row r="918" spans="17:17" ht="14.4" x14ac:dyDescent="0.3">
      <c r="Q918" s="84">
        <f t="shared" si="58"/>
        <v>0</v>
      </c>
    </row>
    <row r="919" spans="17:17" ht="14.4" x14ac:dyDescent="0.3">
      <c r="Q919" s="84">
        <f t="shared" si="58"/>
        <v>0</v>
      </c>
    </row>
    <row r="920" spans="17:17" ht="14.4" x14ac:dyDescent="0.3">
      <c r="Q920" s="84">
        <f t="shared" si="58"/>
        <v>0</v>
      </c>
    </row>
    <row r="921" spans="17:17" ht="14.4" x14ac:dyDescent="0.3">
      <c r="Q921" s="84">
        <f t="shared" si="58"/>
        <v>0</v>
      </c>
    </row>
    <row r="922" spans="17:17" ht="14.4" x14ac:dyDescent="0.3">
      <c r="Q922" s="84">
        <f t="shared" si="58"/>
        <v>0</v>
      </c>
    </row>
    <row r="923" spans="17:17" ht="14.4" x14ac:dyDescent="0.3">
      <c r="Q923" s="84">
        <f t="shared" si="58"/>
        <v>0</v>
      </c>
    </row>
    <row r="924" spans="17:17" ht="14.4" x14ac:dyDescent="0.3">
      <c r="Q924" s="84">
        <f t="shared" si="58"/>
        <v>0</v>
      </c>
    </row>
    <row r="925" spans="17:17" ht="14.4" x14ac:dyDescent="0.3">
      <c r="Q925" s="84">
        <f t="shared" si="58"/>
        <v>0</v>
      </c>
    </row>
    <row r="926" spans="17:17" ht="14.4" x14ac:dyDescent="0.3">
      <c r="Q926" s="84">
        <f t="shared" si="58"/>
        <v>0</v>
      </c>
    </row>
    <row r="927" spans="17:17" ht="14.4" x14ac:dyDescent="0.3">
      <c r="Q927" s="84">
        <f t="shared" si="58"/>
        <v>0</v>
      </c>
    </row>
    <row r="928" spans="17:17" ht="14.4" x14ac:dyDescent="0.3">
      <c r="Q928" s="84">
        <f t="shared" si="58"/>
        <v>0</v>
      </c>
    </row>
    <row r="929" spans="17:17" ht="14.4" x14ac:dyDescent="0.3">
      <c r="Q929" s="84">
        <f t="shared" si="58"/>
        <v>0</v>
      </c>
    </row>
    <row r="930" spans="17:17" ht="14.4" x14ac:dyDescent="0.3">
      <c r="Q930" s="84">
        <f t="shared" si="58"/>
        <v>0</v>
      </c>
    </row>
    <row r="931" spans="17:17" ht="14.4" x14ac:dyDescent="0.3">
      <c r="Q931" s="84">
        <f t="shared" si="58"/>
        <v>0</v>
      </c>
    </row>
    <row r="932" spans="17:17" ht="14.4" x14ac:dyDescent="0.3">
      <c r="Q932" s="84">
        <f t="shared" si="58"/>
        <v>0</v>
      </c>
    </row>
    <row r="933" spans="17:17" ht="14.4" x14ac:dyDescent="0.3">
      <c r="Q933" s="84">
        <f t="shared" si="58"/>
        <v>0</v>
      </c>
    </row>
    <row r="934" spans="17:17" ht="14.4" x14ac:dyDescent="0.3">
      <c r="Q934" s="84">
        <f t="shared" si="58"/>
        <v>0</v>
      </c>
    </row>
    <row r="935" spans="17:17" ht="14.4" x14ac:dyDescent="0.3">
      <c r="Q935" s="84">
        <f t="shared" si="58"/>
        <v>0</v>
      </c>
    </row>
    <row r="936" spans="17:17" ht="14.4" x14ac:dyDescent="0.3">
      <c r="Q936" s="84">
        <f t="shared" si="58"/>
        <v>0</v>
      </c>
    </row>
    <row r="937" spans="17:17" ht="14.4" x14ac:dyDescent="0.3">
      <c r="Q937" s="84">
        <f t="shared" si="58"/>
        <v>0</v>
      </c>
    </row>
    <row r="938" spans="17:17" ht="14.4" x14ac:dyDescent="0.3">
      <c r="Q938" s="84">
        <f t="shared" si="58"/>
        <v>0</v>
      </c>
    </row>
    <row r="939" spans="17:17" ht="14.4" x14ac:dyDescent="0.3">
      <c r="Q939" s="84">
        <f t="shared" si="58"/>
        <v>0</v>
      </c>
    </row>
    <row r="940" spans="17:17" ht="14.4" x14ac:dyDescent="0.3">
      <c r="Q940" s="84">
        <f t="shared" si="58"/>
        <v>0</v>
      </c>
    </row>
    <row r="941" spans="17:17" ht="14.4" x14ac:dyDescent="0.3">
      <c r="Q941" s="84">
        <f t="shared" si="58"/>
        <v>0</v>
      </c>
    </row>
    <row r="942" spans="17:17" ht="14.4" x14ac:dyDescent="0.3">
      <c r="Q942" s="84">
        <f t="shared" si="58"/>
        <v>0</v>
      </c>
    </row>
    <row r="943" spans="17:17" ht="14.4" x14ac:dyDescent="0.3">
      <c r="Q943" s="84">
        <f t="shared" si="58"/>
        <v>0</v>
      </c>
    </row>
    <row r="944" spans="17:17" ht="14.4" x14ac:dyDescent="0.3">
      <c r="Q944" s="84">
        <f t="shared" si="58"/>
        <v>0</v>
      </c>
    </row>
    <row r="945" spans="17:17" ht="14.4" x14ac:dyDescent="0.3">
      <c r="Q945" s="84">
        <f t="shared" si="58"/>
        <v>0</v>
      </c>
    </row>
    <row r="946" spans="17:17" ht="14.4" x14ac:dyDescent="0.3">
      <c r="Q946" s="84">
        <f t="shared" si="58"/>
        <v>0</v>
      </c>
    </row>
    <row r="947" spans="17:17" ht="14.4" x14ac:dyDescent="0.3">
      <c r="Q947" s="84">
        <f t="shared" si="58"/>
        <v>0</v>
      </c>
    </row>
    <row r="948" spans="17:17" ht="14.4" x14ac:dyDescent="0.3">
      <c r="Q948" s="84">
        <f t="shared" si="58"/>
        <v>0</v>
      </c>
    </row>
    <row r="949" spans="17:17" ht="14.4" x14ac:dyDescent="0.3">
      <c r="Q949" s="84">
        <f t="shared" si="58"/>
        <v>0</v>
      </c>
    </row>
    <row r="950" spans="17:17" ht="14.4" x14ac:dyDescent="0.3">
      <c r="Q950" s="84">
        <f t="shared" si="58"/>
        <v>0</v>
      </c>
    </row>
    <row r="951" spans="17:17" ht="14.4" x14ac:dyDescent="0.3">
      <c r="Q951" s="84">
        <f t="shared" si="58"/>
        <v>0</v>
      </c>
    </row>
    <row r="952" spans="17:17" ht="14.4" x14ac:dyDescent="0.3">
      <c r="Q952" s="84">
        <f t="shared" si="58"/>
        <v>0</v>
      </c>
    </row>
    <row r="953" spans="17:17" ht="14.4" x14ac:dyDescent="0.3">
      <c r="Q953" s="84">
        <f t="shared" si="58"/>
        <v>0</v>
      </c>
    </row>
    <row r="954" spans="17:17" ht="14.4" x14ac:dyDescent="0.3">
      <c r="Q954" s="84">
        <f t="shared" si="58"/>
        <v>0</v>
      </c>
    </row>
    <row r="955" spans="17:17" ht="14.4" x14ac:dyDescent="0.3">
      <c r="Q955" s="84">
        <f t="shared" si="58"/>
        <v>0</v>
      </c>
    </row>
    <row r="956" spans="17:17" ht="14.4" x14ac:dyDescent="0.3">
      <c r="Q956" s="84">
        <f t="shared" si="58"/>
        <v>0</v>
      </c>
    </row>
    <row r="957" spans="17:17" ht="14.4" x14ac:dyDescent="0.3">
      <c r="Q957" s="84">
        <f t="shared" si="58"/>
        <v>0</v>
      </c>
    </row>
    <row r="958" spans="17:17" ht="14.4" x14ac:dyDescent="0.3">
      <c r="Q958" s="84">
        <f t="shared" si="58"/>
        <v>0</v>
      </c>
    </row>
    <row r="959" spans="17:17" ht="14.4" x14ac:dyDescent="0.3">
      <c r="Q959" s="84">
        <f t="shared" si="58"/>
        <v>0</v>
      </c>
    </row>
    <row r="960" spans="17:17" ht="14.4" x14ac:dyDescent="0.3">
      <c r="Q960" s="84">
        <f t="shared" si="58"/>
        <v>0</v>
      </c>
    </row>
    <row r="961" spans="17:17" ht="14.4" x14ac:dyDescent="0.3">
      <c r="Q961" s="84">
        <f t="shared" si="58"/>
        <v>0</v>
      </c>
    </row>
    <row r="962" spans="17:17" ht="14.4" x14ac:dyDescent="0.3">
      <c r="Q962" s="84">
        <f t="shared" si="58"/>
        <v>0</v>
      </c>
    </row>
    <row r="963" spans="17:17" ht="14.4" x14ac:dyDescent="0.3">
      <c r="Q963" s="84">
        <f t="shared" si="58"/>
        <v>0</v>
      </c>
    </row>
    <row r="964" spans="17:17" ht="14.4" x14ac:dyDescent="0.3">
      <c r="Q964" s="84">
        <f t="shared" si="58"/>
        <v>0</v>
      </c>
    </row>
    <row r="965" spans="17:17" ht="14.4" x14ac:dyDescent="0.3">
      <c r="Q965" s="84">
        <f t="shared" si="58"/>
        <v>0</v>
      </c>
    </row>
    <row r="966" spans="17:17" ht="14.4" x14ac:dyDescent="0.3">
      <c r="Q966" s="84">
        <f t="shared" si="58"/>
        <v>0</v>
      </c>
    </row>
    <row r="967" spans="17:17" ht="14.4" x14ac:dyDescent="0.3">
      <c r="Q967" s="84">
        <f t="shared" si="58"/>
        <v>0</v>
      </c>
    </row>
    <row r="968" spans="17:17" ht="14.4" x14ac:dyDescent="0.3">
      <c r="Q968" s="84">
        <f t="shared" si="58"/>
        <v>0</v>
      </c>
    </row>
    <row r="969" spans="17:17" ht="14.4" x14ac:dyDescent="0.3">
      <c r="Q969" s="84">
        <f t="shared" si="58"/>
        <v>0</v>
      </c>
    </row>
    <row r="970" spans="17:17" ht="14.4" x14ac:dyDescent="0.3">
      <c r="Q970" s="84">
        <f t="shared" si="58"/>
        <v>0</v>
      </c>
    </row>
    <row r="971" spans="17:17" ht="14.4" x14ac:dyDescent="0.3">
      <c r="Q971" s="84">
        <f t="shared" si="58"/>
        <v>0</v>
      </c>
    </row>
    <row r="972" spans="17:17" ht="14.4" x14ac:dyDescent="0.3">
      <c r="Q972" s="84">
        <f t="shared" si="58"/>
        <v>0</v>
      </c>
    </row>
    <row r="973" spans="17:17" ht="14.4" x14ac:dyDescent="0.3">
      <c r="Q973" s="84">
        <f t="shared" si="58"/>
        <v>0</v>
      </c>
    </row>
    <row r="974" spans="17:17" ht="14.4" x14ac:dyDescent="0.3">
      <c r="Q974" s="84">
        <f t="shared" si="58"/>
        <v>0</v>
      </c>
    </row>
    <row r="975" spans="17:17" ht="14.4" x14ac:dyDescent="0.3">
      <c r="Q975" s="84">
        <f t="shared" si="58"/>
        <v>0</v>
      </c>
    </row>
    <row r="976" spans="17:17" ht="14.4" x14ac:dyDescent="0.3">
      <c r="Q976" s="84">
        <f t="shared" si="58"/>
        <v>0</v>
      </c>
    </row>
    <row r="977" spans="17:17" ht="14.4" x14ac:dyDescent="0.3">
      <c r="Q977" s="84">
        <f t="shared" si="58"/>
        <v>0</v>
      </c>
    </row>
    <row r="978" spans="17:17" ht="14.4" x14ac:dyDescent="0.3">
      <c r="Q978" s="84">
        <f t="shared" si="58"/>
        <v>0</v>
      </c>
    </row>
    <row r="979" spans="17:17" ht="14.4" x14ac:dyDescent="0.3">
      <c r="Q979" s="84">
        <f t="shared" si="58"/>
        <v>0</v>
      </c>
    </row>
    <row r="980" spans="17:17" ht="14.4" x14ac:dyDescent="0.3">
      <c r="Q980" s="84">
        <f t="shared" si="58"/>
        <v>0</v>
      </c>
    </row>
    <row r="981" spans="17:17" ht="14.4" x14ac:dyDescent="0.3">
      <c r="Q981" s="84">
        <f t="shared" si="58"/>
        <v>0</v>
      </c>
    </row>
    <row r="982" spans="17:17" ht="14.4" x14ac:dyDescent="0.3">
      <c r="Q982" s="84">
        <f t="shared" si="58"/>
        <v>0</v>
      </c>
    </row>
    <row r="983" spans="17:17" ht="14.4" x14ac:dyDescent="0.3">
      <c r="Q983" s="84">
        <f t="shared" si="58"/>
        <v>0</v>
      </c>
    </row>
    <row r="984" spans="17:17" ht="14.4" x14ac:dyDescent="0.3">
      <c r="Q984" s="84">
        <f t="shared" si="58"/>
        <v>0</v>
      </c>
    </row>
    <row r="985" spans="17:17" ht="14.4" x14ac:dyDescent="0.3">
      <c r="Q985" s="84">
        <f t="shared" si="58"/>
        <v>0</v>
      </c>
    </row>
    <row r="986" spans="17:17" ht="14.4" x14ac:dyDescent="0.3">
      <c r="Q986" s="84">
        <f t="shared" si="58"/>
        <v>0</v>
      </c>
    </row>
    <row r="987" spans="17:17" ht="14.4" x14ac:dyDescent="0.3">
      <c r="Q987" s="84">
        <f t="shared" si="58"/>
        <v>0</v>
      </c>
    </row>
    <row r="988" spans="17:17" ht="14.4" x14ac:dyDescent="0.3">
      <c r="Q988" s="84">
        <f t="shared" si="58"/>
        <v>0</v>
      </c>
    </row>
    <row r="989" spans="17:17" ht="14.4" x14ac:dyDescent="0.3">
      <c r="Q989" s="84">
        <f t="shared" si="58"/>
        <v>0</v>
      </c>
    </row>
    <row r="990" spans="17:17" ht="14.4" x14ac:dyDescent="0.3">
      <c r="Q990" s="84">
        <f t="shared" si="58"/>
        <v>0</v>
      </c>
    </row>
    <row r="991" spans="17:17" ht="14.4" x14ac:dyDescent="0.3">
      <c r="Q991" s="84">
        <f t="shared" si="58"/>
        <v>0</v>
      </c>
    </row>
    <row r="992" spans="17:17" ht="14.4" x14ac:dyDescent="0.3">
      <c r="Q992" s="84">
        <f t="shared" si="58"/>
        <v>0</v>
      </c>
    </row>
    <row r="993" spans="17:17" ht="14.4" x14ac:dyDescent="0.3">
      <c r="Q993" s="84">
        <f t="shared" si="58"/>
        <v>0</v>
      </c>
    </row>
    <row r="994" spans="17:17" ht="14.4" x14ac:dyDescent="0.3">
      <c r="Q994" s="84">
        <f t="shared" si="58"/>
        <v>0</v>
      </c>
    </row>
    <row r="995" spans="17:17" ht="14.4" x14ac:dyDescent="0.3">
      <c r="Q995" s="84">
        <f t="shared" si="58"/>
        <v>0</v>
      </c>
    </row>
    <row r="996" spans="17:17" ht="14.4" x14ac:dyDescent="0.3">
      <c r="Q996" s="84">
        <f t="shared" si="58"/>
        <v>0</v>
      </c>
    </row>
    <row r="997" spans="17:17" ht="14.4" x14ac:dyDescent="0.3">
      <c r="Q997" s="84">
        <f t="shared" si="58"/>
        <v>0</v>
      </c>
    </row>
    <row r="998" spans="17:17" ht="14.4" x14ac:dyDescent="0.3">
      <c r="Q998" s="84">
        <f t="shared" si="58"/>
        <v>0</v>
      </c>
    </row>
    <row r="999" spans="17:17" ht="14.4" x14ac:dyDescent="0.3">
      <c r="Q999" s="84">
        <f t="shared" si="58"/>
        <v>0</v>
      </c>
    </row>
    <row r="1000" spans="17:17" ht="14.4" x14ac:dyDescent="0.3">
      <c r="Q1000" s="84">
        <f t="shared" si="58"/>
        <v>0</v>
      </c>
    </row>
    <row r="1001" spans="17:17" ht="14.4" x14ac:dyDescent="0.3">
      <c r="Q1001" s="84">
        <f t="shared" si="58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XA</vt:lpstr>
      <vt:lpstr>X B</vt:lpstr>
      <vt:lpstr>X C</vt:lpstr>
      <vt:lpstr>X D</vt:lpstr>
      <vt:lpstr>X 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CCHS</dc:creator>
  <cp:lastModifiedBy>Chirayu Mishra</cp:lastModifiedBy>
  <dcterms:created xsi:type="dcterms:W3CDTF">2017-09-16T04:58:32Z</dcterms:created>
  <dcterms:modified xsi:type="dcterms:W3CDTF">2026-04-06T08:36:33Z</dcterms:modified>
</cp:coreProperties>
</file>