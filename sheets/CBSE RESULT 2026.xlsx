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/>
  </bookViews>
  <sheets>
    <sheet name="RANK" sheetId="4" r:id="rId1"/>
    <sheet name="BEST FIVE" sheetId="2" r:id="rId2"/>
    <sheet name="All Subjects Report" sheetId="1" r:id="rId3"/>
  </sheets>
  <calcPr calcId="144525"/>
</workbook>
</file>

<file path=xl/calcChain.xml><?xml version="1.0" encoding="utf-8"?>
<calcChain xmlns="http://schemas.openxmlformats.org/spreadsheetml/2006/main">
  <c r="U48" i="4" l="1"/>
  <c r="V48" i="4" s="1"/>
  <c r="T48" i="4"/>
  <c r="S48" i="4"/>
  <c r="R48" i="4"/>
  <c r="Q48" i="4"/>
  <c r="P48" i="4"/>
  <c r="U150" i="4"/>
  <c r="V150" i="4" s="1"/>
  <c r="T150" i="4"/>
  <c r="S150" i="4"/>
  <c r="R150" i="4"/>
  <c r="Q150" i="4"/>
  <c r="P150" i="4"/>
  <c r="U98" i="4"/>
  <c r="V98" i="4" s="1"/>
  <c r="T98" i="4"/>
  <c r="S98" i="4"/>
  <c r="R98" i="4"/>
  <c r="Q98" i="4"/>
  <c r="P98" i="4"/>
  <c r="U191" i="4"/>
  <c r="V191" i="4" s="1"/>
  <c r="T191" i="4"/>
  <c r="S191" i="4"/>
  <c r="R191" i="4"/>
  <c r="Q191" i="4"/>
  <c r="P191" i="4"/>
  <c r="U81" i="4"/>
  <c r="V81" i="4" s="1"/>
  <c r="T81" i="4"/>
  <c r="S81" i="4"/>
  <c r="R81" i="4"/>
  <c r="Q81" i="4"/>
  <c r="P81" i="4"/>
  <c r="U180" i="4"/>
  <c r="V180" i="4" s="1"/>
  <c r="T180" i="4"/>
  <c r="S180" i="4"/>
  <c r="R180" i="4"/>
  <c r="Q180" i="4"/>
  <c r="P180" i="4"/>
  <c r="V58" i="4"/>
  <c r="U58" i="4"/>
  <c r="T58" i="4"/>
  <c r="S58" i="4"/>
  <c r="R58" i="4"/>
  <c r="Q58" i="4"/>
  <c r="P58" i="4"/>
  <c r="U240" i="4"/>
  <c r="V240" i="4" s="1"/>
  <c r="T240" i="4"/>
  <c r="S240" i="4"/>
  <c r="R240" i="4"/>
  <c r="Q240" i="4"/>
  <c r="P240" i="4"/>
  <c r="U226" i="4"/>
  <c r="V226" i="4" s="1"/>
  <c r="T226" i="4"/>
  <c r="S226" i="4"/>
  <c r="R226" i="4"/>
  <c r="Q226" i="4"/>
  <c r="P226" i="4"/>
  <c r="U65" i="4"/>
  <c r="V65" i="4" s="1"/>
  <c r="T65" i="4"/>
  <c r="S65" i="4"/>
  <c r="R65" i="4"/>
  <c r="Q65" i="4"/>
  <c r="P65" i="4"/>
  <c r="U97" i="4"/>
  <c r="V97" i="4" s="1"/>
  <c r="T97" i="4"/>
  <c r="S97" i="4"/>
  <c r="R97" i="4"/>
  <c r="Q97" i="4"/>
  <c r="P97" i="4"/>
  <c r="U64" i="4"/>
  <c r="V64" i="4" s="1"/>
  <c r="T64" i="4"/>
  <c r="S64" i="4"/>
  <c r="R64" i="4"/>
  <c r="Q64" i="4"/>
  <c r="P64" i="4"/>
  <c r="U187" i="4"/>
  <c r="V187" i="4" s="1"/>
  <c r="T187" i="4"/>
  <c r="S187" i="4"/>
  <c r="R187" i="4"/>
  <c r="Q187" i="4"/>
  <c r="P187" i="4"/>
  <c r="U174" i="4"/>
  <c r="V174" i="4" s="1"/>
  <c r="T174" i="4"/>
  <c r="S174" i="4"/>
  <c r="R174" i="4"/>
  <c r="Q174" i="4"/>
  <c r="P174" i="4"/>
  <c r="V117" i="4"/>
  <c r="U117" i="4"/>
  <c r="T117" i="4"/>
  <c r="S117" i="4"/>
  <c r="R117" i="4"/>
  <c r="Q117" i="4"/>
  <c r="P117" i="4"/>
  <c r="U142" i="4"/>
  <c r="V142" i="4" s="1"/>
  <c r="T142" i="4"/>
  <c r="S142" i="4"/>
  <c r="R142" i="4"/>
  <c r="Q142" i="4"/>
  <c r="P142" i="4"/>
  <c r="U241" i="4"/>
  <c r="V241" i="4" s="1"/>
  <c r="T241" i="4"/>
  <c r="S241" i="4"/>
  <c r="R241" i="4"/>
  <c r="Q241" i="4"/>
  <c r="P241" i="4"/>
  <c r="U7" i="4"/>
  <c r="V7" i="4" s="1"/>
  <c r="T7" i="4"/>
  <c r="S7" i="4"/>
  <c r="R7" i="4"/>
  <c r="Q7" i="4"/>
  <c r="P7" i="4"/>
  <c r="U214" i="4"/>
  <c r="V214" i="4" s="1"/>
  <c r="T214" i="4"/>
  <c r="S214" i="4"/>
  <c r="R214" i="4"/>
  <c r="Q214" i="4"/>
  <c r="P214" i="4"/>
  <c r="U93" i="4"/>
  <c r="V93" i="4" s="1"/>
  <c r="T93" i="4"/>
  <c r="S93" i="4"/>
  <c r="R93" i="4"/>
  <c r="Q93" i="4"/>
  <c r="P93" i="4"/>
  <c r="U85" i="4"/>
  <c r="V85" i="4" s="1"/>
  <c r="T85" i="4"/>
  <c r="S85" i="4"/>
  <c r="R85" i="4"/>
  <c r="Q85" i="4"/>
  <c r="P85" i="4"/>
  <c r="U148" i="4"/>
  <c r="V148" i="4" s="1"/>
  <c r="T148" i="4"/>
  <c r="S148" i="4"/>
  <c r="R148" i="4"/>
  <c r="Q148" i="4"/>
  <c r="P148" i="4"/>
  <c r="V154" i="4"/>
  <c r="U154" i="4"/>
  <c r="T154" i="4"/>
  <c r="S154" i="4"/>
  <c r="R154" i="4"/>
  <c r="Q154" i="4"/>
  <c r="P154" i="4"/>
  <c r="U170" i="4"/>
  <c r="V170" i="4" s="1"/>
  <c r="T170" i="4"/>
  <c r="S170" i="4"/>
  <c r="R170" i="4"/>
  <c r="Q170" i="4"/>
  <c r="P170" i="4"/>
  <c r="U24" i="4"/>
  <c r="V24" i="4" s="1"/>
  <c r="T24" i="4"/>
  <c r="S24" i="4"/>
  <c r="R24" i="4"/>
  <c r="Q24" i="4"/>
  <c r="P24" i="4"/>
  <c r="U13" i="4"/>
  <c r="V13" i="4" s="1"/>
  <c r="T13" i="4"/>
  <c r="S13" i="4"/>
  <c r="R13" i="4"/>
  <c r="Q13" i="4"/>
  <c r="P13" i="4"/>
  <c r="U206" i="4"/>
  <c r="V206" i="4" s="1"/>
  <c r="T206" i="4"/>
  <c r="S206" i="4"/>
  <c r="R206" i="4"/>
  <c r="Q206" i="4"/>
  <c r="P206" i="4"/>
  <c r="U235" i="4"/>
  <c r="V235" i="4" s="1"/>
  <c r="T235" i="4"/>
  <c r="S235" i="4"/>
  <c r="R235" i="4"/>
  <c r="Q235" i="4"/>
  <c r="P235" i="4"/>
  <c r="U123" i="4"/>
  <c r="V123" i="4" s="1"/>
  <c r="T123" i="4"/>
  <c r="S123" i="4"/>
  <c r="R123" i="4"/>
  <c r="Q123" i="4"/>
  <c r="P123" i="4"/>
  <c r="U63" i="4"/>
  <c r="V63" i="4" s="1"/>
  <c r="T63" i="4"/>
  <c r="S63" i="4"/>
  <c r="R63" i="4"/>
  <c r="Q63" i="4"/>
  <c r="P63" i="4"/>
  <c r="V137" i="4"/>
  <c r="U137" i="4"/>
  <c r="T137" i="4"/>
  <c r="S137" i="4"/>
  <c r="R137" i="4"/>
  <c r="Q137" i="4"/>
  <c r="P137" i="4"/>
  <c r="U92" i="4"/>
  <c r="V92" i="4" s="1"/>
  <c r="T92" i="4"/>
  <c r="S92" i="4"/>
  <c r="R92" i="4"/>
  <c r="Q92" i="4"/>
  <c r="P92" i="4"/>
  <c r="U159" i="4"/>
  <c r="V159" i="4" s="1"/>
  <c r="T159" i="4"/>
  <c r="S159" i="4"/>
  <c r="R159" i="4"/>
  <c r="Q159" i="4"/>
  <c r="P159" i="4"/>
  <c r="U75" i="4"/>
  <c r="V75" i="4" s="1"/>
  <c r="T75" i="4"/>
  <c r="S75" i="4"/>
  <c r="R75" i="4"/>
  <c r="Q75" i="4"/>
  <c r="P75" i="4"/>
  <c r="U140" i="4"/>
  <c r="V140" i="4" s="1"/>
  <c r="T140" i="4"/>
  <c r="S140" i="4"/>
  <c r="R140" i="4"/>
  <c r="Q140" i="4"/>
  <c r="P140" i="4"/>
  <c r="U147" i="4"/>
  <c r="V147" i="4" s="1"/>
  <c r="T147" i="4"/>
  <c r="S147" i="4"/>
  <c r="R147" i="4"/>
  <c r="Q147" i="4"/>
  <c r="P147" i="4"/>
  <c r="U185" i="4"/>
  <c r="V185" i="4" s="1"/>
  <c r="T185" i="4"/>
  <c r="S185" i="4"/>
  <c r="R185" i="4"/>
  <c r="Q185" i="4"/>
  <c r="P185" i="4"/>
  <c r="U30" i="4"/>
  <c r="V30" i="4" s="1"/>
  <c r="T30" i="4"/>
  <c r="S30" i="4"/>
  <c r="R30" i="4"/>
  <c r="Q30" i="4"/>
  <c r="P30" i="4"/>
  <c r="V199" i="4"/>
  <c r="U199" i="4"/>
  <c r="T199" i="4"/>
  <c r="S199" i="4"/>
  <c r="R199" i="4"/>
  <c r="Q199" i="4"/>
  <c r="P199" i="4"/>
  <c r="U190" i="4"/>
  <c r="V190" i="4" s="1"/>
  <c r="T190" i="4"/>
  <c r="S190" i="4"/>
  <c r="R190" i="4"/>
  <c r="Q190" i="4"/>
  <c r="P190" i="4"/>
  <c r="U238" i="4"/>
  <c r="V238" i="4" s="1"/>
  <c r="T238" i="4"/>
  <c r="S238" i="4"/>
  <c r="R238" i="4"/>
  <c r="Q238" i="4"/>
  <c r="P238" i="4"/>
  <c r="U27" i="4"/>
  <c r="V27" i="4" s="1"/>
  <c r="T27" i="4"/>
  <c r="S27" i="4"/>
  <c r="R27" i="4"/>
  <c r="Q27" i="4"/>
  <c r="P27" i="4"/>
  <c r="U51" i="4"/>
  <c r="V51" i="4" s="1"/>
  <c r="T51" i="4"/>
  <c r="S51" i="4"/>
  <c r="R51" i="4"/>
  <c r="Q51" i="4"/>
  <c r="P51" i="4"/>
  <c r="U211" i="4"/>
  <c r="V211" i="4" s="1"/>
  <c r="T211" i="4"/>
  <c r="S211" i="4"/>
  <c r="R211" i="4"/>
  <c r="Q211" i="4"/>
  <c r="P211" i="4"/>
  <c r="U121" i="4"/>
  <c r="V121" i="4" s="1"/>
  <c r="T121" i="4"/>
  <c r="S121" i="4"/>
  <c r="R121" i="4"/>
  <c r="Q121" i="4"/>
  <c r="P121" i="4"/>
  <c r="U88" i="4"/>
  <c r="V88" i="4" s="1"/>
  <c r="T88" i="4"/>
  <c r="S88" i="4"/>
  <c r="R88" i="4"/>
  <c r="Q88" i="4"/>
  <c r="P88" i="4"/>
  <c r="V222" i="4"/>
  <c r="U222" i="4"/>
  <c r="T222" i="4"/>
  <c r="S222" i="4"/>
  <c r="R222" i="4"/>
  <c r="Q222" i="4"/>
  <c r="P222" i="4"/>
  <c r="U146" i="4"/>
  <c r="V146" i="4" s="1"/>
  <c r="T146" i="4"/>
  <c r="S146" i="4"/>
  <c r="R146" i="4"/>
  <c r="Q146" i="4"/>
  <c r="P146" i="4"/>
  <c r="U47" i="4"/>
  <c r="V47" i="4" s="1"/>
  <c r="T47" i="4"/>
  <c r="S47" i="4"/>
  <c r="R47" i="4"/>
  <c r="Q47" i="4"/>
  <c r="P47" i="4"/>
  <c r="U74" i="4"/>
  <c r="V74" i="4" s="1"/>
  <c r="T74" i="4"/>
  <c r="S74" i="4"/>
  <c r="R74" i="4"/>
  <c r="Q74" i="4"/>
  <c r="P74" i="4"/>
  <c r="U184" i="4"/>
  <c r="V184" i="4" s="1"/>
  <c r="T184" i="4"/>
  <c r="S184" i="4"/>
  <c r="R184" i="4"/>
  <c r="Q184" i="4"/>
  <c r="P184" i="4"/>
  <c r="U4" i="4"/>
  <c r="V4" i="4" s="1"/>
  <c r="T4" i="4"/>
  <c r="S4" i="4"/>
  <c r="R4" i="4"/>
  <c r="Q4" i="4"/>
  <c r="P4" i="4"/>
  <c r="U216" i="4"/>
  <c r="V216" i="4" s="1"/>
  <c r="T216" i="4"/>
  <c r="S216" i="4"/>
  <c r="R216" i="4"/>
  <c r="Q216" i="4"/>
  <c r="P216" i="4"/>
  <c r="U126" i="4"/>
  <c r="V126" i="4" s="1"/>
  <c r="T126" i="4"/>
  <c r="S126" i="4"/>
  <c r="R126" i="4"/>
  <c r="Q126" i="4"/>
  <c r="P126" i="4"/>
  <c r="V136" i="4"/>
  <c r="U136" i="4"/>
  <c r="T136" i="4"/>
  <c r="S136" i="4"/>
  <c r="R136" i="4"/>
  <c r="Q136" i="4"/>
  <c r="P136" i="4"/>
  <c r="U182" i="4"/>
  <c r="V182" i="4" s="1"/>
  <c r="T182" i="4"/>
  <c r="S182" i="4"/>
  <c r="R182" i="4"/>
  <c r="Q182" i="4"/>
  <c r="P182" i="4"/>
  <c r="U107" i="4"/>
  <c r="V107" i="4" s="1"/>
  <c r="T107" i="4"/>
  <c r="S107" i="4"/>
  <c r="R107" i="4"/>
  <c r="Q107" i="4"/>
  <c r="P107" i="4"/>
  <c r="U221" i="4"/>
  <c r="V221" i="4" s="1"/>
  <c r="T221" i="4"/>
  <c r="S221" i="4"/>
  <c r="R221" i="4"/>
  <c r="Q221" i="4"/>
  <c r="P221" i="4"/>
  <c r="U91" i="4"/>
  <c r="V91" i="4" s="1"/>
  <c r="T91" i="4"/>
  <c r="S91" i="4"/>
  <c r="R91" i="4"/>
  <c r="Q91" i="4"/>
  <c r="P91" i="4"/>
  <c r="U179" i="4"/>
  <c r="V179" i="4" s="1"/>
  <c r="T179" i="4"/>
  <c r="S179" i="4"/>
  <c r="R179" i="4"/>
  <c r="Q179" i="4"/>
  <c r="P179" i="4"/>
  <c r="U19" i="4"/>
  <c r="V19" i="4" s="1"/>
  <c r="T19" i="4"/>
  <c r="S19" i="4"/>
  <c r="R19" i="4"/>
  <c r="Q19" i="4"/>
  <c r="P19" i="4"/>
  <c r="U71" i="4"/>
  <c r="V71" i="4" s="1"/>
  <c r="T71" i="4"/>
  <c r="S71" i="4"/>
  <c r="R71" i="4"/>
  <c r="Q71" i="4"/>
  <c r="P71" i="4"/>
  <c r="V173" i="4"/>
  <c r="U173" i="4"/>
  <c r="T173" i="4"/>
  <c r="S173" i="4"/>
  <c r="R173" i="4"/>
  <c r="Q173" i="4"/>
  <c r="P173" i="4"/>
  <c r="U172" i="4"/>
  <c r="V172" i="4" s="1"/>
  <c r="T172" i="4"/>
  <c r="S172" i="4"/>
  <c r="R172" i="4"/>
  <c r="Q172" i="4"/>
  <c r="P172" i="4"/>
  <c r="U218" i="4"/>
  <c r="V218" i="4" s="1"/>
  <c r="T218" i="4"/>
  <c r="S218" i="4"/>
  <c r="R218" i="4"/>
  <c r="Q218" i="4"/>
  <c r="P218" i="4"/>
  <c r="U15" i="4"/>
  <c r="V15" i="4" s="1"/>
  <c r="T15" i="4"/>
  <c r="S15" i="4"/>
  <c r="R15" i="4"/>
  <c r="Q15" i="4"/>
  <c r="P15" i="4"/>
  <c r="U129" i="4"/>
  <c r="V129" i="4" s="1"/>
  <c r="T129" i="4"/>
  <c r="S129" i="4"/>
  <c r="R129" i="4"/>
  <c r="Q129" i="4"/>
  <c r="P129" i="4"/>
  <c r="U205" i="4"/>
  <c r="V205" i="4" s="1"/>
  <c r="T205" i="4"/>
  <c r="S205" i="4"/>
  <c r="R205" i="4"/>
  <c r="Q205" i="4"/>
  <c r="P205" i="4"/>
  <c r="U194" i="4"/>
  <c r="V194" i="4" s="1"/>
  <c r="T194" i="4"/>
  <c r="S194" i="4"/>
  <c r="R194" i="4"/>
  <c r="Q194" i="4"/>
  <c r="P194" i="4"/>
  <c r="U236" i="4"/>
  <c r="V236" i="4" s="1"/>
  <c r="T236" i="4"/>
  <c r="S236" i="4"/>
  <c r="R236" i="4"/>
  <c r="Q236" i="4"/>
  <c r="P236" i="4"/>
  <c r="V70" i="4"/>
  <c r="U70" i="4"/>
  <c r="T70" i="4"/>
  <c r="S70" i="4"/>
  <c r="R70" i="4"/>
  <c r="Q70" i="4"/>
  <c r="P70" i="4"/>
  <c r="U189" i="4"/>
  <c r="V189" i="4" s="1"/>
  <c r="T189" i="4"/>
  <c r="S189" i="4"/>
  <c r="R189" i="4"/>
  <c r="Q189" i="4"/>
  <c r="P189" i="4"/>
  <c r="U176" i="4"/>
  <c r="V176" i="4" s="1"/>
  <c r="T176" i="4"/>
  <c r="S176" i="4"/>
  <c r="R176" i="4"/>
  <c r="Q176" i="4"/>
  <c r="P176" i="4"/>
  <c r="U28" i="4"/>
  <c r="V28" i="4" s="1"/>
  <c r="T28" i="4"/>
  <c r="S28" i="4"/>
  <c r="R28" i="4"/>
  <c r="Q28" i="4"/>
  <c r="P28" i="4"/>
  <c r="U165" i="4"/>
  <c r="V165" i="4" s="1"/>
  <c r="T165" i="4"/>
  <c r="S165" i="4"/>
  <c r="R165" i="4"/>
  <c r="Q165" i="4"/>
  <c r="P165" i="4"/>
  <c r="U162" i="4"/>
  <c r="V162" i="4" s="1"/>
  <c r="T162" i="4"/>
  <c r="S162" i="4"/>
  <c r="R162" i="4"/>
  <c r="Q162" i="4"/>
  <c r="P162" i="4"/>
  <c r="U10" i="4"/>
  <c r="V10" i="4" s="1"/>
  <c r="T10" i="4"/>
  <c r="S10" i="4"/>
  <c r="R10" i="4"/>
  <c r="Q10" i="4"/>
  <c r="P10" i="4"/>
  <c r="U46" i="4"/>
  <c r="V46" i="4" s="1"/>
  <c r="T46" i="4"/>
  <c r="S46" i="4"/>
  <c r="R46" i="4"/>
  <c r="Q46" i="4"/>
  <c r="P46" i="4"/>
  <c r="V228" i="4"/>
  <c r="U228" i="4"/>
  <c r="T228" i="4"/>
  <c r="S228" i="4"/>
  <c r="R228" i="4"/>
  <c r="Q228" i="4"/>
  <c r="P228" i="4"/>
  <c r="U145" i="4"/>
  <c r="V145" i="4" s="1"/>
  <c r="T145" i="4"/>
  <c r="S145" i="4"/>
  <c r="R145" i="4"/>
  <c r="Q145" i="4"/>
  <c r="P145" i="4"/>
  <c r="U135" i="4"/>
  <c r="V135" i="4" s="1"/>
  <c r="T135" i="4"/>
  <c r="S135" i="4"/>
  <c r="R135" i="4"/>
  <c r="Q135" i="4"/>
  <c r="P135" i="4"/>
  <c r="U237" i="4"/>
  <c r="V237" i="4" s="1"/>
  <c r="T237" i="4"/>
  <c r="S237" i="4"/>
  <c r="R237" i="4"/>
  <c r="Q237" i="4"/>
  <c r="P237" i="4"/>
  <c r="U50" i="4"/>
  <c r="V50" i="4" s="1"/>
  <c r="T50" i="4"/>
  <c r="S50" i="4"/>
  <c r="R50" i="4"/>
  <c r="Q50" i="4"/>
  <c r="P50" i="4"/>
  <c r="U232" i="4"/>
  <c r="V232" i="4" s="1"/>
  <c r="T232" i="4"/>
  <c r="S232" i="4"/>
  <c r="R232" i="4"/>
  <c r="Q232" i="4"/>
  <c r="P232" i="4"/>
  <c r="U233" i="4"/>
  <c r="V233" i="4" s="1"/>
  <c r="T233" i="4"/>
  <c r="S233" i="4"/>
  <c r="R233" i="4"/>
  <c r="Q233" i="4"/>
  <c r="P233" i="4"/>
  <c r="U134" i="4"/>
  <c r="V134" i="4" s="1"/>
  <c r="T134" i="4"/>
  <c r="S134" i="4"/>
  <c r="R134" i="4"/>
  <c r="Q134" i="4"/>
  <c r="P134" i="4"/>
  <c r="U175" i="4"/>
  <c r="V175" i="4" s="1"/>
  <c r="T175" i="4"/>
  <c r="S175" i="4"/>
  <c r="R175" i="4"/>
  <c r="Q175" i="4"/>
  <c r="P175" i="4"/>
  <c r="U26" i="4"/>
  <c r="V26" i="4" s="1"/>
  <c r="T26" i="4"/>
  <c r="S26" i="4"/>
  <c r="R26" i="4"/>
  <c r="Q26" i="4"/>
  <c r="P26" i="4"/>
  <c r="U80" i="4"/>
  <c r="V80" i="4" s="1"/>
  <c r="T80" i="4"/>
  <c r="S80" i="4"/>
  <c r="R80" i="4"/>
  <c r="Q80" i="4"/>
  <c r="P80" i="4"/>
  <c r="U164" i="4"/>
  <c r="V164" i="4" s="1"/>
  <c r="T164" i="4"/>
  <c r="S164" i="4"/>
  <c r="R164" i="4"/>
  <c r="Q164" i="4"/>
  <c r="P164" i="4"/>
  <c r="U79" i="4"/>
  <c r="V79" i="4" s="1"/>
  <c r="T79" i="4"/>
  <c r="S79" i="4"/>
  <c r="R79" i="4"/>
  <c r="Q79" i="4"/>
  <c r="P79" i="4"/>
  <c r="V122" i="4"/>
  <c r="U122" i="4"/>
  <c r="T122" i="4"/>
  <c r="S122" i="4"/>
  <c r="R122" i="4"/>
  <c r="Q122" i="4"/>
  <c r="P122" i="4"/>
  <c r="U229" i="4"/>
  <c r="V229" i="4" s="1"/>
  <c r="T229" i="4"/>
  <c r="S229" i="4"/>
  <c r="R229" i="4"/>
  <c r="Q229" i="4"/>
  <c r="P229" i="4"/>
  <c r="U38" i="4"/>
  <c r="V38" i="4" s="1"/>
  <c r="T38" i="4"/>
  <c r="S38" i="4"/>
  <c r="R38" i="4"/>
  <c r="Q38" i="4"/>
  <c r="P38" i="4"/>
  <c r="U128" i="4"/>
  <c r="V128" i="4" s="1"/>
  <c r="T128" i="4"/>
  <c r="S128" i="4"/>
  <c r="R128" i="4"/>
  <c r="Q128" i="4"/>
  <c r="P128" i="4"/>
  <c r="U114" i="4"/>
  <c r="V114" i="4" s="1"/>
  <c r="T114" i="4"/>
  <c r="S114" i="4"/>
  <c r="R114" i="4"/>
  <c r="Q114" i="4"/>
  <c r="P114" i="4"/>
  <c r="U116" i="4"/>
  <c r="V116" i="4" s="1"/>
  <c r="T116" i="4"/>
  <c r="S116" i="4"/>
  <c r="R116" i="4"/>
  <c r="Q116" i="4"/>
  <c r="P116" i="4"/>
  <c r="U23" i="4"/>
  <c r="V23" i="4" s="1"/>
  <c r="T23" i="4"/>
  <c r="S23" i="4"/>
  <c r="R23" i="4"/>
  <c r="Q23" i="4"/>
  <c r="P23" i="4"/>
  <c r="U193" i="4"/>
  <c r="V193" i="4" s="1"/>
  <c r="T193" i="4"/>
  <c r="S193" i="4"/>
  <c r="R193" i="4"/>
  <c r="Q193" i="4"/>
  <c r="P193" i="4"/>
  <c r="U158" i="4"/>
  <c r="V158" i="4" s="1"/>
  <c r="T158" i="4"/>
  <c r="S158" i="4"/>
  <c r="R158" i="4"/>
  <c r="Q158" i="4"/>
  <c r="P158" i="4"/>
  <c r="U212" i="4"/>
  <c r="V212" i="4" s="1"/>
  <c r="T212" i="4"/>
  <c r="S212" i="4"/>
  <c r="R212" i="4"/>
  <c r="Q212" i="4"/>
  <c r="P212" i="4"/>
  <c r="U87" i="4"/>
  <c r="V87" i="4" s="1"/>
  <c r="T87" i="4"/>
  <c r="S87" i="4"/>
  <c r="R87" i="4"/>
  <c r="Q87" i="4"/>
  <c r="P87" i="4"/>
  <c r="U9" i="4"/>
  <c r="V9" i="4" s="1"/>
  <c r="T9" i="4"/>
  <c r="S9" i="4"/>
  <c r="R9" i="4"/>
  <c r="Q9" i="4"/>
  <c r="P9" i="4"/>
  <c r="U44" i="4"/>
  <c r="V44" i="4" s="1"/>
  <c r="T44" i="4"/>
  <c r="S44" i="4"/>
  <c r="R44" i="4"/>
  <c r="Q44" i="4"/>
  <c r="P44" i="4"/>
  <c r="U8" i="4"/>
  <c r="V8" i="4" s="1"/>
  <c r="T8" i="4"/>
  <c r="S8" i="4"/>
  <c r="R8" i="4"/>
  <c r="Q8" i="4"/>
  <c r="P8" i="4"/>
  <c r="U106" i="4"/>
  <c r="V106" i="4" s="1"/>
  <c r="T106" i="4"/>
  <c r="S106" i="4"/>
  <c r="R106" i="4"/>
  <c r="Q106" i="4"/>
  <c r="P106" i="4"/>
  <c r="V73" i="4"/>
  <c r="U73" i="4"/>
  <c r="T73" i="4"/>
  <c r="S73" i="4"/>
  <c r="R73" i="4"/>
  <c r="Q73" i="4"/>
  <c r="P73" i="4"/>
  <c r="U54" i="4"/>
  <c r="V54" i="4" s="1"/>
  <c r="T54" i="4"/>
  <c r="S54" i="4"/>
  <c r="R54" i="4"/>
  <c r="Q54" i="4"/>
  <c r="P54" i="4"/>
  <c r="U139" i="4"/>
  <c r="V139" i="4" s="1"/>
  <c r="T139" i="4"/>
  <c r="S139" i="4"/>
  <c r="R139" i="4"/>
  <c r="Q139" i="4"/>
  <c r="P139" i="4"/>
  <c r="U90" i="4"/>
  <c r="V90" i="4" s="1"/>
  <c r="T90" i="4"/>
  <c r="S90" i="4"/>
  <c r="R90" i="4"/>
  <c r="Q90" i="4"/>
  <c r="P90" i="4"/>
  <c r="U62" i="4"/>
  <c r="V62" i="4" s="1"/>
  <c r="T62" i="4"/>
  <c r="S62" i="4"/>
  <c r="R62" i="4"/>
  <c r="Q62" i="4"/>
  <c r="P62" i="4"/>
  <c r="U217" i="4"/>
  <c r="V217" i="4" s="1"/>
  <c r="T217" i="4"/>
  <c r="S217" i="4"/>
  <c r="R217" i="4"/>
  <c r="Q217" i="4"/>
  <c r="P217" i="4"/>
  <c r="U225" i="4"/>
  <c r="V225" i="4" s="1"/>
  <c r="T225" i="4"/>
  <c r="S225" i="4"/>
  <c r="R225" i="4"/>
  <c r="Q225" i="4"/>
  <c r="P225" i="4"/>
  <c r="U167" i="4"/>
  <c r="V167" i="4" s="1"/>
  <c r="T167" i="4"/>
  <c r="S167" i="4"/>
  <c r="R167" i="4"/>
  <c r="Q167" i="4"/>
  <c r="P167" i="4"/>
  <c r="U69" i="4"/>
  <c r="V69" i="4" s="1"/>
  <c r="T69" i="4"/>
  <c r="S69" i="4"/>
  <c r="R69" i="4"/>
  <c r="Q69" i="4"/>
  <c r="P69" i="4"/>
  <c r="U96" i="4"/>
  <c r="V96" i="4" s="1"/>
  <c r="T96" i="4"/>
  <c r="S96" i="4"/>
  <c r="R96" i="4"/>
  <c r="Q96" i="4"/>
  <c r="P96" i="4"/>
  <c r="U37" i="4"/>
  <c r="V37" i="4" s="1"/>
  <c r="T37" i="4"/>
  <c r="S37" i="4"/>
  <c r="R37" i="4"/>
  <c r="Q37" i="4"/>
  <c r="P37" i="4"/>
  <c r="U61" i="4"/>
  <c r="V61" i="4" s="1"/>
  <c r="T61" i="4"/>
  <c r="S61" i="4"/>
  <c r="R61" i="4"/>
  <c r="Q61" i="4"/>
  <c r="P61" i="4"/>
  <c r="U84" i="4"/>
  <c r="V84" i="4" s="1"/>
  <c r="T84" i="4"/>
  <c r="S84" i="4"/>
  <c r="R84" i="4"/>
  <c r="Q84" i="4"/>
  <c r="P84" i="4"/>
  <c r="U14" i="4"/>
  <c r="V14" i="4" s="1"/>
  <c r="T14" i="4"/>
  <c r="S14" i="4"/>
  <c r="R14" i="4"/>
  <c r="Q14" i="4"/>
  <c r="P14" i="4"/>
  <c r="U210" i="4"/>
  <c r="V210" i="4" s="1"/>
  <c r="T210" i="4"/>
  <c r="S210" i="4"/>
  <c r="R210" i="4"/>
  <c r="Q210" i="4"/>
  <c r="P210" i="4"/>
  <c r="U220" i="4"/>
  <c r="V220" i="4" s="1"/>
  <c r="T220" i="4"/>
  <c r="S220" i="4"/>
  <c r="R220" i="4"/>
  <c r="Q220" i="4"/>
  <c r="P220" i="4"/>
  <c r="U198" i="4"/>
  <c r="V198" i="4" s="1"/>
  <c r="T198" i="4"/>
  <c r="S198" i="4"/>
  <c r="R198" i="4"/>
  <c r="Q198" i="4"/>
  <c r="P198" i="4"/>
  <c r="U22" i="4"/>
  <c r="V22" i="4" s="1"/>
  <c r="T22" i="4"/>
  <c r="S22" i="4"/>
  <c r="R22" i="4"/>
  <c r="Q22" i="4"/>
  <c r="P22" i="4"/>
  <c r="U68" i="4"/>
  <c r="V68" i="4" s="1"/>
  <c r="T68" i="4"/>
  <c r="S68" i="4"/>
  <c r="R68" i="4"/>
  <c r="Q68" i="4"/>
  <c r="P68" i="4"/>
  <c r="U163" i="4"/>
  <c r="V163" i="4" s="1"/>
  <c r="T163" i="4"/>
  <c r="S163" i="4"/>
  <c r="R163" i="4"/>
  <c r="Q163" i="4"/>
  <c r="P163" i="4"/>
  <c r="V53" i="4"/>
  <c r="U53" i="4"/>
  <c r="T53" i="4"/>
  <c r="S53" i="4"/>
  <c r="R53" i="4"/>
  <c r="Q53" i="4"/>
  <c r="P53" i="4"/>
  <c r="U89" i="4"/>
  <c r="V89" i="4" s="1"/>
  <c r="T89" i="4"/>
  <c r="S89" i="4"/>
  <c r="R89" i="4"/>
  <c r="Q89" i="4"/>
  <c r="P89" i="4"/>
  <c r="U125" i="4"/>
  <c r="V125" i="4" s="1"/>
  <c r="T125" i="4"/>
  <c r="S125" i="4"/>
  <c r="R125" i="4"/>
  <c r="Q125" i="4"/>
  <c r="P125" i="4"/>
  <c r="U186" i="4"/>
  <c r="V186" i="4" s="1"/>
  <c r="T186" i="4"/>
  <c r="S186" i="4"/>
  <c r="R186" i="4"/>
  <c r="Q186" i="4"/>
  <c r="P186" i="4"/>
  <c r="U43" i="4"/>
  <c r="V43" i="4" s="1"/>
  <c r="T43" i="4"/>
  <c r="S43" i="4"/>
  <c r="R43" i="4"/>
  <c r="Q43" i="4"/>
  <c r="P43" i="4"/>
  <c r="U209" i="4"/>
  <c r="V209" i="4" s="1"/>
  <c r="T209" i="4"/>
  <c r="S209" i="4"/>
  <c r="R209" i="4"/>
  <c r="Q209" i="4"/>
  <c r="P209" i="4"/>
  <c r="U36" i="4"/>
  <c r="V36" i="4" s="1"/>
  <c r="T36" i="4"/>
  <c r="S36" i="4"/>
  <c r="R36" i="4"/>
  <c r="Q36" i="4"/>
  <c r="P36" i="4"/>
  <c r="U166" i="4"/>
  <c r="V166" i="4" s="1"/>
  <c r="T166" i="4"/>
  <c r="S166" i="4"/>
  <c r="R166" i="4"/>
  <c r="Q166" i="4"/>
  <c r="P166" i="4"/>
  <c r="U131" i="4"/>
  <c r="V131" i="4" s="1"/>
  <c r="T131" i="4"/>
  <c r="S131" i="4"/>
  <c r="R131" i="4"/>
  <c r="Q131" i="4"/>
  <c r="P131" i="4"/>
  <c r="U202" i="4"/>
  <c r="V202" i="4" s="1"/>
  <c r="T202" i="4"/>
  <c r="S202" i="4"/>
  <c r="R202" i="4"/>
  <c r="Q202" i="4"/>
  <c r="P202" i="4"/>
  <c r="U12" i="4"/>
  <c r="V12" i="4" s="1"/>
  <c r="T12" i="4"/>
  <c r="S12" i="4"/>
  <c r="R12" i="4"/>
  <c r="Q12" i="4"/>
  <c r="P12" i="4"/>
  <c r="U18" i="4"/>
  <c r="V18" i="4" s="1"/>
  <c r="T18" i="4"/>
  <c r="S18" i="4"/>
  <c r="R18" i="4"/>
  <c r="Q18" i="4"/>
  <c r="P18" i="4"/>
  <c r="U17" i="4"/>
  <c r="V17" i="4" s="1"/>
  <c r="T17" i="4"/>
  <c r="S17" i="4"/>
  <c r="R17" i="4"/>
  <c r="Q17" i="4"/>
  <c r="P17" i="4"/>
  <c r="U112" i="4"/>
  <c r="V112" i="4" s="1"/>
  <c r="T112" i="4"/>
  <c r="S112" i="4"/>
  <c r="R112" i="4"/>
  <c r="Q112" i="4"/>
  <c r="P112" i="4"/>
  <c r="U52" i="4"/>
  <c r="V52" i="4" s="1"/>
  <c r="T52" i="4"/>
  <c r="S52" i="4"/>
  <c r="R52" i="4"/>
  <c r="Q52" i="4"/>
  <c r="P52" i="4"/>
  <c r="U35" i="4"/>
  <c r="V35" i="4" s="1"/>
  <c r="T35" i="4"/>
  <c r="S35" i="4"/>
  <c r="R35" i="4"/>
  <c r="Q35" i="4"/>
  <c r="P35" i="4"/>
  <c r="V156" i="4"/>
  <c r="U156" i="4"/>
  <c r="T156" i="4"/>
  <c r="S156" i="4"/>
  <c r="R156" i="4"/>
  <c r="Q156" i="4"/>
  <c r="P156" i="4"/>
  <c r="U3" i="4"/>
  <c r="V3" i="4" s="1"/>
  <c r="T3" i="4"/>
  <c r="S3" i="4"/>
  <c r="R3" i="4"/>
  <c r="Q3" i="4"/>
  <c r="P3" i="4"/>
  <c r="U231" i="4"/>
  <c r="V231" i="4" s="1"/>
  <c r="T231" i="4"/>
  <c r="S231" i="4"/>
  <c r="R231" i="4"/>
  <c r="Q231" i="4"/>
  <c r="P231" i="4"/>
  <c r="U130" i="4"/>
  <c r="V130" i="4" s="1"/>
  <c r="T130" i="4"/>
  <c r="S130" i="4"/>
  <c r="R130" i="4"/>
  <c r="Q130" i="4"/>
  <c r="P130" i="4"/>
  <c r="U111" i="4"/>
  <c r="V111" i="4" s="1"/>
  <c r="T111" i="4"/>
  <c r="S111" i="4"/>
  <c r="R111" i="4"/>
  <c r="Q111" i="4"/>
  <c r="P111" i="4"/>
  <c r="U60" i="4"/>
  <c r="V60" i="4" s="1"/>
  <c r="T60" i="4"/>
  <c r="S60" i="4"/>
  <c r="R60" i="4"/>
  <c r="Q60" i="4"/>
  <c r="P60" i="4"/>
  <c r="U149" i="4"/>
  <c r="V149" i="4" s="1"/>
  <c r="T149" i="4"/>
  <c r="S149" i="4"/>
  <c r="R149" i="4"/>
  <c r="Q149" i="4"/>
  <c r="P149" i="4"/>
  <c r="U40" i="4"/>
  <c r="V40" i="4" s="1"/>
  <c r="T40" i="4"/>
  <c r="S40" i="4"/>
  <c r="R40" i="4"/>
  <c r="Q40" i="4"/>
  <c r="P40" i="4"/>
  <c r="U100" i="4"/>
  <c r="V100" i="4" s="1"/>
  <c r="T100" i="4"/>
  <c r="S100" i="4"/>
  <c r="R100" i="4"/>
  <c r="Q100" i="4"/>
  <c r="P100" i="4"/>
  <c r="U110" i="4"/>
  <c r="V110" i="4" s="1"/>
  <c r="T110" i="4"/>
  <c r="S110" i="4"/>
  <c r="R110" i="4"/>
  <c r="Q110" i="4"/>
  <c r="P110" i="4"/>
  <c r="U178" i="4"/>
  <c r="V178" i="4" s="1"/>
  <c r="T178" i="4"/>
  <c r="S178" i="4"/>
  <c r="R178" i="4"/>
  <c r="Q178" i="4"/>
  <c r="P178" i="4"/>
  <c r="U59" i="4"/>
  <c r="V59" i="4" s="1"/>
  <c r="T59" i="4"/>
  <c r="S59" i="4"/>
  <c r="R59" i="4"/>
  <c r="Q59" i="4"/>
  <c r="P59" i="4"/>
  <c r="U161" i="4"/>
  <c r="V161" i="4" s="1"/>
  <c r="T161" i="4"/>
  <c r="S161" i="4"/>
  <c r="R161" i="4"/>
  <c r="Q161" i="4"/>
  <c r="P161" i="4"/>
  <c r="U152" i="4"/>
  <c r="V152" i="4" s="1"/>
  <c r="T152" i="4"/>
  <c r="S152" i="4"/>
  <c r="R152" i="4"/>
  <c r="Q152" i="4"/>
  <c r="P152" i="4"/>
  <c r="U124" i="4"/>
  <c r="V124" i="4" s="1"/>
  <c r="T124" i="4"/>
  <c r="S124" i="4"/>
  <c r="R124" i="4"/>
  <c r="Q124" i="4"/>
  <c r="P124" i="4"/>
  <c r="U25" i="4"/>
  <c r="V25" i="4" s="1"/>
  <c r="T25" i="4"/>
  <c r="S25" i="4"/>
  <c r="R25" i="4"/>
  <c r="Q25" i="4"/>
  <c r="P25" i="4"/>
  <c r="V78" i="4"/>
  <c r="U78" i="4"/>
  <c r="T78" i="4"/>
  <c r="S78" i="4"/>
  <c r="R78" i="4"/>
  <c r="Q78" i="4"/>
  <c r="P78" i="4"/>
  <c r="U168" i="4"/>
  <c r="V168" i="4" s="1"/>
  <c r="T168" i="4"/>
  <c r="S168" i="4"/>
  <c r="R168" i="4"/>
  <c r="Q168" i="4"/>
  <c r="P168" i="4"/>
  <c r="U6" i="4"/>
  <c r="V6" i="4" s="1"/>
  <c r="T6" i="4"/>
  <c r="S6" i="4"/>
  <c r="R6" i="4"/>
  <c r="Q6" i="4"/>
  <c r="P6" i="4"/>
  <c r="U223" i="4"/>
  <c r="V223" i="4" s="1"/>
  <c r="T223" i="4"/>
  <c r="S223" i="4"/>
  <c r="R223" i="4"/>
  <c r="Q223" i="4"/>
  <c r="P223" i="4"/>
  <c r="U109" i="4"/>
  <c r="V109" i="4" s="1"/>
  <c r="T109" i="4"/>
  <c r="S109" i="4"/>
  <c r="R109" i="4"/>
  <c r="Q109" i="4"/>
  <c r="P109" i="4"/>
  <c r="U157" i="4"/>
  <c r="V157" i="4" s="1"/>
  <c r="T157" i="4"/>
  <c r="S157" i="4"/>
  <c r="R157" i="4"/>
  <c r="Q157" i="4"/>
  <c r="P157" i="4"/>
  <c r="U230" i="4"/>
  <c r="V230" i="4" s="1"/>
  <c r="T230" i="4"/>
  <c r="S230" i="4"/>
  <c r="R230" i="4"/>
  <c r="Q230" i="4"/>
  <c r="P230" i="4"/>
  <c r="U105" i="4"/>
  <c r="V105" i="4" s="1"/>
  <c r="T105" i="4"/>
  <c r="S105" i="4"/>
  <c r="R105" i="4"/>
  <c r="Q105" i="4"/>
  <c r="P105" i="4"/>
  <c r="U133" i="4"/>
  <c r="V133" i="4" s="1"/>
  <c r="T133" i="4"/>
  <c r="S133" i="4"/>
  <c r="R133" i="4"/>
  <c r="Q133" i="4"/>
  <c r="P133" i="4"/>
  <c r="U21" i="4"/>
  <c r="V21" i="4" s="1"/>
  <c r="T21" i="4"/>
  <c r="S21" i="4"/>
  <c r="R21" i="4"/>
  <c r="Q21" i="4"/>
  <c r="P21" i="4"/>
  <c r="U227" i="4"/>
  <c r="V227" i="4" s="1"/>
  <c r="T227" i="4"/>
  <c r="S227" i="4"/>
  <c r="R227" i="4"/>
  <c r="Q227" i="4"/>
  <c r="P227" i="4"/>
  <c r="U195" i="4"/>
  <c r="V195" i="4" s="1"/>
  <c r="T195" i="4"/>
  <c r="S195" i="4"/>
  <c r="R195" i="4"/>
  <c r="Q195" i="4"/>
  <c r="P195" i="4"/>
  <c r="U138" i="4"/>
  <c r="V138" i="4" s="1"/>
  <c r="T138" i="4"/>
  <c r="S138" i="4"/>
  <c r="R138" i="4"/>
  <c r="Q138" i="4"/>
  <c r="P138" i="4"/>
  <c r="U42" i="4"/>
  <c r="V42" i="4" s="1"/>
  <c r="T42" i="4"/>
  <c r="S42" i="4"/>
  <c r="R42" i="4"/>
  <c r="Q42" i="4"/>
  <c r="P42" i="4"/>
  <c r="U103" i="4"/>
  <c r="V103" i="4" s="1"/>
  <c r="T103" i="4"/>
  <c r="S103" i="4"/>
  <c r="R103" i="4"/>
  <c r="Q103" i="4"/>
  <c r="P103" i="4"/>
  <c r="U102" i="4"/>
  <c r="V102" i="4" s="1"/>
  <c r="T102" i="4"/>
  <c r="S102" i="4"/>
  <c r="R102" i="4"/>
  <c r="Q102" i="4"/>
  <c r="P102" i="4"/>
  <c r="V215" i="4"/>
  <c r="U215" i="4"/>
  <c r="T215" i="4"/>
  <c r="S215" i="4"/>
  <c r="R215" i="4"/>
  <c r="Q215" i="4"/>
  <c r="P215" i="4"/>
  <c r="U196" i="4"/>
  <c r="V196" i="4" s="1"/>
  <c r="T196" i="4"/>
  <c r="S196" i="4"/>
  <c r="R196" i="4"/>
  <c r="Q196" i="4"/>
  <c r="P196" i="4"/>
  <c r="U120" i="4"/>
  <c r="V120" i="4" s="1"/>
  <c r="T120" i="4"/>
  <c r="S120" i="4"/>
  <c r="R120" i="4"/>
  <c r="Q120" i="4"/>
  <c r="P120" i="4"/>
  <c r="U5" i="4"/>
  <c r="V5" i="4" s="1"/>
  <c r="T5" i="4"/>
  <c r="S5" i="4"/>
  <c r="R5" i="4"/>
  <c r="Q5" i="4"/>
  <c r="P5" i="4"/>
  <c r="U119" i="4"/>
  <c r="V119" i="4" s="1"/>
  <c r="T119" i="4"/>
  <c r="S119" i="4"/>
  <c r="R119" i="4"/>
  <c r="Q119" i="4"/>
  <c r="P119" i="4"/>
  <c r="U34" i="4"/>
  <c r="V34" i="4" s="1"/>
  <c r="T34" i="4"/>
  <c r="S34" i="4"/>
  <c r="R34" i="4"/>
  <c r="Q34" i="4"/>
  <c r="P34" i="4"/>
  <c r="U67" i="4"/>
  <c r="V67" i="4" s="1"/>
  <c r="T67" i="4"/>
  <c r="S67" i="4"/>
  <c r="R67" i="4"/>
  <c r="Q67" i="4"/>
  <c r="P67" i="4"/>
  <c r="U11" i="4"/>
  <c r="V11" i="4" s="1"/>
  <c r="T11" i="4"/>
  <c r="S11" i="4"/>
  <c r="R11" i="4"/>
  <c r="Q11" i="4"/>
  <c r="P11" i="4"/>
  <c r="U39" i="4"/>
  <c r="V39" i="4" s="1"/>
  <c r="T39" i="4"/>
  <c r="S39" i="4"/>
  <c r="R39" i="4"/>
  <c r="Q39" i="4"/>
  <c r="P39" i="4"/>
  <c r="U95" i="4"/>
  <c r="V95" i="4" s="1"/>
  <c r="T95" i="4"/>
  <c r="S95" i="4"/>
  <c r="R95" i="4"/>
  <c r="Q95" i="4"/>
  <c r="P95" i="4"/>
  <c r="U45" i="4"/>
  <c r="V45" i="4" s="1"/>
  <c r="T45" i="4"/>
  <c r="S45" i="4"/>
  <c r="R45" i="4"/>
  <c r="Q45" i="4"/>
  <c r="P45" i="4"/>
  <c r="U66" i="4"/>
  <c r="V66" i="4" s="1"/>
  <c r="T66" i="4"/>
  <c r="S66" i="4"/>
  <c r="R66" i="4"/>
  <c r="Q66" i="4"/>
  <c r="P66" i="4"/>
  <c r="U144" i="4"/>
  <c r="V144" i="4" s="1"/>
  <c r="T144" i="4"/>
  <c r="S144" i="4"/>
  <c r="R144" i="4"/>
  <c r="Q144" i="4"/>
  <c r="P144" i="4"/>
  <c r="U72" i="4"/>
  <c r="V72" i="4" s="1"/>
  <c r="T72" i="4"/>
  <c r="S72" i="4"/>
  <c r="R72" i="4"/>
  <c r="Q72" i="4"/>
  <c r="P72" i="4"/>
  <c r="U239" i="4"/>
  <c r="V239" i="4" s="1"/>
  <c r="T239" i="4"/>
  <c r="S239" i="4"/>
  <c r="R239" i="4"/>
  <c r="Q239" i="4"/>
  <c r="P239" i="4"/>
  <c r="U201" i="4"/>
  <c r="V201" i="4" s="1"/>
  <c r="T201" i="4"/>
  <c r="S201" i="4"/>
  <c r="R201" i="4"/>
  <c r="Q201" i="4"/>
  <c r="P201" i="4"/>
  <c r="V104" i="4"/>
  <c r="U104" i="4"/>
  <c r="T104" i="4"/>
  <c r="S104" i="4"/>
  <c r="R104" i="4"/>
  <c r="Q104" i="4"/>
  <c r="P104" i="4"/>
  <c r="U99" i="4"/>
  <c r="V99" i="4" s="1"/>
  <c r="T99" i="4"/>
  <c r="S99" i="4"/>
  <c r="R99" i="4"/>
  <c r="Q99" i="4"/>
  <c r="P99" i="4"/>
  <c r="U197" i="4"/>
  <c r="V197" i="4" s="1"/>
  <c r="T197" i="4"/>
  <c r="S197" i="4"/>
  <c r="R197" i="4"/>
  <c r="Q197" i="4"/>
  <c r="P197" i="4"/>
  <c r="U200" i="4"/>
  <c r="V200" i="4" s="1"/>
  <c r="T200" i="4"/>
  <c r="S200" i="4"/>
  <c r="R200" i="4"/>
  <c r="Q200" i="4"/>
  <c r="P200" i="4"/>
  <c r="U153" i="4"/>
  <c r="V153" i="4" s="1"/>
  <c r="T153" i="4"/>
  <c r="S153" i="4"/>
  <c r="R153" i="4"/>
  <c r="Q153" i="4"/>
  <c r="P153" i="4"/>
  <c r="U32" i="4"/>
  <c r="V32" i="4" s="1"/>
  <c r="T32" i="4"/>
  <c r="S32" i="4"/>
  <c r="R32" i="4"/>
  <c r="Q32" i="4"/>
  <c r="P32" i="4"/>
  <c r="U143" i="4"/>
  <c r="V143" i="4" s="1"/>
  <c r="T143" i="4"/>
  <c r="S143" i="4"/>
  <c r="R143" i="4"/>
  <c r="Q143" i="4"/>
  <c r="P143" i="4"/>
  <c r="U83" i="4"/>
  <c r="V83" i="4" s="1"/>
  <c r="T83" i="4"/>
  <c r="S83" i="4"/>
  <c r="R83" i="4"/>
  <c r="Q83" i="4"/>
  <c r="P83" i="4"/>
  <c r="U188" i="4"/>
  <c r="V188" i="4" s="1"/>
  <c r="T188" i="4"/>
  <c r="S188" i="4"/>
  <c r="R188" i="4"/>
  <c r="Q188" i="4"/>
  <c r="P188" i="4"/>
  <c r="U141" i="4"/>
  <c r="V141" i="4" s="1"/>
  <c r="T141" i="4"/>
  <c r="S141" i="4"/>
  <c r="R141" i="4"/>
  <c r="Q141" i="4"/>
  <c r="P141" i="4"/>
  <c r="U219" i="4"/>
  <c r="V219" i="4" s="1"/>
  <c r="T219" i="4"/>
  <c r="S219" i="4"/>
  <c r="R219" i="4"/>
  <c r="Q219" i="4"/>
  <c r="P219" i="4"/>
  <c r="U127" i="4"/>
  <c r="V127" i="4" s="1"/>
  <c r="T127" i="4"/>
  <c r="S127" i="4"/>
  <c r="R127" i="4"/>
  <c r="Q127" i="4"/>
  <c r="P127" i="4"/>
  <c r="U169" i="4"/>
  <c r="V169" i="4" s="1"/>
  <c r="T169" i="4"/>
  <c r="S169" i="4"/>
  <c r="R169" i="4"/>
  <c r="Q169" i="4"/>
  <c r="P169" i="4"/>
  <c r="U155" i="4"/>
  <c r="V155" i="4" s="1"/>
  <c r="T155" i="4"/>
  <c r="S155" i="4"/>
  <c r="R155" i="4"/>
  <c r="Q155" i="4"/>
  <c r="P155" i="4"/>
  <c r="U204" i="4"/>
  <c r="V204" i="4" s="1"/>
  <c r="T204" i="4"/>
  <c r="S204" i="4"/>
  <c r="R204" i="4"/>
  <c r="Q204" i="4"/>
  <c r="P204" i="4"/>
  <c r="U77" i="4"/>
  <c r="V77" i="4" s="1"/>
  <c r="T77" i="4"/>
  <c r="S77" i="4"/>
  <c r="R77" i="4"/>
  <c r="Q77" i="4"/>
  <c r="P77" i="4"/>
  <c r="U29" i="4"/>
  <c r="V29" i="4" s="1"/>
  <c r="T29" i="4"/>
  <c r="S29" i="4"/>
  <c r="R29" i="4"/>
  <c r="Q29" i="4"/>
  <c r="P29" i="4"/>
  <c r="U171" i="4"/>
  <c r="V171" i="4" s="1"/>
  <c r="T171" i="4"/>
  <c r="S171" i="4"/>
  <c r="R171" i="4"/>
  <c r="Q171" i="4"/>
  <c r="P171" i="4"/>
  <c r="U118" i="4"/>
  <c r="V118" i="4" s="1"/>
  <c r="T118" i="4"/>
  <c r="S118" i="4"/>
  <c r="R118" i="4"/>
  <c r="Q118" i="4"/>
  <c r="P118" i="4"/>
  <c r="U86" i="4"/>
  <c r="V86" i="4" s="1"/>
  <c r="T86" i="4"/>
  <c r="S86" i="4"/>
  <c r="R86" i="4"/>
  <c r="Q86" i="4"/>
  <c r="P86" i="4"/>
  <c r="U82" i="4"/>
  <c r="V82" i="4" s="1"/>
  <c r="T82" i="4"/>
  <c r="S82" i="4"/>
  <c r="R82" i="4"/>
  <c r="Q82" i="4"/>
  <c r="P82" i="4"/>
  <c r="U208" i="4"/>
  <c r="V208" i="4" s="1"/>
  <c r="T208" i="4"/>
  <c r="S208" i="4"/>
  <c r="R208" i="4"/>
  <c r="Q208" i="4"/>
  <c r="P208" i="4"/>
  <c r="U31" i="4"/>
  <c r="V31" i="4" s="1"/>
  <c r="T31" i="4"/>
  <c r="S31" i="4"/>
  <c r="R31" i="4"/>
  <c r="Q31" i="4"/>
  <c r="P31" i="4"/>
  <c r="U49" i="4"/>
  <c r="V49" i="4" s="1"/>
  <c r="T49" i="4"/>
  <c r="S49" i="4"/>
  <c r="R49" i="4"/>
  <c r="Q49" i="4"/>
  <c r="P49" i="4"/>
  <c r="U183" i="4"/>
  <c r="V183" i="4" s="1"/>
  <c r="T183" i="4"/>
  <c r="S183" i="4"/>
  <c r="R183" i="4"/>
  <c r="Q183" i="4"/>
  <c r="P183" i="4"/>
  <c r="U20" i="4"/>
  <c r="V20" i="4" s="1"/>
  <c r="T20" i="4"/>
  <c r="S20" i="4"/>
  <c r="R20" i="4"/>
  <c r="Q20" i="4"/>
  <c r="P20" i="4"/>
  <c r="U151" i="4"/>
  <c r="V151" i="4" s="1"/>
  <c r="T151" i="4"/>
  <c r="S151" i="4"/>
  <c r="R151" i="4"/>
  <c r="Q151" i="4"/>
  <c r="P151" i="4"/>
  <c r="U57" i="4"/>
  <c r="V57" i="4" s="1"/>
  <c r="T57" i="4"/>
  <c r="S57" i="4"/>
  <c r="R57" i="4"/>
  <c r="Q57" i="4"/>
  <c r="P57" i="4"/>
  <c r="U224" i="4"/>
  <c r="V224" i="4" s="1"/>
  <c r="T224" i="4"/>
  <c r="S224" i="4"/>
  <c r="R224" i="4"/>
  <c r="Q224" i="4"/>
  <c r="P224" i="4"/>
  <c r="U192" i="4"/>
  <c r="V192" i="4" s="1"/>
  <c r="T192" i="4"/>
  <c r="S192" i="4"/>
  <c r="R192" i="4"/>
  <c r="Q192" i="4"/>
  <c r="P192" i="4"/>
  <c r="U132" i="4"/>
  <c r="V132" i="4" s="1"/>
  <c r="T132" i="4"/>
  <c r="S132" i="4"/>
  <c r="R132" i="4"/>
  <c r="Q132" i="4"/>
  <c r="P132" i="4"/>
  <c r="U115" i="4"/>
  <c r="V115" i="4" s="1"/>
  <c r="T115" i="4"/>
  <c r="S115" i="4"/>
  <c r="R115" i="4"/>
  <c r="Q115" i="4"/>
  <c r="P115" i="4"/>
  <c r="U207" i="4"/>
  <c r="V207" i="4" s="1"/>
  <c r="T207" i="4"/>
  <c r="S207" i="4"/>
  <c r="R207" i="4"/>
  <c r="Q207" i="4"/>
  <c r="P207" i="4"/>
  <c r="U94" i="4"/>
  <c r="V94" i="4" s="1"/>
  <c r="T94" i="4"/>
  <c r="S94" i="4"/>
  <c r="R94" i="4"/>
  <c r="Q94" i="4"/>
  <c r="P94" i="4"/>
  <c r="U113" i="4"/>
  <c r="V113" i="4" s="1"/>
  <c r="T113" i="4"/>
  <c r="S113" i="4"/>
  <c r="R113" i="4"/>
  <c r="Q113" i="4"/>
  <c r="P113" i="4"/>
  <c r="U234" i="4"/>
  <c r="V234" i="4" s="1"/>
  <c r="T234" i="4"/>
  <c r="S234" i="4"/>
  <c r="R234" i="4"/>
  <c r="Q234" i="4"/>
  <c r="P234" i="4"/>
  <c r="U160" i="4"/>
  <c r="V160" i="4" s="1"/>
  <c r="T160" i="4"/>
  <c r="S160" i="4"/>
  <c r="R160" i="4"/>
  <c r="Q160" i="4"/>
  <c r="P160" i="4"/>
  <c r="U55" i="4"/>
  <c r="V55" i="4" s="1"/>
  <c r="T55" i="4"/>
  <c r="S55" i="4"/>
  <c r="R55" i="4"/>
  <c r="Q55" i="4"/>
  <c r="P55" i="4"/>
  <c r="U76" i="4"/>
  <c r="V76" i="4" s="1"/>
  <c r="T76" i="4"/>
  <c r="S76" i="4"/>
  <c r="R76" i="4"/>
  <c r="Q76" i="4"/>
  <c r="P76" i="4"/>
  <c r="U56" i="4"/>
  <c r="V56" i="4" s="1"/>
  <c r="T56" i="4"/>
  <c r="S56" i="4"/>
  <c r="R56" i="4"/>
  <c r="Q56" i="4"/>
  <c r="P56" i="4"/>
  <c r="U16" i="4"/>
  <c r="V16" i="4" s="1"/>
  <c r="T16" i="4"/>
  <c r="S16" i="4"/>
  <c r="R16" i="4"/>
  <c r="Q16" i="4"/>
  <c r="P16" i="4"/>
  <c r="U203" i="4"/>
  <c r="V203" i="4" s="1"/>
  <c r="T203" i="4"/>
  <c r="S203" i="4"/>
  <c r="R203" i="4"/>
  <c r="Q203" i="4"/>
  <c r="P203" i="4"/>
  <c r="U101" i="4"/>
  <c r="V101" i="4" s="1"/>
  <c r="T101" i="4"/>
  <c r="S101" i="4"/>
  <c r="R101" i="4"/>
  <c r="Q101" i="4"/>
  <c r="P101" i="4"/>
  <c r="U41" i="4"/>
  <c r="V41" i="4" s="1"/>
  <c r="T41" i="4"/>
  <c r="S41" i="4"/>
  <c r="R41" i="4"/>
  <c r="Q41" i="4"/>
  <c r="P41" i="4"/>
  <c r="U213" i="4"/>
  <c r="V213" i="4" s="1"/>
  <c r="T213" i="4"/>
  <c r="S213" i="4"/>
  <c r="R213" i="4"/>
  <c r="Q213" i="4"/>
  <c r="P213" i="4"/>
  <c r="U181" i="4"/>
  <c r="V181" i="4" s="1"/>
  <c r="T181" i="4"/>
  <c r="S181" i="4"/>
  <c r="R181" i="4"/>
  <c r="Q181" i="4"/>
  <c r="P181" i="4"/>
  <c r="U33" i="4"/>
  <c r="V33" i="4" s="1"/>
  <c r="T33" i="4"/>
  <c r="S33" i="4"/>
  <c r="R33" i="4"/>
  <c r="Q33" i="4"/>
  <c r="P33" i="4"/>
  <c r="U177" i="4"/>
  <c r="V177" i="4" s="1"/>
  <c r="T177" i="4"/>
  <c r="S177" i="4"/>
  <c r="R177" i="4"/>
  <c r="Q177" i="4"/>
  <c r="P177" i="4"/>
  <c r="U108" i="4"/>
  <c r="V108" i="4" s="1"/>
  <c r="T108" i="4"/>
  <c r="S108" i="4"/>
  <c r="R108" i="4"/>
  <c r="Q108" i="4"/>
  <c r="P108" i="4"/>
  <c r="O5" i="2" l="1"/>
  <c r="P5" i="2"/>
  <c r="Q5" i="2"/>
  <c r="R5" i="2"/>
  <c r="S5" i="2"/>
  <c r="T5" i="2"/>
  <c r="U5" i="2" s="1"/>
  <c r="O6" i="2"/>
  <c r="P6" i="2"/>
  <c r="Q6" i="2"/>
  <c r="R6" i="2"/>
  <c r="S6" i="2"/>
  <c r="T6" i="2"/>
  <c r="U6" i="2" s="1"/>
  <c r="O7" i="2"/>
  <c r="P7" i="2"/>
  <c r="Q7" i="2"/>
  <c r="R7" i="2"/>
  <c r="S7" i="2"/>
  <c r="T7" i="2"/>
  <c r="U7" i="2" s="1"/>
  <c r="O8" i="2"/>
  <c r="P8" i="2"/>
  <c r="Q8" i="2"/>
  <c r="R8" i="2"/>
  <c r="S8" i="2"/>
  <c r="T8" i="2"/>
  <c r="U8" i="2" s="1"/>
  <c r="O9" i="2"/>
  <c r="P9" i="2"/>
  <c r="Q9" i="2"/>
  <c r="R9" i="2"/>
  <c r="S9" i="2"/>
  <c r="T9" i="2"/>
  <c r="U9" i="2" s="1"/>
  <c r="O10" i="2"/>
  <c r="P10" i="2"/>
  <c r="Q10" i="2"/>
  <c r="R10" i="2"/>
  <c r="S10" i="2"/>
  <c r="T10" i="2"/>
  <c r="U10" i="2"/>
  <c r="O11" i="2"/>
  <c r="P11" i="2"/>
  <c r="Q11" i="2"/>
  <c r="R11" i="2"/>
  <c r="S11" i="2"/>
  <c r="T11" i="2"/>
  <c r="U11" i="2" s="1"/>
  <c r="O12" i="2"/>
  <c r="P12" i="2"/>
  <c r="Q12" i="2"/>
  <c r="R12" i="2"/>
  <c r="S12" i="2"/>
  <c r="T12" i="2"/>
  <c r="U12" i="2" s="1"/>
  <c r="O13" i="2"/>
  <c r="P13" i="2"/>
  <c r="Q13" i="2"/>
  <c r="R13" i="2"/>
  <c r="S13" i="2"/>
  <c r="T13" i="2"/>
  <c r="U13" i="2" s="1"/>
  <c r="O14" i="2"/>
  <c r="P14" i="2"/>
  <c r="Q14" i="2"/>
  <c r="R14" i="2"/>
  <c r="S14" i="2"/>
  <c r="T14" i="2"/>
  <c r="U14" i="2" s="1"/>
  <c r="O15" i="2"/>
  <c r="P15" i="2"/>
  <c r="Q15" i="2"/>
  <c r="R15" i="2"/>
  <c r="S15" i="2"/>
  <c r="T15" i="2"/>
  <c r="U15" i="2" s="1"/>
  <c r="O16" i="2"/>
  <c r="P16" i="2"/>
  <c r="Q16" i="2"/>
  <c r="R16" i="2"/>
  <c r="S16" i="2"/>
  <c r="T16" i="2"/>
  <c r="U16" i="2" s="1"/>
  <c r="O17" i="2"/>
  <c r="P17" i="2"/>
  <c r="Q17" i="2"/>
  <c r="R17" i="2"/>
  <c r="S17" i="2"/>
  <c r="T17" i="2"/>
  <c r="U17" i="2" s="1"/>
  <c r="O18" i="2"/>
  <c r="P18" i="2"/>
  <c r="Q18" i="2"/>
  <c r="R18" i="2"/>
  <c r="S18" i="2"/>
  <c r="T18" i="2"/>
  <c r="U18" i="2" s="1"/>
  <c r="O19" i="2"/>
  <c r="P19" i="2"/>
  <c r="Q19" i="2"/>
  <c r="R19" i="2"/>
  <c r="S19" i="2"/>
  <c r="T19" i="2"/>
  <c r="U19" i="2" s="1"/>
  <c r="O20" i="2"/>
  <c r="P20" i="2"/>
  <c r="Q20" i="2"/>
  <c r="R20" i="2"/>
  <c r="S20" i="2"/>
  <c r="T20" i="2"/>
  <c r="U20" i="2" s="1"/>
  <c r="O21" i="2"/>
  <c r="P21" i="2"/>
  <c r="Q21" i="2"/>
  <c r="R21" i="2"/>
  <c r="S21" i="2"/>
  <c r="T21" i="2"/>
  <c r="U21" i="2" s="1"/>
  <c r="O22" i="2"/>
  <c r="P22" i="2"/>
  <c r="Q22" i="2"/>
  <c r="R22" i="2"/>
  <c r="S22" i="2"/>
  <c r="T22" i="2"/>
  <c r="U22" i="2" s="1"/>
  <c r="O23" i="2"/>
  <c r="P23" i="2"/>
  <c r="Q23" i="2"/>
  <c r="R23" i="2"/>
  <c r="S23" i="2"/>
  <c r="T23" i="2"/>
  <c r="U23" i="2"/>
  <c r="O24" i="2"/>
  <c r="P24" i="2"/>
  <c r="Q24" i="2"/>
  <c r="R24" i="2"/>
  <c r="S24" i="2"/>
  <c r="T24" i="2"/>
  <c r="U24" i="2" s="1"/>
  <c r="O25" i="2"/>
  <c r="P25" i="2"/>
  <c r="Q25" i="2"/>
  <c r="R25" i="2"/>
  <c r="S25" i="2"/>
  <c r="T25" i="2"/>
  <c r="U25" i="2" s="1"/>
  <c r="O26" i="2"/>
  <c r="P26" i="2"/>
  <c r="Q26" i="2"/>
  <c r="R26" i="2"/>
  <c r="S26" i="2"/>
  <c r="T26" i="2"/>
  <c r="U26" i="2"/>
  <c r="O27" i="2"/>
  <c r="P27" i="2"/>
  <c r="Q27" i="2"/>
  <c r="R27" i="2"/>
  <c r="S27" i="2"/>
  <c r="T27" i="2"/>
  <c r="U27" i="2" s="1"/>
  <c r="O28" i="2"/>
  <c r="P28" i="2"/>
  <c r="Q28" i="2"/>
  <c r="R28" i="2"/>
  <c r="S28" i="2"/>
  <c r="T28" i="2"/>
  <c r="U28" i="2"/>
  <c r="O29" i="2"/>
  <c r="P29" i="2"/>
  <c r="Q29" i="2"/>
  <c r="R29" i="2"/>
  <c r="S29" i="2"/>
  <c r="T29" i="2"/>
  <c r="U29" i="2" s="1"/>
  <c r="O30" i="2"/>
  <c r="P30" i="2"/>
  <c r="Q30" i="2"/>
  <c r="R30" i="2"/>
  <c r="S30" i="2"/>
  <c r="T30" i="2"/>
  <c r="U30" i="2" s="1"/>
  <c r="O31" i="2"/>
  <c r="P31" i="2"/>
  <c r="Q31" i="2"/>
  <c r="R31" i="2"/>
  <c r="S31" i="2"/>
  <c r="T31" i="2"/>
  <c r="U31" i="2"/>
  <c r="O32" i="2"/>
  <c r="P32" i="2"/>
  <c r="Q32" i="2"/>
  <c r="R32" i="2"/>
  <c r="S32" i="2"/>
  <c r="T32" i="2"/>
  <c r="U32" i="2" s="1"/>
  <c r="O33" i="2"/>
  <c r="P33" i="2"/>
  <c r="Q33" i="2"/>
  <c r="R33" i="2"/>
  <c r="S33" i="2"/>
  <c r="T33" i="2"/>
  <c r="U33" i="2" s="1"/>
  <c r="O34" i="2"/>
  <c r="P34" i="2"/>
  <c r="Q34" i="2"/>
  <c r="R34" i="2"/>
  <c r="S34" i="2"/>
  <c r="T34" i="2"/>
  <c r="U34" i="2" s="1"/>
  <c r="O35" i="2"/>
  <c r="P35" i="2"/>
  <c r="Q35" i="2"/>
  <c r="R35" i="2"/>
  <c r="S35" i="2"/>
  <c r="T35" i="2"/>
  <c r="U35" i="2" s="1"/>
  <c r="O36" i="2"/>
  <c r="P36" i="2"/>
  <c r="Q36" i="2"/>
  <c r="R36" i="2"/>
  <c r="S36" i="2"/>
  <c r="T36" i="2"/>
  <c r="U36" i="2" s="1"/>
  <c r="O37" i="2"/>
  <c r="P37" i="2"/>
  <c r="Q37" i="2"/>
  <c r="R37" i="2"/>
  <c r="S37" i="2"/>
  <c r="T37" i="2"/>
  <c r="U37" i="2" s="1"/>
  <c r="O38" i="2"/>
  <c r="P38" i="2"/>
  <c r="Q38" i="2"/>
  <c r="R38" i="2"/>
  <c r="S38" i="2"/>
  <c r="T38" i="2"/>
  <c r="U38" i="2" s="1"/>
  <c r="O39" i="2"/>
  <c r="P39" i="2"/>
  <c r="Q39" i="2"/>
  <c r="R39" i="2"/>
  <c r="S39" i="2"/>
  <c r="T39" i="2"/>
  <c r="U39" i="2"/>
  <c r="O40" i="2"/>
  <c r="P40" i="2"/>
  <c r="Q40" i="2"/>
  <c r="R40" i="2"/>
  <c r="S40" i="2"/>
  <c r="T40" i="2"/>
  <c r="U40" i="2" s="1"/>
  <c r="O41" i="2"/>
  <c r="P41" i="2"/>
  <c r="Q41" i="2"/>
  <c r="R41" i="2"/>
  <c r="S41" i="2"/>
  <c r="T41" i="2"/>
  <c r="U41" i="2" s="1"/>
  <c r="O42" i="2"/>
  <c r="P42" i="2"/>
  <c r="Q42" i="2"/>
  <c r="R42" i="2"/>
  <c r="S42" i="2"/>
  <c r="T42" i="2"/>
  <c r="U42" i="2"/>
  <c r="O43" i="2"/>
  <c r="P43" i="2"/>
  <c r="Q43" i="2"/>
  <c r="R43" i="2"/>
  <c r="S43" i="2"/>
  <c r="T43" i="2"/>
  <c r="U43" i="2" s="1"/>
  <c r="O44" i="2"/>
  <c r="P44" i="2"/>
  <c r="Q44" i="2"/>
  <c r="R44" i="2"/>
  <c r="S44" i="2"/>
  <c r="T44" i="2"/>
  <c r="U44" i="2"/>
  <c r="O45" i="2"/>
  <c r="P45" i="2"/>
  <c r="Q45" i="2"/>
  <c r="R45" i="2"/>
  <c r="S45" i="2"/>
  <c r="T45" i="2"/>
  <c r="U45" i="2" s="1"/>
  <c r="O46" i="2"/>
  <c r="P46" i="2"/>
  <c r="Q46" i="2"/>
  <c r="R46" i="2"/>
  <c r="S46" i="2"/>
  <c r="T46" i="2"/>
  <c r="U46" i="2" s="1"/>
  <c r="O47" i="2"/>
  <c r="P47" i="2"/>
  <c r="Q47" i="2"/>
  <c r="R47" i="2"/>
  <c r="S47" i="2"/>
  <c r="T47" i="2"/>
  <c r="U47" i="2"/>
  <c r="O48" i="2"/>
  <c r="P48" i="2"/>
  <c r="Q48" i="2"/>
  <c r="R48" i="2"/>
  <c r="S48" i="2"/>
  <c r="T48" i="2"/>
  <c r="U48" i="2" s="1"/>
  <c r="O49" i="2"/>
  <c r="P49" i="2"/>
  <c r="Q49" i="2"/>
  <c r="R49" i="2"/>
  <c r="S49" i="2"/>
  <c r="T49" i="2"/>
  <c r="U49" i="2" s="1"/>
  <c r="O50" i="2"/>
  <c r="P50" i="2"/>
  <c r="Q50" i="2"/>
  <c r="R50" i="2"/>
  <c r="S50" i="2"/>
  <c r="T50" i="2"/>
  <c r="U50" i="2" s="1"/>
  <c r="O51" i="2"/>
  <c r="P51" i="2"/>
  <c r="Q51" i="2"/>
  <c r="R51" i="2"/>
  <c r="S51" i="2"/>
  <c r="T51" i="2"/>
  <c r="U51" i="2" s="1"/>
  <c r="O52" i="2"/>
  <c r="P52" i="2"/>
  <c r="Q52" i="2"/>
  <c r="R52" i="2"/>
  <c r="S52" i="2"/>
  <c r="T52" i="2"/>
  <c r="U52" i="2"/>
  <c r="O53" i="2"/>
  <c r="P53" i="2"/>
  <c r="Q53" i="2"/>
  <c r="R53" i="2"/>
  <c r="S53" i="2"/>
  <c r="T53" i="2"/>
  <c r="U53" i="2" s="1"/>
  <c r="O54" i="2"/>
  <c r="P54" i="2"/>
  <c r="Q54" i="2"/>
  <c r="R54" i="2"/>
  <c r="S54" i="2"/>
  <c r="T54" i="2"/>
  <c r="U54" i="2" s="1"/>
  <c r="O55" i="2"/>
  <c r="P55" i="2"/>
  <c r="Q55" i="2"/>
  <c r="R55" i="2"/>
  <c r="S55" i="2"/>
  <c r="T55" i="2"/>
  <c r="U55" i="2" s="1"/>
  <c r="O56" i="2"/>
  <c r="P56" i="2"/>
  <c r="Q56" i="2"/>
  <c r="R56" i="2"/>
  <c r="S56" i="2"/>
  <c r="T56" i="2"/>
  <c r="U56" i="2"/>
  <c r="O57" i="2"/>
  <c r="P57" i="2"/>
  <c r="Q57" i="2"/>
  <c r="R57" i="2"/>
  <c r="S57" i="2"/>
  <c r="T57" i="2"/>
  <c r="U57" i="2" s="1"/>
  <c r="O58" i="2"/>
  <c r="P58" i="2"/>
  <c r="Q58" i="2"/>
  <c r="R58" i="2"/>
  <c r="S58" i="2"/>
  <c r="T58" i="2"/>
  <c r="U58" i="2" s="1"/>
  <c r="O59" i="2"/>
  <c r="P59" i="2"/>
  <c r="Q59" i="2"/>
  <c r="R59" i="2"/>
  <c r="S59" i="2"/>
  <c r="T59" i="2"/>
  <c r="U59" i="2"/>
  <c r="O60" i="2"/>
  <c r="P60" i="2"/>
  <c r="Q60" i="2"/>
  <c r="R60" i="2"/>
  <c r="S60" i="2"/>
  <c r="T60" i="2"/>
  <c r="U60" i="2" s="1"/>
  <c r="O61" i="2"/>
  <c r="P61" i="2"/>
  <c r="Q61" i="2"/>
  <c r="R61" i="2"/>
  <c r="S61" i="2"/>
  <c r="T61" i="2"/>
  <c r="U61" i="2" s="1"/>
  <c r="O62" i="2"/>
  <c r="P62" i="2"/>
  <c r="Q62" i="2"/>
  <c r="R62" i="2"/>
  <c r="S62" i="2"/>
  <c r="T62" i="2"/>
  <c r="U62" i="2"/>
  <c r="O63" i="2"/>
  <c r="P63" i="2"/>
  <c r="Q63" i="2"/>
  <c r="R63" i="2"/>
  <c r="S63" i="2"/>
  <c r="T63" i="2"/>
  <c r="U63" i="2" s="1"/>
  <c r="O64" i="2"/>
  <c r="P64" i="2"/>
  <c r="Q64" i="2"/>
  <c r="R64" i="2"/>
  <c r="S64" i="2"/>
  <c r="T64" i="2"/>
  <c r="U64" i="2" s="1"/>
  <c r="O65" i="2"/>
  <c r="P65" i="2"/>
  <c r="Q65" i="2"/>
  <c r="R65" i="2"/>
  <c r="S65" i="2"/>
  <c r="T65" i="2"/>
  <c r="U65" i="2" s="1"/>
  <c r="O66" i="2"/>
  <c r="P66" i="2"/>
  <c r="Q66" i="2"/>
  <c r="R66" i="2"/>
  <c r="S66" i="2"/>
  <c r="T66" i="2"/>
  <c r="U66" i="2" s="1"/>
  <c r="O67" i="2"/>
  <c r="P67" i="2"/>
  <c r="Q67" i="2"/>
  <c r="R67" i="2"/>
  <c r="S67" i="2"/>
  <c r="T67" i="2"/>
  <c r="U67" i="2" s="1"/>
  <c r="O68" i="2"/>
  <c r="P68" i="2"/>
  <c r="Q68" i="2"/>
  <c r="R68" i="2"/>
  <c r="S68" i="2"/>
  <c r="T68" i="2"/>
  <c r="U68" i="2"/>
  <c r="O69" i="2"/>
  <c r="P69" i="2"/>
  <c r="Q69" i="2"/>
  <c r="R69" i="2"/>
  <c r="S69" i="2"/>
  <c r="T69" i="2"/>
  <c r="U69" i="2" s="1"/>
  <c r="O70" i="2"/>
  <c r="P70" i="2"/>
  <c r="Q70" i="2"/>
  <c r="R70" i="2"/>
  <c r="S70" i="2"/>
  <c r="T70" i="2"/>
  <c r="U70" i="2" s="1"/>
  <c r="O71" i="2"/>
  <c r="P71" i="2"/>
  <c r="Q71" i="2"/>
  <c r="R71" i="2"/>
  <c r="S71" i="2"/>
  <c r="T71" i="2"/>
  <c r="U71" i="2" s="1"/>
  <c r="O72" i="2"/>
  <c r="P72" i="2"/>
  <c r="Q72" i="2"/>
  <c r="R72" i="2"/>
  <c r="S72" i="2"/>
  <c r="T72" i="2"/>
  <c r="U72" i="2"/>
  <c r="O73" i="2"/>
  <c r="P73" i="2"/>
  <c r="Q73" i="2"/>
  <c r="R73" i="2"/>
  <c r="S73" i="2"/>
  <c r="T73" i="2"/>
  <c r="U73" i="2" s="1"/>
  <c r="O74" i="2"/>
  <c r="P74" i="2"/>
  <c r="Q74" i="2"/>
  <c r="R74" i="2"/>
  <c r="S74" i="2"/>
  <c r="T74" i="2"/>
  <c r="U74" i="2" s="1"/>
  <c r="O75" i="2"/>
  <c r="P75" i="2"/>
  <c r="Q75" i="2"/>
  <c r="R75" i="2"/>
  <c r="S75" i="2"/>
  <c r="T75" i="2"/>
  <c r="U75" i="2"/>
  <c r="O76" i="2"/>
  <c r="P76" i="2"/>
  <c r="Q76" i="2"/>
  <c r="R76" i="2"/>
  <c r="S76" i="2"/>
  <c r="T76" i="2"/>
  <c r="U76" i="2" s="1"/>
  <c r="O77" i="2"/>
  <c r="P77" i="2"/>
  <c r="Q77" i="2"/>
  <c r="R77" i="2"/>
  <c r="S77" i="2"/>
  <c r="T77" i="2"/>
  <c r="U77" i="2" s="1"/>
  <c r="O78" i="2"/>
  <c r="P78" i="2"/>
  <c r="Q78" i="2"/>
  <c r="R78" i="2"/>
  <c r="S78" i="2"/>
  <c r="T78" i="2"/>
  <c r="U78" i="2"/>
  <c r="O79" i="2"/>
  <c r="P79" i="2"/>
  <c r="Q79" i="2"/>
  <c r="R79" i="2"/>
  <c r="S79" i="2"/>
  <c r="T79" i="2"/>
  <c r="U79" i="2" s="1"/>
  <c r="O80" i="2"/>
  <c r="P80" i="2"/>
  <c r="Q80" i="2"/>
  <c r="R80" i="2"/>
  <c r="S80" i="2"/>
  <c r="T80" i="2"/>
  <c r="U80" i="2" s="1"/>
  <c r="O81" i="2"/>
  <c r="P81" i="2"/>
  <c r="Q81" i="2"/>
  <c r="R81" i="2"/>
  <c r="S81" i="2"/>
  <c r="T81" i="2"/>
  <c r="U81" i="2" s="1"/>
  <c r="O82" i="2"/>
  <c r="P82" i="2"/>
  <c r="Q82" i="2"/>
  <c r="R82" i="2"/>
  <c r="S82" i="2"/>
  <c r="T82" i="2"/>
  <c r="U82" i="2"/>
  <c r="O83" i="2"/>
  <c r="P83" i="2"/>
  <c r="Q83" i="2"/>
  <c r="R83" i="2"/>
  <c r="S83" i="2"/>
  <c r="T83" i="2"/>
  <c r="U83" i="2" s="1"/>
  <c r="O84" i="2"/>
  <c r="P84" i="2"/>
  <c r="Q84" i="2"/>
  <c r="R84" i="2"/>
  <c r="S84" i="2"/>
  <c r="T84" i="2"/>
  <c r="U84" i="2" s="1"/>
  <c r="O85" i="2"/>
  <c r="P85" i="2"/>
  <c r="Q85" i="2"/>
  <c r="R85" i="2"/>
  <c r="S85" i="2"/>
  <c r="T85" i="2"/>
  <c r="U85" i="2" s="1"/>
  <c r="O86" i="2"/>
  <c r="P86" i="2"/>
  <c r="Q86" i="2"/>
  <c r="R86" i="2"/>
  <c r="S86" i="2"/>
  <c r="T86" i="2"/>
  <c r="U86" i="2" s="1"/>
  <c r="O87" i="2"/>
  <c r="P87" i="2"/>
  <c r="Q87" i="2"/>
  <c r="R87" i="2"/>
  <c r="S87" i="2"/>
  <c r="T87" i="2"/>
  <c r="U87" i="2"/>
  <c r="O88" i="2"/>
  <c r="P88" i="2"/>
  <c r="Q88" i="2"/>
  <c r="R88" i="2"/>
  <c r="S88" i="2"/>
  <c r="T88" i="2"/>
  <c r="U88" i="2" s="1"/>
  <c r="O89" i="2"/>
  <c r="P89" i="2"/>
  <c r="Q89" i="2"/>
  <c r="R89" i="2"/>
  <c r="S89" i="2"/>
  <c r="T89" i="2"/>
  <c r="U89" i="2" s="1"/>
  <c r="O90" i="2"/>
  <c r="P90" i="2"/>
  <c r="Q90" i="2"/>
  <c r="R90" i="2"/>
  <c r="S90" i="2"/>
  <c r="T90" i="2"/>
  <c r="U90" i="2" s="1"/>
  <c r="O91" i="2"/>
  <c r="P91" i="2"/>
  <c r="Q91" i="2"/>
  <c r="R91" i="2"/>
  <c r="S91" i="2"/>
  <c r="T91" i="2"/>
  <c r="U91" i="2"/>
  <c r="O92" i="2"/>
  <c r="P92" i="2"/>
  <c r="Q92" i="2"/>
  <c r="R92" i="2"/>
  <c r="S92" i="2"/>
  <c r="T92" i="2"/>
  <c r="U92" i="2" s="1"/>
  <c r="O93" i="2"/>
  <c r="P93" i="2"/>
  <c r="Q93" i="2"/>
  <c r="R93" i="2"/>
  <c r="S93" i="2"/>
  <c r="T93" i="2"/>
  <c r="U93" i="2" s="1"/>
  <c r="O94" i="2"/>
  <c r="P94" i="2"/>
  <c r="Q94" i="2"/>
  <c r="R94" i="2"/>
  <c r="S94" i="2"/>
  <c r="T94" i="2"/>
  <c r="U94" i="2" s="1"/>
  <c r="O95" i="2"/>
  <c r="P95" i="2"/>
  <c r="Q95" i="2"/>
  <c r="R95" i="2"/>
  <c r="S95" i="2"/>
  <c r="T95" i="2"/>
  <c r="U95" i="2" s="1"/>
  <c r="O96" i="2"/>
  <c r="P96" i="2"/>
  <c r="Q96" i="2"/>
  <c r="R96" i="2"/>
  <c r="S96" i="2"/>
  <c r="T96" i="2"/>
  <c r="U96" i="2"/>
  <c r="O97" i="2"/>
  <c r="P97" i="2"/>
  <c r="Q97" i="2"/>
  <c r="R97" i="2"/>
  <c r="S97" i="2"/>
  <c r="T97" i="2"/>
  <c r="U97" i="2" s="1"/>
  <c r="O98" i="2"/>
  <c r="P98" i="2"/>
  <c r="Q98" i="2"/>
  <c r="R98" i="2"/>
  <c r="S98" i="2"/>
  <c r="T98" i="2"/>
  <c r="U98" i="2" s="1"/>
  <c r="O99" i="2"/>
  <c r="P99" i="2"/>
  <c r="Q99" i="2"/>
  <c r="R99" i="2"/>
  <c r="S99" i="2"/>
  <c r="T99" i="2"/>
  <c r="U99" i="2"/>
  <c r="O100" i="2"/>
  <c r="P100" i="2"/>
  <c r="Q100" i="2"/>
  <c r="R100" i="2"/>
  <c r="S100" i="2"/>
  <c r="T100" i="2"/>
  <c r="U100" i="2" s="1"/>
  <c r="O101" i="2"/>
  <c r="P101" i="2"/>
  <c r="Q101" i="2"/>
  <c r="R101" i="2"/>
  <c r="S101" i="2"/>
  <c r="T101" i="2"/>
  <c r="U101" i="2" s="1"/>
  <c r="O102" i="2"/>
  <c r="P102" i="2"/>
  <c r="Q102" i="2"/>
  <c r="R102" i="2"/>
  <c r="S102" i="2"/>
  <c r="T102" i="2"/>
  <c r="U102" i="2" s="1"/>
  <c r="O103" i="2"/>
  <c r="P103" i="2"/>
  <c r="Q103" i="2"/>
  <c r="R103" i="2"/>
  <c r="S103" i="2"/>
  <c r="T103" i="2"/>
  <c r="U103" i="2" s="1"/>
  <c r="O104" i="2"/>
  <c r="P104" i="2"/>
  <c r="Q104" i="2"/>
  <c r="R104" i="2"/>
  <c r="S104" i="2"/>
  <c r="T104" i="2"/>
  <c r="U104" i="2" s="1"/>
  <c r="O105" i="2"/>
  <c r="P105" i="2"/>
  <c r="Q105" i="2"/>
  <c r="R105" i="2"/>
  <c r="S105" i="2"/>
  <c r="T105" i="2"/>
  <c r="U105" i="2" s="1"/>
  <c r="O106" i="2"/>
  <c r="P106" i="2"/>
  <c r="Q106" i="2"/>
  <c r="R106" i="2"/>
  <c r="S106" i="2"/>
  <c r="T106" i="2"/>
  <c r="U106" i="2" s="1"/>
  <c r="O107" i="2"/>
  <c r="P107" i="2"/>
  <c r="Q107" i="2"/>
  <c r="R107" i="2"/>
  <c r="S107" i="2"/>
  <c r="T107" i="2"/>
  <c r="U107" i="2" s="1"/>
  <c r="O108" i="2"/>
  <c r="P108" i="2"/>
  <c r="Q108" i="2"/>
  <c r="R108" i="2"/>
  <c r="S108" i="2"/>
  <c r="T108" i="2"/>
  <c r="U108" i="2" s="1"/>
  <c r="O109" i="2"/>
  <c r="P109" i="2"/>
  <c r="Q109" i="2"/>
  <c r="R109" i="2"/>
  <c r="S109" i="2"/>
  <c r="T109" i="2"/>
  <c r="U109" i="2" s="1"/>
  <c r="O110" i="2"/>
  <c r="P110" i="2"/>
  <c r="Q110" i="2"/>
  <c r="R110" i="2"/>
  <c r="S110" i="2"/>
  <c r="T110" i="2"/>
  <c r="U110" i="2" s="1"/>
  <c r="O111" i="2"/>
  <c r="P111" i="2"/>
  <c r="Q111" i="2"/>
  <c r="R111" i="2"/>
  <c r="S111" i="2"/>
  <c r="T111" i="2"/>
  <c r="U111" i="2" s="1"/>
  <c r="O112" i="2"/>
  <c r="P112" i="2"/>
  <c r="Q112" i="2"/>
  <c r="R112" i="2"/>
  <c r="S112" i="2"/>
  <c r="T112" i="2"/>
  <c r="U112" i="2"/>
  <c r="O113" i="2"/>
  <c r="P113" i="2"/>
  <c r="Q113" i="2"/>
  <c r="R113" i="2"/>
  <c r="S113" i="2"/>
  <c r="T113" i="2"/>
  <c r="U113" i="2" s="1"/>
  <c r="O114" i="2"/>
  <c r="P114" i="2"/>
  <c r="Q114" i="2"/>
  <c r="R114" i="2"/>
  <c r="S114" i="2"/>
  <c r="T114" i="2"/>
  <c r="U114" i="2" s="1"/>
  <c r="O115" i="2"/>
  <c r="P115" i="2"/>
  <c r="Q115" i="2"/>
  <c r="R115" i="2"/>
  <c r="S115" i="2"/>
  <c r="T115" i="2"/>
  <c r="U115" i="2"/>
  <c r="O116" i="2"/>
  <c r="P116" i="2"/>
  <c r="Q116" i="2"/>
  <c r="R116" i="2"/>
  <c r="S116" i="2"/>
  <c r="T116" i="2"/>
  <c r="U116" i="2" s="1"/>
  <c r="O117" i="2"/>
  <c r="P117" i="2"/>
  <c r="Q117" i="2"/>
  <c r="R117" i="2"/>
  <c r="S117" i="2"/>
  <c r="T117" i="2"/>
  <c r="U117" i="2" s="1"/>
  <c r="O118" i="2"/>
  <c r="P118" i="2"/>
  <c r="Q118" i="2"/>
  <c r="R118" i="2"/>
  <c r="S118" i="2"/>
  <c r="T118" i="2"/>
  <c r="U118" i="2" s="1"/>
  <c r="O119" i="2"/>
  <c r="P119" i="2"/>
  <c r="Q119" i="2"/>
  <c r="R119" i="2"/>
  <c r="S119" i="2"/>
  <c r="T119" i="2"/>
  <c r="U119" i="2" s="1"/>
  <c r="O120" i="2"/>
  <c r="P120" i="2"/>
  <c r="Q120" i="2"/>
  <c r="R120" i="2"/>
  <c r="S120" i="2"/>
  <c r="T120" i="2"/>
  <c r="U120" i="2" s="1"/>
  <c r="O121" i="2"/>
  <c r="P121" i="2"/>
  <c r="Q121" i="2"/>
  <c r="R121" i="2"/>
  <c r="S121" i="2"/>
  <c r="T121" i="2"/>
  <c r="U121" i="2" s="1"/>
  <c r="O122" i="2"/>
  <c r="P122" i="2"/>
  <c r="Q122" i="2"/>
  <c r="R122" i="2"/>
  <c r="S122" i="2"/>
  <c r="T122" i="2"/>
  <c r="U122" i="2" s="1"/>
  <c r="O123" i="2"/>
  <c r="P123" i="2"/>
  <c r="Q123" i="2"/>
  <c r="R123" i="2"/>
  <c r="S123" i="2"/>
  <c r="T123" i="2"/>
  <c r="U123" i="2" s="1"/>
  <c r="O124" i="2"/>
  <c r="P124" i="2"/>
  <c r="Q124" i="2"/>
  <c r="R124" i="2"/>
  <c r="S124" i="2"/>
  <c r="T124" i="2"/>
  <c r="U124" i="2"/>
  <c r="O125" i="2"/>
  <c r="P125" i="2"/>
  <c r="Q125" i="2"/>
  <c r="R125" i="2"/>
  <c r="S125" i="2"/>
  <c r="T125" i="2"/>
  <c r="U125" i="2" s="1"/>
  <c r="O126" i="2"/>
  <c r="P126" i="2"/>
  <c r="Q126" i="2"/>
  <c r="R126" i="2"/>
  <c r="S126" i="2"/>
  <c r="T126" i="2"/>
  <c r="U126" i="2" s="1"/>
  <c r="O127" i="2"/>
  <c r="P127" i="2"/>
  <c r="Q127" i="2"/>
  <c r="R127" i="2"/>
  <c r="S127" i="2"/>
  <c r="T127" i="2"/>
  <c r="U127" i="2" s="1"/>
  <c r="O128" i="2"/>
  <c r="P128" i="2"/>
  <c r="Q128" i="2"/>
  <c r="R128" i="2"/>
  <c r="S128" i="2"/>
  <c r="T128" i="2"/>
  <c r="U128" i="2"/>
  <c r="O129" i="2"/>
  <c r="P129" i="2"/>
  <c r="Q129" i="2"/>
  <c r="R129" i="2"/>
  <c r="S129" i="2"/>
  <c r="T129" i="2"/>
  <c r="U129" i="2" s="1"/>
  <c r="O130" i="2"/>
  <c r="P130" i="2"/>
  <c r="Q130" i="2"/>
  <c r="R130" i="2"/>
  <c r="S130" i="2"/>
  <c r="T130" i="2"/>
  <c r="U130" i="2" s="1"/>
  <c r="O131" i="2"/>
  <c r="P131" i="2"/>
  <c r="Q131" i="2"/>
  <c r="R131" i="2"/>
  <c r="S131" i="2"/>
  <c r="T131" i="2"/>
  <c r="U131" i="2"/>
  <c r="O132" i="2"/>
  <c r="P132" i="2"/>
  <c r="Q132" i="2"/>
  <c r="R132" i="2"/>
  <c r="S132" i="2"/>
  <c r="T132" i="2"/>
  <c r="U132" i="2" s="1"/>
  <c r="O133" i="2"/>
  <c r="P133" i="2"/>
  <c r="Q133" i="2"/>
  <c r="R133" i="2"/>
  <c r="S133" i="2"/>
  <c r="T133" i="2"/>
  <c r="U133" i="2" s="1"/>
  <c r="O134" i="2"/>
  <c r="P134" i="2"/>
  <c r="Q134" i="2"/>
  <c r="R134" i="2"/>
  <c r="S134" i="2"/>
  <c r="T134" i="2"/>
  <c r="U134" i="2" s="1"/>
  <c r="O135" i="2"/>
  <c r="P135" i="2"/>
  <c r="Q135" i="2"/>
  <c r="R135" i="2"/>
  <c r="S135" i="2"/>
  <c r="T135" i="2"/>
  <c r="U135" i="2" s="1"/>
  <c r="O136" i="2"/>
  <c r="P136" i="2"/>
  <c r="Q136" i="2"/>
  <c r="R136" i="2"/>
  <c r="S136" i="2"/>
  <c r="T136" i="2"/>
  <c r="U136" i="2" s="1"/>
  <c r="O137" i="2"/>
  <c r="P137" i="2"/>
  <c r="Q137" i="2"/>
  <c r="R137" i="2"/>
  <c r="S137" i="2"/>
  <c r="T137" i="2"/>
  <c r="U137" i="2" s="1"/>
  <c r="O138" i="2"/>
  <c r="P138" i="2"/>
  <c r="Q138" i="2"/>
  <c r="R138" i="2"/>
  <c r="S138" i="2"/>
  <c r="T138" i="2"/>
  <c r="U138" i="2" s="1"/>
  <c r="O139" i="2"/>
  <c r="P139" i="2"/>
  <c r="Q139" i="2"/>
  <c r="R139" i="2"/>
  <c r="S139" i="2"/>
  <c r="T139" i="2"/>
  <c r="U139" i="2" s="1"/>
  <c r="O140" i="2"/>
  <c r="P140" i="2"/>
  <c r="Q140" i="2"/>
  <c r="R140" i="2"/>
  <c r="S140" i="2"/>
  <c r="T140" i="2"/>
  <c r="U140" i="2" s="1"/>
  <c r="O141" i="2"/>
  <c r="P141" i="2"/>
  <c r="Q141" i="2"/>
  <c r="R141" i="2"/>
  <c r="S141" i="2"/>
  <c r="T141" i="2"/>
  <c r="U141" i="2" s="1"/>
  <c r="O142" i="2"/>
  <c r="P142" i="2"/>
  <c r="Q142" i="2"/>
  <c r="R142" i="2"/>
  <c r="S142" i="2"/>
  <c r="T142" i="2"/>
  <c r="U142" i="2" s="1"/>
  <c r="O143" i="2"/>
  <c r="P143" i="2"/>
  <c r="Q143" i="2"/>
  <c r="R143" i="2"/>
  <c r="S143" i="2"/>
  <c r="T143" i="2"/>
  <c r="U143" i="2" s="1"/>
  <c r="O144" i="2"/>
  <c r="P144" i="2"/>
  <c r="Q144" i="2"/>
  <c r="R144" i="2"/>
  <c r="S144" i="2"/>
  <c r="T144" i="2"/>
  <c r="U144" i="2"/>
  <c r="O145" i="2"/>
  <c r="P145" i="2"/>
  <c r="Q145" i="2"/>
  <c r="R145" i="2"/>
  <c r="S145" i="2"/>
  <c r="T145" i="2"/>
  <c r="U145" i="2" s="1"/>
  <c r="O146" i="2"/>
  <c r="P146" i="2"/>
  <c r="Q146" i="2"/>
  <c r="R146" i="2"/>
  <c r="S146" i="2"/>
  <c r="T146" i="2"/>
  <c r="U146" i="2" s="1"/>
  <c r="O147" i="2"/>
  <c r="P147" i="2"/>
  <c r="Q147" i="2"/>
  <c r="R147" i="2"/>
  <c r="S147" i="2"/>
  <c r="T147" i="2"/>
  <c r="U147" i="2"/>
  <c r="O148" i="2"/>
  <c r="P148" i="2"/>
  <c r="Q148" i="2"/>
  <c r="R148" i="2"/>
  <c r="S148" i="2"/>
  <c r="T148" i="2"/>
  <c r="U148" i="2" s="1"/>
  <c r="O149" i="2"/>
  <c r="P149" i="2"/>
  <c r="Q149" i="2"/>
  <c r="R149" i="2"/>
  <c r="S149" i="2"/>
  <c r="T149" i="2"/>
  <c r="U149" i="2" s="1"/>
  <c r="O150" i="2"/>
  <c r="P150" i="2"/>
  <c r="Q150" i="2"/>
  <c r="R150" i="2"/>
  <c r="S150" i="2"/>
  <c r="T150" i="2"/>
  <c r="U150" i="2" s="1"/>
  <c r="O151" i="2"/>
  <c r="P151" i="2"/>
  <c r="Q151" i="2"/>
  <c r="R151" i="2"/>
  <c r="S151" i="2"/>
  <c r="T151" i="2"/>
  <c r="U151" i="2" s="1"/>
  <c r="O152" i="2"/>
  <c r="P152" i="2"/>
  <c r="Q152" i="2"/>
  <c r="R152" i="2"/>
  <c r="S152" i="2"/>
  <c r="T152" i="2"/>
  <c r="U152" i="2" s="1"/>
  <c r="O153" i="2"/>
  <c r="P153" i="2"/>
  <c r="Q153" i="2"/>
  <c r="R153" i="2"/>
  <c r="S153" i="2"/>
  <c r="T153" i="2"/>
  <c r="U153" i="2" s="1"/>
  <c r="O154" i="2"/>
  <c r="P154" i="2"/>
  <c r="Q154" i="2"/>
  <c r="R154" i="2"/>
  <c r="S154" i="2"/>
  <c r="T154" i="2"/>
  <c r="U154" i="2" s="1"/>
  <c r="O155" i="2"/>
  <c r="P155" i="2"/>
  <c r="Q155" i="2"/>
  <c r="R155" i="2"/>
  <c r="S155" i="2"/>
  <c r="T155" i="2"/>
  <c r="U155" i="2" s="1"/>
  <c r="O156" i="2"/>
  <c r="P156" i="2"/>
  <c r="Q156" i="2"/>
  <c r="R156" i="2"/>
  <c r="S156" i="2"/>
  <c r="T156" i="2"/>
  <c r="U156" i="2"/>
  <c r="O157" i="2"/>
  <c r="P157" i="2"/>
  <c r="Q157" i="2"/>
  <c r="R157" i="2"/>
  <c r="S157" i="2"/>
  <c r="T157" i="2"/>
  <c r="U157" i="2" s="1"/>
  <c r="O158" i="2"/>
  <c r="P158" i="2"/>
  <c r="Q158" i="2"/>
  <c r="R158" i="2"/>
  <c r="S158" i="2"/>
  <c r="T158" i="2"/>
  <c r="U158" i="2" s="1"/>
  <c r="O159" i="2"/>
  <c r="P159" i="2"/>
  <c r="Q159" i="2"/>
  <c r="R159" i="2"/>
  <c r="S159" i="2"/>
  <c r="T159" i="2"/>
  <c r="U159" i="2" s="1"/>
  <c r="O160" i="2"/>
  <c r="P160" i="2"/>
  <c r="Q160" i="2"/>
  <c r="R160" i="2"/>
  <c r="S160" i="2"/>
  <c r="T160" i="2"/>
  <c r="U160" i="2"/>
  <c r="O161" i="2"/>
  <c r="P161" i="2"/>
  <c r="Q161" i="2"/>
  <c r="R161" i="2"/>
  <c r="S161" i="2"/>
  <c r="T161" i="2"/>
  <c r="U161" i="2" s="1"/>
  <c r="O162" i="2"/>
  <c r="P162" i="2"/>
  <c r="Q162" i="2"/>
  <c r="R162" i="2"/>
  <c r="S162" i="2"/>
  <c r="T162" i="2"/>
  <c r="U162" i="2" s="1"/>
  <c r="O163" i="2"/>
  <c r="P163" i="2"/>
  <c r="Q163" i="2"/>
  <c r="R163" i="2"/>
  <c r="S163" i="2"/>
  <c r="T163" i="2"/>
  <c r="U163" i="2"/>
  <c r="O164" i="2"/>
  <c r="P164" i="2"/>
  <c r="Q164" i="2"/>
  <c r="R164" i="2"/>
  <c r="S164" i="2"/>
  <c r="T164" i="2"/>
  <c r="U164" i="2" s="1"/>
  <c r="O165" i="2"/>
  <c r="P165" i="2"/>
  <c r="Q165" i="2"/>
  <c r="R165" i="2"/>
  <c r="S165" i="2"/>
  <c r="T165" i="2"/>
  <c r="U165" i="2" s="1"/>
  <c r="O166" i="2"/>
  <c r="P166" i="2"/>
  <c r="Q166" i="2"/>
  <c r="R166" i="2"/>
  <c r="S166" i="2"/>
  <c r="T166" i="2"/>
  <c r="U166" i="2" s="1"/>
  <c r="O167" i="2"/>
  <c r="P167" i="2"/>
  <c r="Q167" i="2"/>
  <c r="R167" i="2"/>
  <c r="S167" i="2"/>
  <c r="T167" i="2"/>
  <c r="U167" i="2" s="1"/>
  <c r="O168" i="2"/>
  <c r="P168" i="2"/>
  <c r="Q168" i="2"/>
  <c r="R168" i="2"/>
  <c r="S168" i="2"/>
  <c r="T168" i="2"/>
  <c r="U168" i="2" s="1"/>
  <c r="O169" i="2"/>
  <c r="P169" i="2"/>
  <c r="Q169" i="2"/>
  <c r="R169" i="2"/>
  <c r="S169" i="2"/>
  <c r="T169" i="2"/>
  <c r="U169" i="2" s="1"/>
  <c r="O170" i="2"/>
  <c r="P170" i="2"/>
  <c r="Q170" i="2"/>
  <c r="R170" i="2"/>
  <c r="S170" i="2"/>
  <c r="T170" i="2"/>
  <c r="U170" i="2" s="1"/>
  <c r="O171" i="2"/>
  <c r="P171" i="2"/>
  <c r="Q171" i="2"/>
  <c r="R171" i="2"/>
  <c r="S171" i="2"/>
  <c r="T171" i="2"/>
  <c r="U171" i="2" s="1"/>
  <c r="O172" i="2"/>
  <c r="P172" i="2"/>
  <c r="Q172" i="2"/>
  <c r="R172" i="2"/>
  <c r="S172" i="2"/>
  <c r="T172" i="2"/>
  <c r="U172" i="2" s="1"/>
  <c r="O173" i="2"/>
  <c r="P173" i="2"/>
  <c r="Q173" i="2"/>
  <c r="R173" i="2"/>
  <c r="S173" i="2"/>
  <c r="T173" i="2"/>
  <c r="U173" i="2" s="1"/>
  <c r="O174" i="2"/>
  <c r="P174" i="2"/>
  <c r="Q174" i="2"/>
  <c r="R174" i="2"/>
  <c r="S174" i="2"/>
  <c r="T174" i="2"/>
  <c r="U174" i="2" s="1"/>
  <c r="O175" i="2"/>
  <c r="P175" i="2"/>
  <c r="Q175" i="2"/>
  <c r="R175" i="2"/>
  <c r="S175" i="2"/>
  <c r="T175" i="2"/>
  <c r="U175" i="2" s="1"/>
  <c r="O176" i="2"/>
  <c r="P176" i="2"/>
  <c r="Q176" i="2"/>
  <c r="R176" i="2"/>
  <c r="S176" i="2"/>
  <c r="T176" i="2"/>
  <c r="U176" i="2"/>
  <c r="O177" i="2"/>
  <c r="P177" i="2"/>
  <c r="Q177" i="2"/>
  <c r="R177" i="2"/>
  <c r="S177" i="2"/>
  <c r="T177" i="2"/>
  <c r="U177" i="2" s="1"/>
  <c r="O178" i="2"/>
  <c r="P178" i="2"/>
  <c r="Q178" i="2"/>
  <c r="R178" i="2"/>
  <c r="S178" i="2"/>
  <c r="T178" i="2"/>
  <c r="U178" i="2" s="1"/>
  <c r="O179" i="2"/>
  <c r="P179" i="2"/>
  <c r="Q179" i="2"/>
  <c r="R179" i="2"/>
  <c r="S179" i="2"/>
  <c r="T179" i="2"/>
  <c r="U179" i="2"/>
  <c r="O180" i="2"/>
  <c r="P180" i="2"/>
  <c r="Q180" i="2"/>
  <c r="R180" i="2"/>
  <c r="S180" i="2"/>
  <c r="T180" i="2"/>
  <c r="U180" i="2" s="1"/>
  <c r="O181" i="2"/>
  <c r="P181" i="2"/>
  <c r="Q181" i="2"/>
  <c r="R181" i="2"/>
  <c r="S181" i="2"/>
  <c r="T181" i="2"/>
  <c r="U181" i="2" s="1"/>
  <c r="O182" i="2"/>
  <c r="P182" i="2"/>
  <c r="Q182" i="2"/>
  <c r="R182" i="2"/>
  <c r="S182" i="2"/>
  <c r="T182" i="2"/>
  <c r="U182" i="2" s="1"/>
  <c r="O183" i="2"/>
  <c r="P183" i="2"/>
  <c r="Q183" i="2"/>
  <c r="R183" i="2"/>
  <c r="S183" i="2"/>
  <c r="T183" i="2"/>
  <c r="U183" i="2" s="1"/>
  <c r="O184" i="2"/>
  <c r="P184" i="2"/>
  <c r="Q184" i="2"/>
  <c r="R184" i="2"/>
  <c r="S184" i="2"/>
  <c r="T184" i="2"/>
  <c r="U184" i="2" s="1"/>
  <c r="O185" i="2"/>
  <c r="P185" i="2"/>
  <c r="Q185" i="2"/>
  <c r="R185" i="2"/>
  <c r="S185" i="2"/>
  <c r="T185" i="2"/>
  <c r="U185" i="2" s="1"/>
  <c r="O186" i="2"/>
  <c r="P186" i="2"/>
  <c r="Q186" i="2"/>
  <c r="R186" i="2"/>
  <c r="S186" i="2"/>
  <c r="T186" i="2"/>
  <c r="U186" i="2" s="1"/>
  <c r="O187" i="2"/>
  <c r="P187" i="2"/>
  <c r="Q187" i="2"/>
  <c r="R187" i="2"/>
  <c r="S187" i="2"/>
  <c r="T187" i="2"/>
  <c r="U187" i="2" s="1"/>
  <c r="O188" i="2"/>
  <c r="P188" i="2"/>
  <c r="Q188" i="2"/>
  <c r="R188" i="2"/>
  <c r="S188" i="2"/>
  <c r="T188" i="2"/>
  <c r="U188" i="2"/>
  <c r="O189" i="2"/>
  <c r="P189" i="2"/>
  <c r="Q189" i="2"/>
  <c r="R189" i="2"/>
  <c r="S189" i="2"/>
  <c r="T189" i="2"/>
  <c r="U189" i="2" s="1"/>
  <c r="O190" i="2"/>
  <c r="P190" i="2"/>
  <c r="Q190" i="2"/>
  <c r="R190" i="2"/>
  <c r="S190" i="2"/>
  <c r="T190" i="2"/>
  <c r="U190" i="2" s="1"/>
  <c r="O191" i="2"/>
  <c r="P191" i="2"/>
  <c r="Q191" i="2"/>
  <c r="R191" i="2"/>
  <c r="S191" i="2"/>
  <c r="T191" i="2"/>
  <c r="U191" i="2" s="1"/>
  <c r="O192" i="2"/>
  <c r="P192" i="2"/>
  <c r="Q192" i="2"/>
  <c r="R192" i="2"/>
  <c r="S192" i="2"/>
  <c r="T192" i="2"/>
  <c r="U192" i="2"/>
  <c r="O193" i="2"/>
  <c r="P193" i="2"/>
  <c r="Q193" i="2"/>
  <c r="R193" i="2"/>
  <c r="S193" i="2"/>
  <c r="T193" i="2"/>
  <c r="U193" i="2" s="1"/>
  <c r="O194" i="2"/>
  <c r="P194" i="2"/>
  <c r="Q194" i="2"/>
  <c r="R194" i="2"/>
  <c r="S194" i="2"/>
  <c r="T194" i="2"/>
  <c r="U194" i="2" s="1"/>
  <c r="O195" i="2"/>
  <c r="P195" i="2"/>
  <c r="Q195" i="2"/>
  <c r="R195" i="2"/>
  <c r="S195" i="2"/>
  <c r="T195" i="2"/>
  <c r="U195" i="2"/>
  <c r="O196" i="2"/>
  <c r="P196" i="2"/>
  <c r="Q196" i="2"/>
  <c r="R196" i="2"/>
  <c r="S196" i="2"/>
  <c r="T196" i="2"/>
  <c r="U196" i="2" s="1"/>
  <c r="O197" i="2"/>
  <c r="P197" i="2"/>
  <c r="Q197" i="2"/>
  <c r="R197" i="2"/>
  <c r="S197" i="2"/>
  <c r="T197" i="2"/>
  <c r="U197" i="2" s="1"/>
  <c r="O198" i="2"/>
  <c r="P198" i="2"/>
  <c r="Q198" i="2"/>
  <c r="R198" i="2"/>
  <c r="S198" i="2"/>
  <c r="T198" i="2"/>
  <c r="U198" i="2" s="1"/>
  <c r="O199" i="2"/>
  <c r="P199" i="2"/>
  <c r="Q199" i="2"/>
  <c r="R199" i="2"/>
  <c r="S199" i="2"/>
  <c r="T199" i="2"/>
  <c r="U199" i="2" s="1"/>
  <c r="O200" i="2"/>
  <c r="P200" i="2"/>
  <c r="Q200" i="2"/>
  <c r="R200" i="2"/>
  <c r="S200" i="2"/>
  <c r="T200" i="2"/>
  <c r="U200" i="2" s="1"/>
  <c r="O201" i="2"/>
  <c r="P201" i="2"/>
  <c r="Q201" i="2"/>
  <c r="R201" i="2"/>
  <c r="S201" i="2"/>
  <c r="T201" i="2"/>
  <c r="U201" i="2" s="1"/>
  <c r="O202" i="2"/>
  <c r="P202" i="2"/>
  <c r="Q202" i="2"/>
  <c r="R202" i="2"/>
  <c r="S202" i="2"/>
  <c r="T202" i="2"/>
  <c r="U202" i="2" s="1"/>
  <c r="O203" i="2"/>
  <c r="P203" i="2"/>
  <c r="Q203" i="2"/>
  <c r="R203" i="2"/>
  <c r="S203" i="2"/>
  <c r="T203" i="2"/>
  <c r="U203" i="2" s="1"/>
  <c r="O204" i="2"/>
  <c r="P204" i="2"/>
  <c r="Q204" i="2"/>
  <c r="R204" i="2"/>
  <c r="S204" i="2"/>
  <c r="T204" i="2"/>
  <c r="U204" i="2" s="1"/>
  <c r="O205" i="2"/>
  <c r="P205" i="2"/>
  <c r="Q205" i="2"/>
  <c r="R205" i="2"/>
  <c r="S205" i="2"/>
  <c r="T205" i="2"/>
  <c r="U205" i="2" s="1"/>
  <c r="O206" i="2"/>
  <c r="P206" i="2"/>
  <c r="Q206" i="2"/>
  <c r="R206" i="2"/>
  <c r="S206" i="2"/>
  <c r="T206" i="2"/>
  <c r="U206" i="2" s="1"/>
  <c r="O207" i="2"/>
  <c r="P207" i="2"/>
  <c r="Q207" i="2"/>
  <c r="R207" i="2"/>
  <c r="S207" i="2"/>
  <c r="T207" i="2"/>
  <c r="U207" i="2" s="1"/>
  <c r="O208" i="2"/>
  <c r="P208" i="2"/>
  <c r="Q208" i="2"/>
  <c r="R208" i="2"/>
  <c r="S208" i="2"/>
  <c r="T208" i="2"/>
  <c r="U208" i="2"/>
  <c r="O209" i="2"/>
  <c r="P209" i="2"/>
  <c r="Q209" i="2"/>
  <c r="R209" i="2"/>
  <c r="S209" i="2"/>
  <c r="T209" i="2"/>
  <c r="U209" i="2" s="1"/>
  <c r="O210" i="2"/>
  <c r="P210" i="2"/>
  <c r="Q210" i="2"/>
  <c r="R210" i="2"/>
  <c r="S210" i="2"/>
  <c r="T210" i="2"/>
  <c r="U210" i="2" s="1"/>
  <c r="O211" i="2"/>
  <c r="P211" i="2"/>
  <c r="Q211" i="2"/>
  <c r="R211" i="2"/>
  <c r="S211" i="2"/>
  <c r="T211" i="2"/>
  <c r="U211" i="2"/>
  <c r="O212" i="2"/>
  <c r="P212" i="2"/>
  <c r="Q212" i="2"/>
  <c r="R212" i="2"/>
  <c r="S212" i="2"/>
  <c r="T212" i="2"/>
  <c r="U212" i="2" s="1"/>
  <c r="O213" i="2"/>
  <c r="P213" i="2"/>
  <c r="Q213" i="2"/>
  <c r="R213" i="2"/>
  <c r="S213" i="2"/>
  <c r="T213" i="2"/>
  <c r="U213" i="2" s="1"/>
  <c r="O214" i="2"/>
  <c r="P214" i="2"/>
  <c r="Q214" i="2"/>
  <c r="R214" i="2"/>
  <c r="S214" i="2"/>
  <c r="T214" i="2"/>
  <c r="U214" i="2" s="1"/>
  <c r="O215" i="2"/>
  <c r="P215" i="2"/>
  <c r="Q215" i="2"/>
  <c r="R215" i="2"/>
  <c r="S215" i="2"/>
  <c r="T215" i="2"/>
  <c r="U215" i="2" s="1"/>
  <c r="O216" i="2"/>
  <c r="P216" i="2"/>
  <c r="Q216" i="2"/>
  <c r="R216" i="2"/>
  <c r="S216" i="2"/>
  <c r="T216" i="2"/>
  <c r="U216" i="2" s="1"/>
  <c r="O217" i="2"/>
  <c r="P217" i="2"/>
  <c r="Q217" i="2"/>
  <c r="R217" i="2"/>
  <c r="S217" i="2"/>
  <c r="T217" i="2"/>
  <c r="U217" i="2" s="1"/>
  <c r="O218" i="2"/>
  <c r="P218" i="2"/>
  <c r="Q218" i="2"/>
  <c r="R218" i="2"/>
  <c r="S218" i="2"/>
  <c r="T218" i="2"/>
  <c r="U218" i="2" s="1"/>
  <c r="O219" i="2"/>
  <c r="P219" i="2"/>
  <c r="Q219" i="2"/>
  <c r="R219" i="2"/>
  <c r="S219" i="2"/>
  <c r="T219" i="2"/>
  <c r="U219" i="2" s="1"/>
  <c r="O220" i="2"/>
  <c r="P220" i="2"/>
  <c r="Q220" i="2"/>
  <c r="R220" i="2"/>
  <c r="S220" i="2"/>
  <c r="T220" i="2"/>
  <c r="U220" i="2"/>
  <c r="O221" i="2"/>
  <c r="P221" i="2"/>
  <c r="Q221" i="2"/>
  <c r="R221" i="2"/>
  <c r="S221" i="2"/>
  <c r="T221" i="2"/>
  <c r="U221" i="2" s="1"/>
  <c r="O222" i="2"/>
  <c r="P222" i="2"/>
  <c r="Q222" i="2"/>
  <c r="R222" i="2"/>
  <c r="S222" i="2"/>
  <c r="T222" i="2"/>
  <c r="U222" i="2" s="1"/>
  <c r="O223" i="2"/>
  <c r="P223" i="2"/>
  <c r="Q223" i="2"/>
  <c r="R223" i="2"/>
  <c r="S223" i="2"/>
  <c r="T223" i="2"/>
  <c r="U223" i="2" s="1"/>
  <c r="O224" i="2"/>
  <c r="P224" i="2"/>
  <c r="Q224" i="2"/>
  <c r="R224" i="2"/>
  <c r="S224" i="2"/>
  <c r="T224" i="2"/>
  <c r="U224" i="2"/>
  <c r="O225" i="2"/>
  <c r="P225" i="2"/>
  <c r="Q225" i="2"/>
  <c r="R225" i="2"/>
  <c r="S225" i="2"/>
  <c r="T225" i="2"/>
  <c r="U225" i="2" s="1"/>
  <c r="O226" i="2"/>
  <c r="P226" i="2"/>
  <c r="Q226" i="2"/>
  <c r="R226" i="2"/>
  <c r="S226" i="2"/>
  <c r="T226" i="2"/>
  <c r="U226" i="2" s="1"/>
  <c r="O227" i="2"/>
  <c r="P227" i="2"/>
  <c r="Q227" i="2"/>
  <c r="R227" i="2"/>
  <c r="S227" i="2"/>
  <c r="T227" i="2"/>
  <c r="U227" i="2"/>
  <c r="O228" i="2"/>
  <c r="P228" i="2"/>
  <c r="Q228" i="2"/>
  <c r="R228" i="2"/>
  <c r="S228" i="2"/>
  <c r="T228" i="2"/>
  <c r="U228" i="2" s="1"/>
  <c r="O229" i="2"/>
  <c r="P229" i="2"/>
  <c r="Q229" i="2"/>
  <c r="R229" i="2"/>
  <c r="S229" i="2"/>
  <c r="T229" i="2"/>
  <c r="U229" i="2" s="1"/>
  <c r="O230" i="2"/>
  <c r="P230" i="2"/>
  <c r="Q230" i="2"/>
  <c r="R230" i="2"/>
  <c r="S230" i="2"/>
  <c r="T230" i="2"/>
  <c r="U230" i="2" s="1"/>
  <c r="O231" i="2"/>
  <c r="P231" i="2"/>
  <c r="Q231" i="2"/>
  <c r="R231" i="2"/>
  <c r="S231" i="2"/>
  <c r="T231" i="2"/>
  <c r="U231" i="2" s="1"/>
  <c r="O232" i="2"/>
  <c r="P232" i="2"/>
  <c r="Q232" i="2"/>
  <c r="R232" i="2"/>
  <c r="S232" i="2"/>
  <c r="T232" i="2"/>
  <c r="U232" i="2" s="1"/>
  <c r="O233" i="2"/>
  <c r="P233" i="2"/>
  <c r="Q233" i="2"/>
  <c r="R233" i="2"/>
  <c r="S233" i="2"/>
  <c r="T233" i="2"/>
  <c r="U233" i="2" s="1"/>
  <c r="O234" i="2"/>
  <c r="P234" i="2"/>
  <c r="Q234" i="2"/>
  <c r="R234" i="2"/>
  <c r="S234" i="2"/>
  <c r="T234" i="2"/>
  <c r="U234" i="2" s="1"/>
  <c r="O235" i="2"/>
  <c r="P235" i="2"/>
  <c r="Q235" i="2"/>
  <c r="R235" i="2"/>
  <c r="S235" i="2"/>
  <c r="T235" i="2"/>
  <c r="U235" i="2" s="1"/>
  <c r="O236" i="2"/>
  <c r="P236" i="2"/>
  <c r="Q236" i="2"/>
  <c r="R236" i="2"/>
  <c r="S236" i="2"/>
  <c r="T236" i="2"/>
  <c r="U236" i="2" s="1"/>
  <c r="O237" i="2"/>
  <c r="P237" i="2"/>
  <c r="Q237" i="2"/>
  <c r="R237" i="2"/>
  <c r="S237" i="2"/>
  <c r="T237" i="2"/>
  <c r="U237" i="2" s="1"/>
  <c r="O238" i="2"/>
  <c r="P238" i="2"/>
  <c r="Q238" i="2"/>
  <c r="R238" i="2"/>
  <c r="S238" i="2"/>
  <c r="T238" i="2"/>
  <c r="U238" i="2" s="1"/>
  <c r="O239" i="2"/>
  <c r="P239" i="2"/>
  <c r="Q239" i="2"/>
  <c r="R239" i="2"/>
  <c r="S239" i="2"/>
  <c r="T239" i="2"/>
  <c r="U239" i="2" s="1"/>
  <c r="O240" i="2"/>
  <c r="P240" i="2"/>
  <c r="Q240" i="2"/>
  <c r="R240" i="2"/>
  <c r="S240" i="2"/>
  <c r="T240" i="2"/>
  <c r="U240" i="2"/>
  <c r="O241" i="2"/>
  <c r="P241" i="2"/>
  <c r="Q241" i="2"/>
  <c r="R241" i="2"/>
  <c r="S241" i="2"/>
  <c r="T241" i="2"/>
  <c r="U241" i="2" s="1"/>
  <c r="O242" i="2"/>
  <c r="P242" i="2"/>
  <c r="Q242" i="2"/>
  <c r="R242" i="2"/>
  <c r="S242" i="2"/>
  <c r="T242" i="2"/>
  <c r="U242" i="2" s="1"/>
  <c r="T4" i="2"/>
  <c r="U4" i="2" s="1"/>
  <c r="S4" i="2"/>
  <c r="R4" i="2"/>
  <c r="Q4" i="2"/>
  <c r="P4" i="2"/>
  <c r="O4" i="2"/>
</calcChain>
</file>

<file path=xl/sharedStrings.xml><?xml version="1.0" encoding="utf-8"?>
<sst xmlns="http://schemas.openxmlformats.org/spreadsheetml/2006/main" count="2209" uniqueCount="739">
  <si>
    <t>CBSE RESULT 2026 - ALL SUBJECT WISE REPORT</t>
  </si>
  <si>
    <t>Roll No</t>
  </si>
  <si>
    <t>Name</t>
  </si>
  <si>
    <t>Gender</t>
  </si>
  <si>
    <t>English</t>
  </si>
  <si>
    <t>Hindi</t>
  </si>
  <si>
    <t>Sanskrit</t>
  </si>
  <si>
    <t>French</t>
  </si>
  <si>
    <t>Mathematics</t>
  </si>
  <si>
    <t>Science</t>
  </si>
  <si>
    <t>Social Science</t>
  </si>
  <si>
    <t>IT</t>
  </si>
  <si>
    <t>AI</t>
  </si>
  <si>
    <t>Total</t>
  </si>
  <si>
    <t>Percentage</t>
  </si>
  <si>
    <t>11188110</t>
  </si>
  <si>
    <t>AANYA KEDIA 184 122 241 086 087 417 PASS</t>
  </si>
  <si>
    <t>F</t>
  </si>
  <si>
    <t>11188111</t>
  </si>
  <si>
    <t>AARADHYA AGRAWAL 184 018 041 086 087 417 PASS</t>
  </si>
  <si>
    <t>11188112</t>
  </si>
  <si>
    <t>AARAV GUPTA 184 085 041 086 087 417 PASS</t>
  </si>
  <si>
    <t>M</t>
  </si>
  <si>
    <t>11188113</t>
  </si>
  <si>
    <t>11188114</t>
  </si>
  <si>
    <t>AARAV GUPTA 184 085 241 086 087 417 PASS</t>
  </si>
  <si>
    <t>11188115</t>
  </si>
  <si>
    <t>AARAV JAIN 184 122 241 086 087 417 PASS</t>
  </si>
  <si>
    <t>11188116</t>
  </si>
  <si>
    <t>AARAV KHANDELWAL 184 018 241 086 087 417 PASS</t>
  </si>
  <si>
    <t>11188117</t>
  </si>
  <si>
    <t>AARAV KUMAR 184 085 041 086 087 417 PASS</t>
  </si>
  <si>
    <t>11188118</t>
  </si>
  <si>
    <t>AAROHI JAIN 184 122 041 086 087 417 PASS</t>
  </si>
  <si>
    <t>11188119</t>
  </si>
  <si>
    <t>AAROHI TOSHNIWAL 184 085 241 086 087 417 PASS</t>
  </si>
  <si>
    <t>11188120</t>
  </si>
  <si>
    <t>AARUSTI SAINI 184 085 041 086 087 417 PASS</t>
  </si>
  <si>
    <t>11188121</t>
  </si>
  <si>
    <t>AARYA JAIN 184 122 241 086 087 417 PASS</t>
  </si>
  <si>
    <t>11188122</t>
  </si>
  <si>
    <t>AARYAHI SHRIHAR 184 122 241 086 087 417 PASS</t>
  </si>
  <si>
    <t>11188123</t>
  </si>
  <si>
    <t>AASHIMA SHARMA 184 018 241 086 087 417 PASS</t>
  </si>
  <si>
    <t>11188124</t>
  </si>
  <si>
    <t>ABHINAV YADAV 184 085 241 086 087 417 PASS</t>
  </si>
  <si>
    <t>11188125</t>
  </si>
  <si>
    <t>ADAMYA TIWARI 184 085 041 086 087 417 PASS</t>
  </si>
  <si>
    <t>11188126</t>
  </si>
  <si>
    <t>ADHISHREE SINGH CHAWRA 184 122 241 086 087 417 PASS</t>
  </si>
  <si>
    <t>11188127</t>
  </si>
  <si>
    <t>ADITRI SHARMA 184 122 241 086 087 417 PASS</t>
  </si>
  <si>
    <t>11188128</t>
  </si>
  <si>
    <t>ADITYA GOYAL 184 018 041 086 087 417 PASS</t>
  </si>
  <si>
    <t>11188129</t>
  </si>
  <si>
    <t>AGRIM JAIN 184 122 041 086 087 417 PASS</t>
  </si>
  <si>
    <t>11188130</t>
  </si>
  <si>
    <t>AKSHAT DOSHIWAL 184 085 241 086 087 417 PASS</t>
  </si>
  <si>
    <t>11188131</t>
  </si>
  <si>
    <t>AKSHITA DADHICH 184 122 241 086 087 417 PASS</t>
  </si>
  <si>
    <t>11188132</t>
  </si>
  <si>
    <t>AMBIKA SHARMA 184 018 241 086 087 417 PASS</t>
  </si>
  <si>
    <t>11188133</t>
  </si>
  <si>
    <t>ANGAD SINGH SALUJA 184 122 041 086 087 417 PASS</t>
  </si>
  <si>
    <t>11188134</t>
  </si>
  <si>
    <t>ANJANEY SHARMA 184 085 241 086 087 417 PASS</t>
  </si>
  <si>
    <t>11188135</t>
  </si>
  <si>
    <t>ANSH MITTAL 184 122 041 086 087 417 PASS</t>
  </si>
  <si>
    <t>11188136</t>
  </si>
  <si>
    <t>ANUSHKA YADAV 184 085 041 086 087 417 PASS</t>
  </si>
  <si>
    <t>11188137</t>
  </si>
  <si>
    <t>ARNAV SHARMA 184 085 041 086 087 417 PASS</t>
  </si>
  <si>
    <t>11188138</t>
  </si>
  <si>
    <t>AROHI GUPTA 184 122 041 086 087 417 PASS</t>
  </si>
  <si>
    <t>11188139</t>
  </si>
  <si>
    <t>ARSHPREET KAUR SALUJA 184 122 041 086 087 417 PASS</t>
  </si>
  <si>
    <t>11188140</t>
  </si>
  <si>
    <t>ARYA BHANDARI 184 122 041 086 087 417 PASS</t>
  </si>
  <si>
    <t>11188141</t>
  </si>
  <si>
    <t>ASHWIN VERMA 184 122 041 086 087 417 PASS</t>
  </si>
  <si>
    <t>11188142</t>
  </si>
  <si>
    <t>ASTHA GUPTA 184 018 041 086 087 417 PASS</t>
  </si>
  <si>
    <t>11188143</t>
  </si>
  <si>
    <t>ATHARV KAUSHIK 184 122 241 086 087 417 PASS</t>
  </si>
  <si>
    <t>11188144</t>
  </si>
  <si>
    <t>ATISHAY JAIN 184 122 241 086 087 417 PASS</t>
  </si>
  <si>
    <t>11188145</t>
  </si>
  <si>
    <t>AVANI SAXENA 184 018 041 086 087 417 PASS</t>
  </si>
  <si>
    <t>11188146</t>
  </si>
  <si>
    <t>AVANI PATHAK 184 085 241 086 087 417 PASS</t>
  </si>
  <si>
    <t>11188147</t>
  </si>
  <si>
    <t>AVIKA JAISWAL 184 122 041 086 087 417 PASS</t>
  </si>
  <si>
    <t>11188148</t>
  </si>
  <si>
    <t>BHAGYA SHREE 184 085 241 086 087 417 PASS</t>
  </si>
  <si>
    <t>11188149</t>
  </si>
  <si>
    <t>BHAVIK MOTSARA 184 085 041 086 087 417 PASS</t>
  </si>
  <si>
    <t>11188150</t>
  </si>
  <si>
    <t>BHAVYA SONI 184 122 241 086 087 417 PASS</t>
  </si>
  <si>
    <t>11188151</t>
  </si>
  <si>
    <t>BHOOMIKA JAIN 184 122 041 086 087 417 PASS</t>
  </si>
  <si>
    <t>11188152</t>
  </si>
  <si>
    <t>CHAITANYA 184 122 041 086 087 417 PASS</t>
  </si>
  <si>
    <t>11188153</t>
  </si>
  <si>
    <t>CHARVI GUPTA 184 122 041 086 087 417 PASS</t>
  </si>
  <si>
    <t>11188154</t>
  </si>
  <si>
    <t>CHARVI MODI 184 085 041 086 087 417 PASS</t>
  </si>
  <si>
    <t>11188155</t>
  </si>
  <si>
    <t>CHELSI AGRAWAL 184 122 041 086 087 417 PASS</t>
  </si>
  <si>
    <t>11188156</t>
  </si>
  <si>
    <t>CHELSI JAIN 184 122 241 086 087 417 PASS</t>
  </si>
  <si>
    <t>11188157</t>
  </si>
  <si>
    <t>CHETNA GURJAR 184 122 241 086 087 417 PASS</t>
  </si>
  <si>
    <t>11188158</t>
  </si>
  <si>
    <t>CHIRAYU RAISINGHANI 184 085 041 086 087 417 PASS</t>
  </si>
  <si>
    <t>11188159</t>
  </si>
  <si>
    <t>DAKSH JHUDANI 184 122 241 086 087 417 PASS</t>
  </si>
  <si>
    <t>11188160</t>
  </si>
  <si>
    <t>DARSHAN SINGH 184 085 241 086 087 417 PASS</t>
  </si>
  <si>
    <t>11188161</t>
  </si>
  <si>
    <t>DEEPANSHI SINGH 184 085 241 086 087 417 PASS</t>
  </si>
  <si>
    <t>11188162</t>
  </si>
  <si>
    <t>DEV THAKURIA 184 122 241 086 087 417 PASS</t>
  </si>
  <si>
    <t>11188163</t>
  </si>
  <si>
    <t>DEVAANSH SHARMA 184 085 241 086 087 417 PASS</t>
  </si>
  <si>
    <t>11188164</t>
  </si>
  <si>
    <t>DEVANSH GUPTA 184 122 041 086 087 417 PASS</t>
  </si>
  <si>
    <t>11188165</t>
  </si>
  <si>
    <t>DEVISHI ALORIYA 184 122 241 086 087 417 PASS</t>
  </si>
  <si>
    <t>11188166</t>
  </si>
  <si>
    <t>DIKSHAN SINGH NEGI 184 122 241 086 087 417 PASS</t>
  </si>
  <si>
    <t>11188167</t>
  </si>
  <si>
    <t>DILISHA JAIN 184 018 041 086 087 417 PASS</t>
  </si>
  <si>
    <t>11188168</t>
  </si>
  <si>
    <t>DISHITA MITTAL 184 122 041 086 087 417 PASS</t>
  </si>
  <si>
    <t>11188169</t>
  </si>
  <si>
    <t>DIVIT AGRAWAL 184 085 041 086 087 417 PASS</t>
  </si>
  <si>
    <t>11188170</t>
  </si>
  <si>
    <t>DIVYAM SHARMA 184 122 041 086 087 417 PASS</t>
  </si>
  <si>
    <t>11188171</t>
  </si>
  <si>
    <t>DIVYANSH BANSAL 184 018 041 086 087 417 PASS</t>
  </si>
  <si>
    <t>11188172</t>
  </si>
  <si>
    <t>DIVYANSH MATHUR 184 018 241 086 087 417 PASS</t>
  </si>
  <si>
    <t>11188173</t>
  </si>
  <si>
    <t>DRISHTI MANISH 184 018 241 086 087 417 PASS</t>
  </si>
  <si>
    <t>11188174</t>
  </si>
  <si>
    <t>DRISHTI RAJPAL 184 085 241 086 087 417 PASS</t>
  </si>
  <si>
    <t>11188175</t>
  </si>
  <si>
    <t>ENA MALHOTRA 184 018 041 086 087 417 PASS</t>
  </si>
  <si>
    <t>11188176</t>
  </si>
  <si>
    <t>GARGI GUPTA 184 018 041 086 087 417 PASS</t>
  </si>
  <si>
    <t>11188177</t>
  </si>
  <si>
    <t>GARV SAXENA 184 122 041 086 087 417 PASS</t>
  </si>
  <si>
    <t>11188178</t>
  </si>
  <si>
    <t>GARVI AGARWAL 184 122 041 086 087 417 PASS</t>
  </si>
  <si>
    <t>11188179</t>
  </si>
  <si>
    <t>GARVIT BAGRA 184 085 241 086 087 417 PASS</t>
  </si>
  <si>
    <t>11188180</t>
  </si>
  <si>
    <t>GUNIKA SINGHAL 184 122 241 086 087 417 PASS</t>
  </si>
  <si>
    <t>11188181</t>
  </si>
  <si>
    <t>HARDIK GUPTA 184 122 041 086 087 417 PASS</t>
  </si>
  <si>
    <t>11188182</t>
  </si>
  <si>
    <t>11188183</t>
  </si>
  <si>
    <t>HARSHIT GHIYA 184 122 241 086 087 417 PASS</t>
  </si>
  <si>
    <t>11188184</t>
  </si>
  <si>
    <t>HARSHIT SHARMA 184 122 241 086 087 417 PASS</t>
  </si>
  <si>
    <t>11188185</t>
  </si>
  <si>
    <t>HARSHWARDHAN SINGH 184 122 041 086 087 417 PASS</t>
  </si>
  <si>
    <t>11188186</t>
  </si>
  <si>
    <t>HAVISHA SETHI 184 085 241 086 087 417 PASS</t>
  </si>
  <si>
    <t>11188187</t>
  </si>
  <si>
    <t>HIMANSSHI BARJATYA 184 122 041 086 087 417 PASS</t>
  </si>
  <si>
    <t>11188188</t>
  </si>
  <si>
    <t>HIYA SINGHAL 184 018 041 086 087 417 PASS</t>
  </si>
  <si>
    <t>11188189</t>
  </si>
  <si>
    <t>HUNAR SHARMA 184 085 241 086 087 417 PASS</t>
  </si>
  <si>
    <t>11188190</t>
  </si>
  <si>
    <t>ISHAN SONAVA 184 122 041 086 087 417 PASS</t>
  </si>
  <si>
    <t>11188191</t>
  </si>
  <si>
    <t>ISHIKA AGRAWAL 184 018 041 086 087 417 PASS</t>
  </si>
  <si>
    <t>11188192</t>
  </si>
  <si>
    <t>JAHANVI CHAUHAN 184 122 041 086 087 417 PASS</t>
  </si>
  <si>
    <t>11188193</t>
  </si>
  <si>
    <t>JAI AGRAWAL 184 122 041 086 087 417 PASS</t>
  </si>
  <si>
    <t>11188194</t>
  </si>
  <si>
    <t>JAI VASHISHTHA 184 085 041 086 087 417 PASS</t>
  </si>
  <si>
    <t>11188195</t>
  </si>
  <si>
    <t>JAINAV JAIN 184 122 041 086 087 417 PASS</t>
  </si>
  <si>
    <t>11188196</t>
  </si>
  <si>
    <t>JALAJ GUPTA 184 122 041 086 087 417 PASS</t>
  </si>
  <si>
    <t>11188197</t>
  </si>
  <si>
    <t>JAYAT MAHESHWARI 184 085 041 086 087 417 PASS</t>
  </si>
  <si>
    <t>11188198</t>
  </si>
  <si>
    <t>JAYESH BHATRA 184 085 241 086 087 417 PASS</t>
  </si>
  <si>
    <t>11188199</t>
  </si>
  <si>
    <t>JESSICA 184 122 041 086 087 417 PASS</t>
  </si>
  <si>
    <t>11188200</t>
  </si>
  <si>
    <t>JIYA KHANDELWAL 184 122 041 086 087 417 PASS</t>
  </si>
  <si>
    <t>11188201</t>
  </si>
  <si>
    <t>KANISHKA JAIN 184 122 041 086 087 417 PASS</t>
  </si>
  <si>
    <t>11188202</t>
  </si>
  <si>
    <t>KANISHQ AGARWAL 184 085 241 086 087 417 PASS</t>
  </si>
  <si>
    <t>11188203</t>
  </si>
  <si>
    <t>KARMANYA SINGH SHEKHAWAT 184 085 041 086 087 417 PASS</t>
  </si>
  <si>
    <t>11188204</t>
  </si>
  <si>
    <t>KARTIK MEHTA 184 085 241 086 087 417 PASS</t>
  </si>
  <si>
    <t>11188205</t>
  </si>
  <si>
    <t>KARTIK VARSHNEY 184 122 241 086 087 417 PASS</t>
  </si>
  <si>
    <t>11188206</t>
  </si>
  <si>
    <t>KASHIKA KOTHARI 184 085 041 086 087 417 PASS</t>
  </si>
  <si>
    <t>11188207</t>
  </si>
  <si>
    <t>KASVI CHATURVEDI 184 122 041 086 087 417 PASS</t>
  </si>
  <si>
    <t>11188208</t>
  </si>
  <si>
    <t>KAVYA KHANDAKA 184 085 241 086 087 417 PASS</t>
  </si>
  <si>
    <t>11188209</t>
  </si>
  <si>
    <t>KESHAV SHARMA 184 085 041 086 087 417 PASS</t>
  </si>
  <si>
    <t>11188210</t>
  </si>
  <si>
    <t>KHANAK GUPTA 184 085 041 086 087 417 PASS</t>
  </si>
  <si>
    <t>11188211</t>
  </si>
  <si>
    <t>KHUSHBOO JANGIR 184 085 041 086 087 417 PASS</t>
  </si>
  <si>
    <t>11188212</t>
  </si>
  <si>
    <t>KHUSHI JAIN 184 122 041 086 087 417 PASS</t>
  </si>
  <si>
    <t>11188213</t>
  </si>
  <si>
    <t>KHUSHI GOYAL 184 122 241 086 087 417 PASS</t>
  </si>
  <si>
    <t>11188214</t>
  </si>
  <si>
    <t>KINSHUK SHARMA 184 085 241 086 087 417 PASS</t>
  </si>
  <si>
    <t>11188215</t>
  </si>
  <si>
    <t>KIRTI SONEJA 184 122 241 086 087 417 PASS</t>
  </si>
  <si>
    <t>11188216</t>
  </si>
  <si>
    <t>KOPAL JAIN 184 122 041 086 087 417 PASS</t>
  </si>
  <si>
    <t>11188217</t>
  </si>
  <si>
    <t>KRISHNA SHARMA 184 085 041 086 087 417 PASS</t>
  </si>
  <si>
    <t>11188218</t>
  </si>
  <si>
    <t>KRISTY SINGH 184 122 041 086 087 417 PASS</t>
  </si>
  <si>
    <t>11188219</t>
  </si>
  <si>
    <t>KRITIKA GAHLOT 184 122 241 086 087 417 PASS</t>
  </si>
  <si>
    <t>11188220</t>
  </si>
  <si>
    <t>KUSHAGRA SHEKHAR SHARMA 184 085 041 086 087 417 PASS</t>
  </si>
  <si>
    <t>11188221</t>
  </si>
  <si>
    <t>LAKSHAY CHOUDHARY 184 018 041 086 087 417 PASS</t>
  </si>
  <si>
    <t>11188222</t>
  </si>
  <si>
    <t>LAKSHIT JANGID 184 122 041 086 087 417 PASS</t>
  </si>
  <si>
    <t>11188223</t>
  </si>
  <si>
    <t>LAKSHYA MITTAL 184 085 041 086 087 417 PASS</t>
  </si>
  <si>
    <t>11188224</t>
  </si>
  <si>
    <t>LAKSHYA PARASHAR 184 122 241 086 087 417 PASS</t>
  </si>
  <si>
    <t>11188225</t>
  </si>
  <si>
    <t>LALIT KUMAR DWARI 184 122 041 086 087 417 PASS</t>
  </si>
  <si>
    <t>11188226</t>
  </si>
  <si>
    <t>LAVANSH SONI 184 085 041 086 087 417 PASS</t>
  </si>
  <si>
    <t>11188227</t>
  </si>
  <si>
    <t>LUCKY MITRA 184 122 241 086 087 417 PASS</t>
  </si>
  <si>
    <t>11188228</t>
  </si>
  <si>
    <t>MAHIKA CHOUDHARY 184 085 241 086 087 417 PASS</t>
  </si>
  <si>
    <t>11188229</t>
  </si>
  <si>
    <t>MANNAT KHANDELWAL 184 018 041 086 087 417 PASS</t>
  </si>
  <si>
    <t>11188230</t>
  </si>
  <si>
    <t>MAULIK GUPTA 184 122 041 086 087 417 PASS</t>
  </si>
  <si>
    <t>11188231</t>
  </si>
  <si>
    <t>MEEMANSA SHUKLA 184 122 041 086 087 417 PASS</t>
  </si>
  <si>
    <t>11188232</t>
  </si>
  <si>
    <t>MEHUL SHARMA 184 085 041 086 087 417 PASS</t>
  </si>
  <si>
    <t>11188233</t>
  </si>
  <si>
    <t>MIHUL GARG 184 122 041 086 087 417 PASS</t>
  </si>
  <si>
    <t>11188234</t>
  </si>
  <si>
    <t>MILAN JAIN 184 018 241 086 087 417 PASS</t>
  </si>
  <si>
    <t>11188235</t>
  </si>
  <si>
    <t>MOHIT AHLAWAT 184 085 241 086 087 417 PASS</t>
  </si>
  <si>
    <t>11188236</t>
  </si>
  <si>
    <t>MOHIT CHOUDHARY 184 085 241 086 087 417 PASS</t>
  </si>
  <si>
    <t>11188237</t>
  </si>
  <si>
    <t>MOHIT GANWANI 184 085 241 086 087 417 PASS</t>
  </si>
  <si>
    <t>11188238</t>
  </si>
  <si>
    <t>MRIDUL MAHESHWARI 184 085 041 086 087 417 PASS</t>
  </si>
  <si>
    <t>11188239</t>
  </si>
  <si>
    <t>MRINANK AWASTHIE 184 085 041 086 087 417 PASS</t>
  </si>
  <si>
    <t>11188240</t>
  </si>
  <si>
    <t>MUDIT SAHARAN 184 085 241 086 087 417 PASS</t>
  </si>
  <si>
    <t>11188241</t>
  </si>
  <si>
    <t>MUDIT SHAH 184 018 041 086 087 417 PASS</t>
  </si>
  <si>
    <t>11188242</t>
  </si>
  <si>
    <t>NAINA SINGH 184 018 041 086 087 417 PASS</t>
  </si>
  <si>
    <t>11188243</t>
  </si>
  <si>
    <t>NAIRIT SHARMA 184 085 241 086 087 417 PASS</t>
  </si>
  <si>
    <t>11188244</t>
  </si>
  <si>
    <t>NAISHA BHATIA 184 018 041 086 087 417 PASS</t>
  </si>
  <si>
    <t>11188245</t>
  </si>
  <si>
    <t>NANDINI AGARWAL 184 018 041 086 087 417 PASS</t>
  </si>
  <si>
    <t>11188246</t>
  </si>
  <si>
    <t>NAVYA AHUJA 184 122 041 086 087 417 PASS</t>
  </si>
  <si>
    <t>11188247</t>
  </si>
  <si>
    <t>NAVYA JAIN 184 122 041 086 087 417 PASS</t>
  </si>
  <si>
    <t>11188248</t>
  </si>
  <si>
    <t>NAVYA SHARMA 184 085 241 086 087 417 PASS</t>
  </si>
  <si>
    <t>11188249</t>
  </si>
  <si>
    <t>NIHAL RAJ 184 085 241 086 087 417 PASS</t>
  </si>
  <si>
    <t>11188250</t>
  </si>
  <si>
    <t>NIKITA SONI 184 085 241 086 087 417 PASS</t>
  </si>
  <si>
    <t>11188251</t>
  </si>
  <si>
    <t>NILABH UPADHYAY 184 122 041 086 087 417 PASS</t>
  </si>
  <si>
    <t>11188252</t>
  </si>
  <si>
    <t>NILAX SURESH KUMAR 184 085 041 086 087 417 PASS</t>
  </si>
  <si>
    <t>11188253</t>
  </si>
  <si>
    <t>NIMISH AGARWAL 184 122 041 086 087 417 PASS</t>
  </si>
  <si>
    <t>11188254</t>
  </si>
  <si>
    <t>NIPUN KHANDELWAL 184 122 041 086 087 417 PASS</t>
  </si>
  <si>
    <t>11188255</t>
  </si>
  <si>
    <t>NISHANT ARORA 184 085 041 086 087 417 PASS</t>
  </si>
  <si>
    <t>11188256</t>
  </si>
  <si>
    <t>NISHTHA SETHI 184 018 241 086 087 417 PASS</t>
  </si>
  <si>
    <t>11188257</t>
  </si>
  <si>
    <t>NIYATI WASSON 184 122 041 086 087 417 PASS</t>
  </si>
  <si>
    <t>11188258</t>
  </si>
  <si>
    <t>OJAS CHOUDHARY 184 085 241 086 087 417 PASS</t>
  </si>
  <si>
    <t>11188259</t>
  </si>
  <si>
    <t>PADMANABH AWASTHI 184 085 241 086 087 417 PASS</t>
  </si>
  <si>
    <t>11188260</t>
  </si>
  <si>
    <t>PALAK LUDHANI 184 018 241 086 087 417 PASS</t>
  </si>
  <si>
    <t>11188261</t>
  </si>
  <si>
    <t>PALAKSHA PATHARIA 184 122 241 086 087 417 PASS</t>
  </si>
  <si>
    <t>11188262</t>
  </si>
  <si>
    <t>PARNIKA SAXENA 184 018 241 086 087 417 PASS</t>
  </si>
  <si>
    <t>11188263</t>
  </si>
  <si>
    <t>PARTH BHARDWAJ 184 122 041 086 087 417 PASS</t>
  </si>
  <si>
    <t>11188264</t>
  </si>
  <si>
    <t>PAWAN SINGH 184 122 241 086 087 417 PASS</t>
  </si>
  <si>
    <t>11188265</t>
  </si>
  <si>
    <t>PRAKHAR MATHUR 184 085 241 086 087 417 PASS</t>
  </si>
  <si>
    <t>11188266</t>
  </si>
  <si>
    <t>PRAKHAR SINGH DHABHAI 184 018 041 086 087 417 PASS</t>
  </si>
  <si>
    <t>11188267</t>
  </si>
  <si>
    <t>PRANATI GARG 184 085 241 086 087 417 PASS</t>
  </si>
  <si>
    <t>11188268</t>
  </si>
  <si>
    <t>PRANAV JOSHI 184 122 041 086 087 417 PASS</t>
  </si>
  <si>
    <t>11188269</t>
  </si>
  <si>
    <t>PRANJAL MAHARISHI 184 085 041 086 087 417 PASS</t>
  </si>
  <si>
    <t>11188270</t>
  </si>
  <si>
    <t>PREETISH SONI 184 085 041 086 087 417 PASS</t>
  </si>
  <si>
    <t>11188271</t>
  </si>
  <si>
    <t>PREKSHA JAIN 184 085 041 086 087 417 PASS</t>
  </si>
  <si>
    <t>11188272</t>
  </si>
  <si>
    <t>PRESTHI BANSAL 184 122 241 086 087 417 PASS</t>
  </si>
  <si>
    <t>11188273</t>
  </si>
  <si>
    <t>PRIYA SAINI 184 122 241 086 087 417 PASS</t>
  </si>
  <si>
    <t>11188274</t>
  </si>
  <si>
    <t>PRIYANSH SONI 184 018 041 086 087 417 PASS</t>
  </si>
  <si>
    <t>11188275</t>
  </si>
  <si>
    <t>PRIYANSHI SHARMA 184 122 241 086 087 417 PASS</t>
  </si>
  <si>
    <t>11188276</t>
  </si>
  <si>
    <t>PULKIT JAIN 184 085 041 086 087 417 PASS</t>
  </si>
  <si>
    <t>11188277</t>
  </si>
  <si>
    <t>PUNIT TIWARI 184 085 241 086 087 417 PASS</t>
  </si>
  <si>
    <t>11188278</t>
  </si>
  <si>
    <t>PURVANSH MAHESHWARI 184 018 041 086 087 417 PASS</t>
  </si>
  <si>
    <t>11188279</t>
  </si>
  <si>
    <t>RAGHAV HARSH 184 122 041 086 087 417 PASS</t>
  </si>
  <si>
    <t>11188280</t>
  </si>
  <si>
    <t>RAJ GOYAL 184 085 041 086 087 417 PASS</t>
  </si>
  <si>
    <t>11188281</t>
  </si>
  <si>
    <t>RAJAT SINGH 184 085 241 086 087 417 PASS</t>
  </si>
  <si>
    <t>11188282</t>
  </si>
  <si>
    <t>RHYTHM JOSHI 184 122 041 086 087 417 PASS</t>
  </si>
  <si>
    <t>11188283</t>
  </si>
  <si>
    <t>RIDDHI BANSAL 184 122 041 086 087 417 PASS</t>
  </si>
  <si>
    <t>11188284</t>
  </si>
  <si>
    <t>RISHI BHARGAVA 184 085 241 086 087 417 PASS</t>
  </si>
  <si>
    <t>11188285</t>
  </si>
  <si>
    <t>RISHIKA SAINI 184 085 241 086 087 417 PASS</t>
  </si>
  <si>
    <t>11188286</t>
  </si>
  <si>
    <t>RUPAASHI MATHUR 184 122 241 086 087 417 PASS</t>
  </si>
  <si>
    <t>11188287</t>
  </si>
  <si>
    <t>SAANCHI SAXENA 184 122 041 086 087 417 PASS</t>
  </si>
  <si>
    <t>11188288</t>
  </si>
  <si>
    <t>SAANVI SAXENA 184 122 041 086 087 417 PASS</t>
  </si>
  <si>
    <t>11188289</t>
  </si>
  <si>
    <t>SAARTH AGRAWAL 184 122 041 086 087 417 PASS</t>
  </si>
  <si>
    <t>11188290</t>
  </si>
  <si>
    <t>SAHASTHI UDAIWAL 184 122 241 086 087 417 PASS</t>
  </si>
  <si>
    <t>11188291</t>
  </si>
  <si>
    <t>SAKSHAM CHATWANI 184 085 241 086 087 417 PASS</t>
  </si>
  <si>
    <t>11188292</t>
  </si>
  <si>
    <t>SAKSHI MEENA 184 085 241 086 087 417 PASS</t>
  </si>
  <si>
    <t>11188293</t>
  </si>
  <si>
    <t>SAMAR AGARWAL 184 085 241 086 087 417 PASS</t>
  </si>
  <si>
    <t>11188294</t>
  </si>
  <si>
    <t>SAMARTH GUPTA 184 122 041 086 087 417 PASS</t>
  </si>
  <si>
    <t>11188295</t>
  </si>
  <si>
    <t>SAMRIDDHI JAIN 184 018 041 086 087 417 PASS</t>
  </si>
  <si>
    <t>11188296</t>
  </si>
  <si>
    <t>SAMRIDHI MUDGAL 184 085 241 086 087 417 PASS</t>
  </si>
  <si>
    <t>11188297</t>
  </si>
  <si>
    <t>SAMYAK JAIN 184 018 041 086 087 417 PASS</t>
  </si>
  <si>
    <t>11188298</t>
  </si>
  <si>
    <t>SANDESH KHANDELWAL 184 085 241 086 087 417 PASS</t>
  </si>
  <si>
    <t>11188299</t>
  </si>
  <si>
    <t>SANIDHYA YADAV 184 085 041 086 087 417 PASS</t>
  </si>
  <si>
    <t>11188300</t>
  </si>
  <si>
    <t>SANSKRITI AGARWAL 184 018 241 086 087 417 PASS</t>
  </si>
  <si>
    <t>11188301</t>
  </si>
  <si>
    <t>SARTHAK BHANDARI 184 122 041 086 087 417 PASS</t>
  </si>
  <si>
    <t>11188302</t>
  </si>
  <si>
    <t>SHAMBHAVI SAXENA 184 018 241 086 087 417 PASS</t>
  </si>
  <si>
    <t>11188303</t>
  </si>
  <si>
    <t>SHANVI GUPTA 184 018 041 086 087 417 PASS</t>
  </si>
  <si>
    <t>11188304</t>
  </si>
  <si>
    <t>SHARAV MOYAL 184 122 041 086 087 417 PASS</t>
  </si>
  <si>
    <t>11188305</t>
  </si>
  <si>
    <t>SHAURYA PARASHAR 184 085 241 086 087 417 PASS</t>
  </si>
  <si>
    <t>11188306</t>
  </si>
  <si>
    <t>SHIVAM SHARMA 184 122 041 086 087 417 PASS</t>
  </si>
  <si>
    <t>11188307</t>
  </si>
  <si>
    <t>SHIVANI MAHESHWARI 184 122 241 086 087 417 PASS</t>
  </si>
  <si>
    <t>11188308</t>
  </si>
  <si>
    <t>SHIWANG GAUR 184 085 241 086 087 417 PASS</t>
  </si>
  <si>
    <t>11188309</t>
  </si>
  <si>
    <t>SHLOK KHANDELWAL 184 085 241 086 087 417 PASS</t>
  </si>
  <si>
    <t>11188310</t>
  </si>
  <si>
    <t>SHREYANSH SHARMA 184 085 041 086 087 417 PASS</t>
  </si>
  <si>
    <t>11188311</t>
  </si>
  <si>
    <t>SHREYANSHI JAIN 184 122 041 086 087 417 PASS</t>
  </si>
  <si>
    <t>11188312</t>
  </si>
  <si>
    <t>SHRIYANSH MODI 184 122 041 086 087 417 PASS</t>
  </si>
  <si>
    <t>11188313</t>
  </si>
  <si>
    <t>SIDDHARTH CHOUDHARY 184 085 241 086 087 417 PASS</t>
  </si>
  <si>
    <t>11188314</t>
  </si>
  <si>
    <t>SIDDHIKA 184 018 041 086 087 417 PASS</t>
  </si>
  <si>
    <t>11188315</t>
  </si>
  <si>
    <t>SIYA BANSAL 184 122 041 086 087 417 PASS</t>
  </si>
  <si>
    <t>11188316</t>
  </si>
  <si>
    <t>SOMYA CHHAPARWAL 184 085 041 086 087 417 PASS</t>
  </si>
  <si>
    <t>11188317</t>
  </si>
  <si>
    <t>SOMYA MANGAL 184 018 041 086 087 417 PASS</t>
  </si>
  <si>
    <t>11188318</t>
  </si>
  <si>
    <t>SUDHANSHU SHEKHAR JHA 184 085 041 086 087 417 PASS</t>
  </si>
  <si>
    <t>11188319</t>
  </si>
  <si>
    <t>SUHAAN ANJUM KHAN 184 085 041 086 087 417 PASS</t>
  </si>
  <si>
    <t>11188320</t>
  </si>
  <si>
    <t>SURYA SAUBHRI SHARMA 184 122 041 086 087 417 PASS</t>
  </si>
  <si>
    <t>11188321</t>
  </si>
  <si>
    <t>SUVIGYA GAUR 184 122 241 086 087 417 PASS</t>
  </si>
  <si>
    <t>11188322</t>
  </si>
  <si>
    <t>SWASTI DHAMANIA 184 122 041 086 087 417 PASS</t>
  </si>
  <si>
    <t>11188323</t>
  </si>
  <si>
    <t>TANISHA AGRAWAL 184 122 041 086 087 417 PASS</t>
  </si>
  <si>
    <t>11188324</t>
  </si>
  <si>
    <t>TANISHKA VYAS 184 018 041 086 087 417 PASS</t>
  </si>
  <si>
    <t>11188325</t>
  </si>
  <si>
    <t>TANISHQ JOSHI 184 122 041 086 087 417 PASS</t>
  </si>
  <si>
    <t>11188326</t>
  </si>
  <si>
    <t>TANMAY DULANI 184 122 041 086 087 417 PASS</t>
  </si>
  <si>
    <t>11188327</t>
  </si>
  <si>
    <t>TANMAY JAIN 184 085 241 086 087 417 PASS</t>
  </si>
  <si>
    <t>11188328</t>
  </si>
  <si>
    <t>TEJAL AGRAWAL 184 018 041 086 087 417 PASS</t>
  </si>
  <si>
    <t>11188329</t>
  </si>
  <si>
    <t>TRISHA MINA 184 085 241 086 087 417 PASS</t>
  </si>
  <si>
    <t>11188330</t>
  </si>
  <si>
    <t>UDAYVEER SHARMA 184 018 241 086 087 417 PASS</t>
  </si>
  <si>
    <t>11188331</t>
  </si>
  <si>
    <t>UNNATI GUPTA 184 122 041 086 087 417 PASS</t>
  </si>
  <si>
    <t>11188332</t>
  </si>
  <si>
    <t>VAANYA JAIN 184 122 417 086 087 241 PASS</t>
  </si>
  <si>
    <t>11188333</t>
  </si>
  <si>
    <t>VAIBHAV SHARMA 184 085 241 086 087 417 PASS</t>
  </si>
  <si>
    <t>11188334</t>
  </si>
  <si>
    <t>VANSH GUPTA 184 085 041 086 087 417 PASS</t>
  </si>
  <si>
    <t>11188335</t>
  </si>
  <si>
    <t>VANSH SHARMA 184 018 041 086 087 417 PASS</t>
  </si>
  <si>
    <t>11188336</t>
  </si>
  <si>
    <t>VANSH TYAGI 184 018 041 086 087 417 PASS</t>
  </si>
  <si>
    <t>11188337</t>
  </si>
  <si>
    <t>VARDHAN GOEL 184 018 041 086 087 417 PASS</t>
  </si>
  <si>
    <t>11188338</t>
  </si>
  <si>
    <t>VARUN SHARMA 184 122 041 086 087 417 PASS</t>
  </si>
  <si>
    <t>11188339</t>
  </si>
  <si>
    <t>VATSAL JAIN 184 122 041 086 087 417 PASS</t>
  </si>
  <si>
    <t>11188340</t>
  </si>
  <si>
    <t>VEER MOTWANI 184 085 241 086 087 417 PASS</t>
  </si>
  <si>
    <t>11188341</t>
  </si>
  <si>
    <t>VENKATESH GAUR 184 122 041 086 087 417 PASS</t>
  </si>
  <si>
    <t>11188342</t>
  </si>
  <si>
    <t>VIRAT SHARMA 184 085 041 086 087 417 PASS</t>
  </si>
  <si>
    <t>11188343</t>
  </si>
  <si>
    <t>VRISHIN VASHISHTA 184 085 241 086 087 417 PASS</t>
  </si>
  <si>
    <t>11188344</t>
  </si>
  <si>
    <t>YAKSHIT JAIN 184 122 041 086 087 417 PASS</t>
  </si>
  <si>
    <t>11188345</t>
  </si>
  <si>
    <t>YASH KHANDELWAL 184 085 241 086 087 417 PASS</t>
  </si>
  <si>
    <t>11188346</t>
  </si>
  <si>
    <t>YASHASVI VERMA 184 085 041 086 087 417 PASS</t>
  </si>
  <si>
    <t>11188347</t>
  </si>
  <si>
    <t>YATHARTH NAYAK 184 085 241 086 087 417 PASS</t>
  </si>
  <si>
    <t>11188348</t>
  </si>
  <si>
    <t>YATHARTH SHARMA 184 085 041 086 087 417 PASS</t>
  </si>
  <si>
    <t>BASIC MATHS</t>
  </si>
  <si>
    <t>BEST 1</t>
  </si>
  <si>
    <t>BEST 2</t>
  </si>
  <si>
    <t>BEST 3</t>
  </si>
  <si>
    <t>BEST 4</t>
  </si>
  <si>
    <t>BEST 5</t>
  </si>
  <si>
    <t>TOTAL</t>
  </si>
  <si>
    <t>%</t>
  </si>
  <si>
    <t>AANYA KEDIA</t>
  </si>
  <si>
    <t>AARADHYA AGRAWAL</t>
  </si>
  <si>
    <t>AARAV GUPTA</t>
  </si>
  <si>
    <t>AARAV JAIN</t>
  </si>
  <si>
    <t>AARAV KHANDELWAL</t>
  </si>
  <si>
    <t>AARAV KUMAR</t>
  </si>
  <si>
    <t>AAROHI JAIN</t>
  </si>
  <si>
    <t>AAROHI TOSHNIWAL</t>
  </si>
  <si>
    <t>AARUSTI SAINI</t>
  </si>
  <si>
    <t>AARYA JAIN</t>
  </si>
  <si>
    <t>AARYAHI SHRIHAR</t>
  </si>
  <si>
    <t>AASHIMA SHARMA</t>
  </si>
  <si>
    <t>ABHINAV YADAV</t>
  </si>
  <si>
    <t>ADAMYA TIWARI</t>
  </si>
  <si>
    <t>ADHISHREE SINGH CHAWRA</t>
  </si>
  <si>
    <t>ADITRI SHARMA</t>
  </si>
  <si>
    <t>ADITYA GOYAL</t>
  </si>
  <si>
    <t>AGRIM JAIN</t>
  </si>
  <si>
    <t>AKSHAT DOSHIWAL</t>
  </si>
  <si>
    <t>AKSHITA DADHICH</t>
  </si>
  <si>
    <t>AMBIKA SHARMA</t>
  </si>
  <si>
    <t>ANGAD SINGH SALUJA</t>
  </si>
  <si>
    <t>ANJANEY SHARMA</t>
  </si>
  <si>
    <t>ANSH MITTAL</t>
  </si>
  <si>
    <t>ANUSHKA YADAV</t>
  </si>
  <si>
    <t>ARNAV SHARMA</t>
  </si>
  <si>
    <t>AROHI GUPTA</t>
  </si>
  <si>
    <t>ARSHPREET KAUR SALUJA</t>
  </si>
  <si>
    <t>ARYA BHANDARI</t>
  </si>
  <si>
    <t>ASHWIN VERMA</t>
  </si>
  <si>
    <t>ASTHA GUPTA</t>
  </si>
  <si>
    <t>ATHARV KAUSHIK</t>
  </si>
  <si>
    <t>ATISHAY JAIN</t>
  </si>
  <si>
    <t>AVANI  SAXENA</t>
  </si>
  <si>
    <t>AVANI PATHAK</t>
  </si>
  <si>
    <t>AVIKA JAISWAL</t>
  </si>
  <si>
    <t>BHAGYA SHREE .</t>
  </si>
  <si>
    <t>BHAVIK MOTSARA</t>
  </si>
  <si>
    <t>BHAVYA SONI</t>
  </si>
  <si>
    <t>BHOOMIKA JAIN</t>
  </si>
  <si>
    <t>CHAITANYA .</t>
  </si>
  <si>
    <t>CHARVI GUPTA</t>
  </si>
  <si>
    <t>CHARVI MODI</t>
  </si>
  <si>
    <t>CHELSI AGRAWAL</t>
  </si>
  <si>
    <t>CHELSI JAIN</t>
  </si>
  <si>
    <t>CHETNA  GURJAR</t>
  </si>
  <si>
    <t>CHIRAYU RAISINGHANI</t>
  </si>
  <si>
    <t>DAKSH JHUDANI</t>
  </si>
  <si>
    <t>DARSHAN SINGH</t>
  </si>
  <si>
    <t>DEEPANSHI SINGH</t>
  </si>
  <si>
    <t>DEV THAKURIA</t>
  </si>
  <si>
    <t>DEVAANSH SHARMA</t>
  </si>
  <si>
    <t>DEVANSH GUPTA</t>
  </si>
  <si>
    <t>DEVISHI ALORIYA</t>
  </si>
  <si>
    <t>DIKSHAN SINGH NEGI</t>
  </si>
  <si>
    <t>DILISHA JAIN</t>
  </si>
  <si>
    <t>DISHITA MITTAL</t>
  </si>
  <si>
    <t>DIVIT AGRAWAL</t>
  </si>
  <si>
    <t>DIVYAM SHARMA</t>
  </si>
  <si>
    <t>DIVYANSH BANSAL</t>
  </si>
  <si>
    <t>DIVYANSH MATHUR</t>
  </si>
  <si>
    <t>DRISHTI MANISH</t>
  </si>
  <si>
    <t>DRISHTI RAJPAL</t>
  </si>
  <si>
    <t>ENA MALHOTRA</t>
  </si>
  <si>
    <t>GARGI GUPTA</t>
  </si>
  <si>
    <t>GARV  SAXENA</t>
  </si>
  <si>
    <t>GARVI AGARWAL</t>
  </si>
  <si>
    <t>GARVIT BAGRA</t>
  </si>
  <si>
    <t>GUNIKA SINGHAL</t>
  </si>
  <si>
    <t>HARDIK GUPTA</t>
  </si>
  <si>
    <t>HARSHIT GHIYA</t>
  </si>
  <si>
    <t>HARSHIT SHARMA</t>
  </si>
  <si>
    <t>HARSHWARDHAN SINGH</t>
  </si>
  <si>
    <t>HAVISHA SETHI</t>
  </si>
  <si>
    <t>HIMANSSHI BARJATYA</t>
  </si>
  <si>
    <t>HIYA SINGHAL</t>
  </si>
  <si>
    <t>HUNAR SHARMA</t>
  </si>
  <si>
    <t>ISHAN SONAVA</t>
  </si>
  <si>
    <t>ISHIKA AGRAWAL</t>
  </si>
  <si>
    <t>JAHANVI CHAUHAN</t>
  </si>
  <si>
    <t>JAI AGRAWAL</t>
  </si>
  <si>
    <t>JAI VASHISHTHA</t>
  </si>
  <si>
    <t>JAINAV JAIN</t>
  </si>
  <si>
    <t>JALAJ GUPTA</t>
  </si>
  <si>
    <t>JAYAT MAHESHWARI</t>
  </si>
  <si>
    <t>JAYESH BHATRA</t>
  </si>
  <si>
    <t>JESSICA .</t>
  </si>
  <si>
    <t>JIYA KHANDELWAL</t>
  </si>
  <si>
    <t>KANISHKA JAIN</t>
  </si>
  <si>
    <t>KANISHQ AGARWAL</t>
  </si>
  <si>
    <t>KARMANYA SINGH SHEKHAWAT</t>
  </si>
  <si>
    <t>KARTIK MEHTA</t>
  </si>
  <si>
    <t>KARTIK VARSHNEY</t>
  </si>
  <si>
    <t>KASHIKA KOTHARI</t>
  </si>
  <si>
    <t>KASVI CHATURVEDI</t>
  </si>
  <si>
    <t>KAVYA KHANDAKA</t>
  </si>
  <si>
    <t>KESHAV SHARMA</t>
  </si>
  <si>
    <t>KHANAK GUPTA</t>
  </si>
  <si>
    <t>KHUSHBOO JANGIR</t>
  </si>
  <si>
    <t>KHUSHI  JAIN</t>
  </si>
  <si>
    <t>KHUSHI GOYAL</t>
  </si>
  <si>
    <t>KINSHUK SHARMA</t>
  </si>
  <si>
    <t>KIRTI SONEJA</t>
  </si>
  <si>
    <t>KOPAL JAIN</t>
  </si>
  <si>
    <t>KRISHNA SHARMA</t>
  </si>
  <si>
    <t>KRISTY SINGH .</t>
  </si>
  <si>
    <t>KRITIKA GAHLOT</t>
  </si>
  <si>
    <t>KUSHAGRA SHEKHAR SHARMA</t>
  </si>
  <si>
    <t>LAKSHAY CHOUDHARY</t>
  </si>
  <si>
    <t>LAKSHIT JANGID</t>
  </si>
  <si>
    <t>LAKSHYA MITTAL</t>
  </si>
  <si>
    <t>LAKSHYA PARASHAR</t>
  </si>
  <si>
    <t>LALIT KUMAR  DWARI</t>
  </si>
  <si>
    <t>LAVANSH SONI</t>
  </si>
  <si>
    <t>LUCKY MITRA</t>
  </si>
  <si>
    <t>MAHIKA CHOUDHARY</t>
  </si>
  <si>
    <t>MANNAT KHANDELWAL</t>
  </si>
  <si>
    <t>MAULIK GUPTA</t>
  </si>
  <si>
    <t>MEEMANSA SHUKLA</t>
  </si>
  <si>
    <t>MEHUL SHARMA</t>
  </si>
  <si>
    <t>MIHUL GARG</t>
  </si>
  <si>
    <t>MILAN JAIN</t>
  </si>
  <si>
    <t>MOHIT AHLAWAT</t>
  </si>
  <si>
    <t>MOHIT CHOUDHARY</t>
  </si>
  <si>
    <t>MOHIT GANWANI</t>
  </si>
  <si>
    <t>MRIDUL MAHESHWARI</t>
  </si>
  <si>
    <t>MRINANK AWASTHIE</t>
  </si>
  <si>
    <t>MUDIT SAHARAN</t>
  </si>
  <si>
    <t>MUDIT SHAH</t>
  </si>
  <si>
    <t>NAINA SINGH</t>
  </si>
  <si>
    <t>NAIRIT SHARMA</t>
  </si>
  <si>
    <t>NAISHA BHATIA</t>
  </si>
  <si>
    <t>NANDINI AGARWAL</t>
  </si>
  <si>
    <t>NAVYA AHUJA</t>
  </si>
  <si>
    <t>NAVYA JAIN</t>
  </si>
  <si>
    <t>NAVYA SHARMA</t>
  </si>
  <si>
    <t>NIHAL RAJ</t>
  </si>
  <si>
    <t>NIKITA SONI</t>
  </si>
  <si>
    <t>NILABH UPADHYAY</t>
  </si>
  <si>
    <t>NILAX SURESH KUMAR</t>
  </si>
  <si>
    <t>NIMISH AGARWAL</t>
  </si>
  <si>
    <t>NIPUN KHANDELWAL</t>
  </si>
  <si>
    <t>NISHANT ARORA</t>
  </si>
  <si>
    <t>NISHTHA SETHI</t>
  </si>
  <si>
    <t>NIYATI WASSON</t>
  </si>
  <si>
    <t>OJAS CHOUDHARY</t>
  </si>
  <si>
    <t>PADMANABH AWASTHI</t>
  </si>
  <si>
    <t>PALAK LUDHANI</t>
  </si>
  <si>
    <t>PALAKSHA PATHARIA</t>
  </si>
  <si>
    <t>PARNIKA SAXENA</t>
  </si>
  <si>
    <t>PARTH BHARDWAJ</t>
  </si>
  <si>
    <t>PAWAN SINGH</t>
  </si>
  <si>
    <t>PRAKHAR MATHUR</t>
  </si>
  <si>
    <t>PRAKHAR SINGH  DHABHAI</t>
  </si>
  <si>
    <t>PRANATI GARG</t>
  </si>
  <si>
    <t>PRANAV JOSHI</t>
  </si>
  <si>
    <t>PRANJAL MAHARISHI</t>
  </si>
  <si>
    <t>PREETISH SONI</t>
  </si>
  <si>
    <t>PREKSHA JAIN</t>
  </si>
  <si>
    <t>PRESTHI BANSAL</t>
  </si>
  <si>
    <t>PRIYA SAINI</t>
  </si>
  <si>
    <t>PRIYANSH SONI</t>
  </si>
  <si>
    <t>PRIYANSHI SHARMA</t>
  </si>
  <si>
    <t>PULKIT JAIN</t>
  </si>
  <si>
    <t>PUNIT TIWARI</t>
  </si>
  <si>
    <t>PURVANSH MAHESHWARI</t>
  </si>
  <si>
    <t>RAGHAV HARSH</t>
  </si>
  <si>
    <t>RAJ GOYAL</t>
  </si>
  <si>
    <t>RAJAT SINGH</t>
  </si>
  <si>
    <t>RHYTHM JOSHI</t>
  </si>
  <si>
    <t>RIDDHI BANSAL</t>
  </si>
  <si>
    <t>RISHI BHARGAVA</t>
  </si>
  <si>
    <t>RISHIKA SAINI</t>
  </si>
  <si>
    <t>RUPAASHI MATHUR</t>
  </si>
  <si>
    <t>SAANCHI SAXENA</t>
  </si>
  <si>
    <t>SAANVI SAXENA</t>
  </si>
  <si>
    <t>SAARTH AGRAWAL</t>
  </si>
  <si>
    <t>SAHASTHI UDAIWAL</t>
  </si>
  <si>
    <t>SAKSHAM CHATWANI</t>
  </si>
  <si>
    <t>SAKSHI MEENA</t>
  </si>
  <si>
    <t>SAMAR AGARWAL</t>
  </si>
  <si>
    <t>SAMARTH GUPTA</t>
  </si>
  <si>
    <t>SAMRIDDHI JAIN</t>
  </si>
  <si>
    <t>SAMRIDHI MUDGAL</t>
  </si>
  <si>
    <t>SAMYAK JAIN</t>
  </si>
  <si>
    <t>SANDESH KHANDELWAL</t>
  </si>
  <si>
    <t>SANIDHYA YADAV</t>
  </si>
  <si>
    <t>SANSKRITI AGARWAL</t>
  </si>
  <si>
    <t>SARTHAK BHANDARI</t>
  </si>
  <si>
    <t>SHAMBHAVI SAXENA</t>
  </si>
  <si>
    <t>SHANVI GUPTA</t>
  </si>
  <si>
    <t>SHARAV  MOYAL</t>
  </si>
  <si>
    <t>SHAURYA  PARASHAR</t>
  </si>
  <si>
    <t>SHIVAM SHARMA</t>
  </si>
  <si>
    <t>SHIVANI MAHESHWARI</t>
  </si>
  <si>
    <t>SHIWANG GAUR</t>
  </si>
  <si>
    <t>SHLOK KHANDELWAL</t>
  </si>
  <si>
    <t>SHREYANSH SHARMA</t>
  </si>
  <si>
    <t>SHREYANSHI JAIN</t>
  </si>
  <si>
    <t>SHRIYANSH MODI</t>
  </si>
  <si>
    <t>SIDDHARTH CHOUDHARY</t>
  </si>
  <si>
    <t>SIDDHIKA .</t>
  </si>
  <si>
    <t>SIYA BANSAL</t>
  </si>
  <si>
    <t>SOMYA CHHAPARWAL</t>
  </si>
  <si>
    <t>SOMYA MANGAL</t>
  </si>
  <si>
    <t>SUDHANSHU SHEKHAR JHA</t>
  </si>
  <si>
    <t>SUHAAN ANJUM KHAN</t>
  </si>
  <si>
    <t>SURYA SAUBHRI SHARMA</t>
  </si>
  <si>
    <t>SUVIGYA GAUR</t>
  </si>
  <si>
    <t>SWASTI DHAMANIA</t>
  </si>
  <si>
    <t>TANISHA AGRAWAL</t>
  </si>
  <si>
    <t>TANISHKA VYAS</t>
  </si>
  <si>
    <t>TANISHQ JOSHI</t>
  </si>
  <si>
    <t>TANMAY DULANI</t>
  </si>
  <si>
    <t>TANMAY JAIN</t>
  </si>
  <si>
    <t>TEJAL AGRAWAL</t>
  </si>
  <si>
    <t>TRISHA MINA</t>
  </si>
  <si>
    <t>UDAYVEER SHARMA</t>
  </si>
  <si>
    <t>UNNATI GUPTA</t>
  </si>
  <si>
    <t>VAANYA JAIN</t>
  </si>
  <si>
    <t>VAIBHAV SHARMA</t>
  </si>
  <si>
    <t>VANSH GUPTA</t>
  </si>
  <si>
    <t>VANSH SHARMA</t>
  </si>
  <si>
    <t>VANSH TYAGI</t>
  </si>
  <si>
    <t>VARDHAN GOEL</t>
  </si>
  <si>
    <t>VARUN SHARMA</t>
  </si>
  <si>
    <t>VATSAL JAIN</t>
  </si>
  <si>
    <t>VEER MOTWANI</t>
  </si>
  <si>
    <t>VENKATESH GAUR</t>
  </si>
  <si>
    <t>VIRAT SHARMA</t>
  </si>
  <si>
    <t>VRISHIN VASHISHTA</t>
  </si>
  <si>
    <t>YAKSHIT JAIN</t>
  </si>
  <si>
    <t>YASH KHANDELWAL</t>
  </si>
  <si>
    <t>YASHASVI VERMA</t>
  </si>
  <si>
    <t>YATHARTH NAYAK</t>
  </si>
  <si>
    <t>YATHARTH SHARMA</t>
  </si>
  <si>
    <t>S.NO.</t>
  </si>
  <si>
    <t>CBSE RESULT 2026 - ALL SUBJECT WISE REPORT RANKWISE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</si>
</sst>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1"/>
  <sheetViews>
    <sheetView tabSelected="1" workbookViewId="0">
      <selection activeCell="B2" sqref="B2"/>
    </sheetView>
  </sheetViews>
  <sheetFormatPr defaultRowHeight="15"/>
  <cols>
    <col min="1" max="1" width="4.28515625" style="14" customWidth="1"/>
    <col min="2" max="2" width="10.5703125" customWidth="1"/>
    <col min="3" max="3" width="23" style="7" customWidth="1"/>
    <col min="4" max="4" width="3.42578125" customWidth="1"/>
    <col min="5" max="20" width="5.140625" customWidth="1"/>
    <col min="21" max="22" width="5.7109375" customWidth="1"/>
  </cols>
  <sheetData>
    <row r="1" spans="1:22" ht="18.75">
      <c r="B1" s="3" t="s">
        <v>738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22" s="20" customFormat="1" ht="45">
      <c r="A2" s="15" t="s">
        <v>737</v>
      </c>
      <c r="B2" s="16" t="s">
        <v>1</v>
      </c>
      <c r="C2" s="17"/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493</v>
      </c>
      <c r="M2" s="16" t="s">
        <v>12</v>
      </c>
      <c r="N2" s="16" t="s">
        <v>13</v>
      </c>
      <c r="O2" s="16" t="s">
        <v>14</v>
      </c>
      <c r="P2" s="18" t="s">
        <v>494</v>
      </c>
      <c r="Q2" s="18" t="s">
        <v>495</v>
      </c>
      <c r="R2" s="18" t="s">
        <v>496</v>
      </c>
      <c r="S2" s="18" t="s">
        <v>497</v>
      </c>
      <c r="T2" s="18" t="s">
        <v>498</v>
      </c>
      <c r="U2" s="19" t="s">
        <v>499</v>
      </c>
      <c r="V2" s="19" t="s">
        <v>500</v>
      </c>
    </row>
    <row r="3" spans="1:22">
      <c r="A3" s="2">
        <v>1</v>
      </c>
      <c r="B3" s="2" t="s">
        <v>205</v>
      </c>
      <c r="C3" s="13" t="s">
        <v>593</v>
      </c>
      <c r="D3" s="2" t="s">
        <v>22</v>
      </c>
      <c r="E3" s="2">
        <v>92</v>
      </c>
      <c r="F3" s="2"/>
      <c r="G3" s="2">
        <v>100</v>
      </c>
      <c r="H3" s="2"/>
      <c r="I3" s="2"/>
      <c r="J3" s="2">
        <v>98</v>
      </c>
      <c r="K3" s="2">
        <v>98</v>
      </c>
      <c r="L3" s="2">
        <v>100</v>
      </c>
      <c r="M3" s="2">
        <v>100</v>
      </c>
      <c r="N3" s="2">
        <v>588</v>
      </c>
      <c r="O3" s="2">
        <v>98</v>
      </c>
      <c r="P3" s="8">
        <f>LARGE(E3:M3,1)</f>
        <v>100</v>
      </c>
      <c r="Q3" s="8">
        <f>LARGE(E3:M3,2)</f>
        <v>100</v>
      </c>
      <c r="R3" s="8">
        <f>LARGE(E3:M3,3)</f>
        <v>100</v>
      </c>
      <c r="S3" s="8">
        <f>LARGE(E3:M3,4)</f>
        <v>98</v>
      </c>
      <c r="T3" s="8">
        <f>LARGE(E3:M3,5)</f>
        <v>98</v>
      </c>
      <c r="U3" s="11">
        <f>SUM(LARGE(E3:M3, 1), LARGE(E3:M3, 2), LARGE(E3:M3, 3), LARGE(E3:M3, 4), LARGE(E3:M3, 5))</f>
        <v>496</v>
      </c>
      <c r="V3" s="11">
        <f>U3/5</f>
        <v>99.2</v>
      </c>
    </row>
    <row r="4" spans="1:22">
      <c r="A4" s="2">
        <v>2</v>
      </c>
      <c r="B4" s="2" t="s">
        <v>389</v>
      </c>
      <c r="C4" s="13" t="s">
        <v>685</v>
      </c>
      <c r="D4" s="2" t="s">
        <v>22</v>
      </c>
      <c r="E4" s="2">
        <v>89</v>
      </c>
      <c r="F4" s="2"/>
      <c r="G4" s="2"/>
      <c r="H4" s="2">
        <v>100</v>
      </c>
      <c r="I4" s="2">
        <v>100</v>
      </c>
      <c r="J4" s="2">
        <v>97</v>
      </c>
      <c r="K4" s="2">
        <v>100</v>
      </c>
      <c r="L4" s="2"/>
      <c r="M4" s="2">
        <v>99</v>
      </c>
      <c r="N4" s="2">
        <v>585</v>
      </c>
      <c r="O4" s="2">
        <v>97.5</v>
      </c>
      <c r="P4" s="8">
        <f>LARGE(E4:M4,1)</f>
        <v>100</v>
      </c>
      <c r="Q4" s="8">
        <f>LARGE(E4:M4,2)</f>
        <v>100</v>
      </c>
      <c r="R4" s="8">
        <f>LARGE(E4:M4,3)</f>
        <v>100</v>
      </c>
      <c r="S4" s="8">
        <f>LARGE(E4:M4,4)</f>
        <v>99</v>
      </c>
      <c r="T4" s="8">
        <f>LARGE(E4:M4,5)</f>
        <v>97</v>
      </c>
      <c r="U4" s="11">
        <f>SUM(LARGE(E4:M4, 1), LARGE(E4:M4, 2), LARGE(E4:M4, 3), LARGE(E4:M4, 4), LARGE(E4:M4, 5))</f>
        <v>496</v>
      </c>
      <c r="V4" s="11">
        <f>U4/5</f>
        <v>99.2</v>
      </c>
    </row>
    <row r="5" spans="1:22">
      <c r="A5" s="2">
        <v>3</v>
      </c>
      <c r="B5" s="2" t="s">
        <v>138</v>
      </c>
      <c r="C5" s="13" t="s">
        <v>560</v>
      </c>
      <c r="D5" s="2" t="s">
        <v>22</v>
      </c>
      <c r="E5" s="2">
        <v>99</v>
      </c>
      <c r="F5" s="2"/>
      <c r="G5" s="2"/>
      <c r="H5" s="2">
        <v>98</v>
      </c>
      <c r="I5" s="2">
        <v>99</v>
      </c>
      <c r="J5" s="2">
        <v>94</v>
      </c>
      <c r="K5" s="2">
        <v>99</v>
      </c>
      <c r="L5" s="2"/>
      <c r="M5" s="2">
        <v>100</v>
      </c>
      <c r="N5" s="2">
        <v>589</v>
      </c>
      <c r="O5" s="2">
        <v>98.17</v>
      </c>
      <c r="P5" s="8">
        <f>LARGE(E5:M5,1)</f>
        <v>100</v>
      </c>
      <c r="Q5" s="8">
        <f>LARGE(E5:M5,2)</f>
        <v>99</v>
      </c>
      <c r="R5" s="8">
        <f>LARGE(E5:M5,3)</f>
        <v>99</v>
      </c>
      <c r="S5" s="8">
        <f>LARGE(E5:M5,4)</f>
        <v>99</v>
      </c>
      <c r="T5" s="8">
        <f>LARGE(E5:M5,5)</f>
        <v>98</v>
      </c>
      <c r="U5" s="11">
        <f>SUM(LARGE(E5:M5, 1), LARGE(E5:M5, 2), LARGE(E5:M5, 3), LARGE(E5:M5, 4), LARGE(E5:M5, 5))</f>
        <v>495</v>
      </c>
      <c r="V5" s="11">
        <f>U5/5</f>
        <v>99</v>
      </c>
    </row>
    <row r="6" spans="1:22">
      <c r="A6" s="2">
        <v>4</v>
      </c>
      <c r="B6" s="2" t="s">
        <v>171</v>
      </c>
      <c r="C6" s="13" t="s">
        <v>576</v>
      </c>
      <c r="D6" s="2" t="s">
        <v>17</v>
      </c>
      <c r="E6" s="2">
        <v>97</v>
      </c>
      <c r="F6" s="2"/>
      <c r="G6" s="2"/>
      <c r="H6" s="2">
        <v>99</v>
      </c>
      <c r="I6" s="2">
        <v>98</v>
      </c>
      <c r="J6" s="2">
        <v>97</v>
      </c>
      <c r="K6" s="2">
        <v>100</v>
      </c>
      <c r="L6" s="2"/>
      <c r="M6" s="2">
        <v>98</v>
      </c>
      <c r="N6" s="2">
        <v>589</v>
      </c>
      <c r="O6" s="2">
        <v>98.17</v>
      </c>
      <c r="P6" s="8">
        <f>LARGE(E6:M6,1)</f>
        <v>100</v>
      </c>
      <c r="Q6" s="8">
        <f>LARGE(E6:M6,2)</f>
        <v>99</v>
      </c>
      <c r="R6" s="8">
        <f>LARGE(E6:M6,3)</f>
        <v>98</v>
      </c>
      <c r="S6" s="8">
        <f>LARGE(E6:M6,4)</f>
        <v>98</v>
      </c>
      <c r="T6" s="8">
        <f>LARGE(E6:M6,5)</f>
        <v>97</v>
      </c>
      <c r="U6" s="11">
        <f>SUM(LARGE(E6:M6, 1), LARGE(E6:M6, 2), LARGE(E6:M6, 3), LARGE(E6:M6, 4), LARGE(E6:M6, 5))</f>
        <v>492</v>
      </c>
      <c r="V6" s="11">
        <f>U6/5</f>
        <v>98.4</v>
      </c>
    </row>
    <row r="7" spans="1:22">
      <c r="A7" s="2">
        <v>5</v>
      </c>
      <c r="B7" s="2" t="s">
        <v>457</v>
      </c>
      <c r="C7" s="13" t="s">
        <v>719</v>
      </c>
      <c r="D7" s="2" t="s">
        <v>17</v>
      </c>
      <c r="E7" s="2">
        <v>96</v>
      </c>
      <c r="F7" s="2"/>
      <c r="G7" s="2">
        <v>100</v>
      </c>
      <c r="H7" s="2"/>
      <c r="I7" s="2">
        <v>95</v>
      </c>
      <c r="J7" s="2">
        <v>94</v>
      </c>
      <c r="K7" s="2">
        <v>100</v>
      </c>
      <c r="L7" s="2"/>
      <c r="M7" s="2">
        <v>100</v>
      </c>
      <c r="N7" s="2">
        <v>585</v>
      </c>
      <c r="O7" s="2">
        <v>97.5</v>
      </c>
      <c r="P7" s="8">
        <f>LARGE(E7:M7,1)</f>
        <v>100</v>
      </c>
      <c r="Q7" s="8">
        <f>LARGE(E7:M7,2)</f>
        <v>100</v>
      </c>
      <c r="R7" s="8">
        <f>LARGE(E7:M7,3)</f>
        <v>100</v>
      </c>
      <c r="S7" s="8">
        <f>LARGE(E7:M7,4)</f>
        <v>96</v>
      </c>
      <c r="T7" s="8">
        <f>LARGE(E7:M7,5)</f>
        <v>95</v>
      </c>
      <c r="U7" s="11">
        <f>SUM(LARGE(E7:M7, 1), LARGE(E7:M7, 2), LARGE(E7:M7, 3), LARGE(E7:M7, 4), LARGE(E7:M7, 5))</f>
        <v>491</v>
      </c>
      <c r="V7" s="11">
        <f>U7/5</f>
        <v>98.2</v>
      </c>
    </row>
    <row r="8" spans="1:22">
      <c r="A8" s="2">
        <v>6</v>
      </c>
      <c r="B8" s="2" t="s">
        <v>283</v>
      </c>
      <c r="C8" s="13" t="s">
        <v>632</v>
      </c>
      <c r="D8" s="2" t="s">
        <v>17</v>
      </c>
      <c r="E8" s="2">
        <v>98</v>
      </c>
      <c r="F8" s="2"/>
      <c r="G8" s="2"/>
      <c r="H8" s="2">
        <v>100</v>
      </c>
      <c r="I8" s="2">
        <v>82</v>
      </c>
      <c r="J8" s="2">
        <v>94</v>
      </c>
      <c r="K8" s="2">
        <v>98</v>
      </c>
      <c r="L8" s="2"/>
      <c r="M8" s="2">
        <v>100</v>
      </c>
      <c r="N8" s="2">
        <v>572</v>
      </c>
      <c r="O8" s="2">
        <v>95.33</v>
      </c>
      <c r="P8" s="8">
        <f>LARGE(E8:M8,1)</f>
        <v>100</v>
      </c>
      <c r="Q8" s="8">
        <f>LARGE(E8:M8,2)</f>
        <v>100</v>
      </c>
      <c r="R8" s="8">
        <f>LARGE(E8:M8,3)</f>
        <v>98</v>
      </c>
      <c r="S8" s="8">
        <f>LARGE(E8:M8,4)</f>
        <v>98</v>
      </c>
      <c r="T8" s="8">
        <f>LARGE(E8:M8,5)</f>
        <v>94</v>
      </c>
      <c r="U8" s="11">
        <f>SUM(LARGE(E8:M8, 1), LARGE(E8:M8, 2), LARGE(E8:M8, 3), LARGE(E8:M8, 4), LARGE(E8:M8, 5))</f>
        <v>490</v>
      </c>
      <c r="V8" s="11">
        <f>U8/5</f>
        <v>98</v>
      </c>
    </row>
    <row r="9" spans="1:22">
      <c r="A9" s="2">
        <v>7</v>
      </c>
      <c r="B9" s="2" t="s">
        <v>287</v>
      </c>
      <c r="C9" s="13" t="s">
        <v>634</v>
      </c>
      <c r="D9" s="2" t="s">
        <v>17</v>
      </c>
      <c r="E9" s="2">
        <v>98</v>
      </c>
      <c r="F9" s="2"/>
      <c r="G9" s="2">
        <v>98</v>
      </c>
      <c r="H9" s="2"/>
      <c r="I9" s="2">
        <v>83</v>
      </c>
      <c r="J9" s="2">
        <v>98</v>
      </c>
      <c r="K9" s="2">
        <v>96</v>
      </c>
      <c r="L9" s="2"/>
      <c r="M9" s="2">
        <v>100</v>
      </c>
      <c r="N9" s="2">
        <v>573</v>
      </c>
      <c r="O9" s="2">
        <v>95.5</v>
      </c>
      <c r="P9" s="8">
        <f>LARGE(E9:M9,1)</f>
        <v>100</v>
      </c>
      <c r="Q9" s="8">
        <f>LARGE(E9:M9,2)</f>
        <v>98</v>
      </c>
      <c r="R9" s="8">
        <f>LARGE(E9:M9,3)</f>
        <v>98</v>
      </c>
      <c r="S9" s="8">
        <f>LARGE(E9:M9,4)</f>
        <v>98</v>
      </c>
      <c r="T9" s="8">
        <f>LARGE(E9:M9,5)</f>
        <v>96</v>
      </c>
      <c r="U9" s="11">
        <f>SUM(LARGE(E9:M9, 1), LARGE(E9:M9, 2), LARGE(E9:M9, 3), LARGE(E9:M9, 4), LARGE(E9:M9, 5))</f>
        <v>490</v>
      </c>
      <c r="V9" s="11">
        <f>U9/5</f>
        <v>98</v>
      </c>
    </row>
    <row r="10" spans="1:22">
      <c r="A10" s="2">
        <v>8</v>
      </c>
      <c r="B10" s="2" t="s">
        <v>339</v>
      </c>
      <c r="C10" s="13" t="s">
        <v>660</v>
      </c>
      <c r="D10" s="2" t="s">
        <v>17</v>
      </c>
      <c r="E10" s="2">
        <v>89</v>
      </c>
      <c r="F10" s="2"/>
      <c r="G10" s="2">
        <v>100</v>
      </c>
      <c r="H10" s="2"/>
      <c r="I10" s="2"/>
      <c r="J10" s="2">
        <v>94</v>
      </c>
      <c r="K10" s="2">
        <v>98</v>
      </c>
      <c r="L10" s="2">
        <v>98</v>
      </c>
      <c r="M10" s="2">
        <v>100</v>
      </c>
      <c r="N10" s="2">
        <v>579</v>
      </c>
      <c r="O10" s="2">
        <v>96.5</v>
      </c>
      <c r="P10" s="8">
        <f>LARGE(E10:M10,1)</f>
        <v>100</v>
      </c>
      <c r="Q10" s="8">
        <f>LARGE(E10:M10,2)</f>
        <v>100</v>
      </c>
      <c r="R10" s="8">
        <f>LARGE(E10:M10,3)</f>
        <v>98</v>
      </c>
      <c r="S10" s="8">
        <f>LARGE(E10:M10,4)</f>
        <v>98</v>
      </c>
      <c r="T10" s="8">
        <f>LARGE(E10:M10,5)</f>
        <v>94</v>
      </c>
      <c r="U10" s="11">
        <f>SUM(LARGE(E10:M10, 1), LARGE(E10:M10, 2), LARGE(E10:M10, 3), LARGE(E10:M10, 4), LARGE(E10:M10, 5))</f>
        <v>490</v>
      </c>
      <c r="V10" s="11">
        <f>U10/5</f>
        <v>98</v>
      </c>
    </row>
    <row r="11" spans="1:22">
      <c r="A11" s="2">
        <v>9</v>
      </c>
      <c r="B11" s="2" t="s">
        <v>130</v>
      </c>
      <c r="C11" s="13" t="s">
        <v>556</v>
      </c>
      <c r="D11" s="2" t="s">
        <v>17</v>
      </c>
      <c r="E11" s="2">
        <v>96</v>
      </c>
      <c r="F11" s="2"/>
      <c r="G11" s="2"/>
      <c r="H11" s="2">
        <v>100</v>
      </c>
      <c r="I11" s="2">
        <v>95</v>
      </c>
      <c r="J11" s="2">
        <v>96</v>
      </c>
      <c r="K11" s="2">
        <v>97</v>
      </c>
      <c r="L11" s="2"/>
      <c r="M11" s="2">
        <v>100</v>
      </c>
      <c r="N11" s="2">
        <v>584</v>
      </c>
      <c r="O11" s="2">
        <v>97.33</v>
      </c>
      <c r="P11" s="8">
        <f>LARGE(E11:M11,1)</f>
        <v>100</v>
      </c>
      <c r="Q11" s="8">
        <f>LARGE(E11:M11,2)</f>
        <v>100</v>
      </c>
      <c r="R11" s="8">
        <f>LARGE(E11:M11,3)</f>
        <v>97</v>
      </c>
      <c r="S11" s="8">
        <f>LARGE(E11:M11,4)</f>
        <v>96</v>
      </c>
      <c r="T11" s="8">
        <f>LARGE(E11:M11,5)</f>
        <v>96</v>
      </c>
      <c r="U11" s="11">
        <f>SUM(LARGE(E11:M11, 1), LARGE(E11:M11, 2), LARGE(E11:M11, 3), LARGE(E11:M11, 4), LARGE(E11:M11, 5))</f>
        <v>489</v>
      </c>
      <c r="V11" s="11">
        <f>U11/5</f>
        <v>97.8</v>
      </c>
    </row>
    <row r="12" spans="1:22">
      <c r="A12" s="2">
        <v>10</v>
      </c>
      <c r="B12" s="2" t="s">
        <v>219</v>
      </c>
      <c r="C12" s="13" t="s">
        <v>600</v>
      </c>
      <c r="D12" s="2" t="s">
        <v>17</v>
      </c>
      <c r="E12" s="2">
        <v>93</v>
      </c>
      <c r="F12" s="2"/>
      <c r="G12" s="2">
        <v>99</v>
      </c>
      <c r="H12" s="2"/>
      <c r="I12" s="2">
        <v>85</v>
      </c>
      <c r="J12" s="2">
        <v>100</v>
      </c>
      <c r="K12" s="2">
        <v>97</v>
      </c>
      <c r="L12" s="2"/>
      <c r="M12" s="2">
        <v>100</v>
      </c>
      <c r="N12" s="2">
        <v>574</v>
      </c>
      <c r="O12" s="2">
        <v>95.67</v>
      </c>
      <c r="P12" s="8">
        <f>LARGE(E12:M12,1)</f>
        <v>100</v>
      </c>
      <c r="Q12" s="8">
        <f>LARGE(E12:M12,2)</f>
        <v>100</v>
      </c>
      <c r="R12" s="8">
        <f>LARGE(E12:M12,3)</f>
        <v>99</v>
      </c>
      <c r="S12" s="8">
        <f>LARGE(E12:M12,4)</f>
        <v>97</v>
      </c>
      <c r="T12" s="8">
        <f>LARGE(E12:M12,5)</f>
        <v>93</v>
      </c>
      <c r="U12" s="11">
        <f>SUM(LARGE(E12:M12, 1), LARGE(E12:M12, 2), LARGE(E12:M12, 3), LARGE(E12:M12, 4), LARGE(E12:M12, 5))</f>
        <v>489</v>
      </c>
      <c r="V12" s="11">
        <f>U12/5</f>
        <v>97.8</v>
      </c>
    </row>
    <row r="13" spans="1:22">
      <c r="A13" s="2">
        <v>11</v>
      </c>
      <c r="B13" s="2" t="s">
        <v>441</v>
      </c>
      <c r="C13" s="13" t="s">
        <v>711</v>
      </c>
      <c r="D13" s="2" t="s">
        <v>17</v>
      </c>
      <c r="E13" s="2">
        <v>94</v>
      </c>
      <c r="F13" s="2"/>
      <c r="G13" s="2">
        <v>99</v>
      </c>
      <c r="H13" s="2"/>
      <c r="I13" s="2">
        <v>93</v>
      </c>
      <c r="J13" s="2">
        <v>99</v>
      </c>
      <c r="K13" s="2">
        <v>98</v>
      </c>
      <c r="L13" s="2"/>
      <c r="M13" s="2">
        <v>99</v>
      </c>
      <c r="N13" s="2">
        <v>582</v>
      </c>
      <c r="O13" s="2">
        <v>97</v>
      </c>
      <c r="P13" s="8">
        <f>LARGE(E13:M13,1)</f>
        <v>99</v>
      </c>
      <c r="Q13" s="8">
        <f>LARGE(E13:M13,2)</f>
        <v>99</v>
      </c>
      <c r="R13" s="8">
        <f>LARGE(E13:M13,3)</f>
        <v>99</v>
      </c>
      <c r="S13" s="8">
        <f>LARGE(E13:M13,4)</f>
        <v>98</v>
      </c>
      <c r="T13" s="8">
        <f>LARGE(E13:M13,5)</f>
        <v>94</v>
      </c>
      <c r="U13" s="11">
        <f>SUM(LARGE(E13:M13, 1), LARGE(E13:M13, 2), LARGE(E13:M13, 3), LARGE(E13:M13, 4), LARGE(E13:M13, 5))</f>
        <v>489</v>
      </c>
      <c r="V13" s="11">
        <f>U13/5</f>
        <v>97.8</v>
      </c>
    </row>
    <row r="14" spans="1:22">
      <c r="A14" s="2">
        <v>12</v>
      </c>
      <c r="B14" s="2" t="s">
        <v>253</v>
      </c>
      <c r="C14" s="13" t="s">
        <v>617</v>
      </c>
      <c r="D14" s="2" t="s">
        <v>22</v>
      </c>
      <c r="E14" s="2">
        <v>98</v>
      </c>
      <c r="F14" s="2"/>
      <c r="G14" s="2"/>
      <c r="H14" s="2">
        <v>98</v>
      </c>
      <c r="I14" s="2">
        <v>95</v>
      </c>
      <c r="J14" s="2">
        <v>96</v>
      </c>
      <c r="K14" s="2">
        <v>98</v>
      </c>
      <c r="L14" s="2"/>
      <c r="M14" s="2">
        <v>98</v>
      </c>
      <c r="N14" s="2">
        <v>583</v>
      </c>
      <c r="O14" s="2">
        <v>97.17</v>
      </c>
      <c r="P14" s="8">
        <f>LARGE(E14:M14,1)</f>
        <v>98</v>
      </c>
      <c r="Q14" s="8">
        <f>LARGE(E14:M14,2)</f>
        <v>98</v>
      </c>
      <c r="R14" s="8">
        <f>LARGE(E14:M14,3)</f>
        <v>98</v>
      </c>
      <c r="S14" s="8">
        <f>LARGE(E14:M14,4)</f>
        <v>98</v>
      </c>
      <c r="T14" s="8">
        <f>LARGE(E14:M14,5)</f>
        <v>96</v>
      </c>
      <c r="U14" s="11">
        <f>SUM(LARGE(E14:M14, 1), LARGE(E14:M14, 2), LARGE(E14:M14, 3), LARGE(E14:M14, 4), LARGE(E14:M14, 5))</f>
        <v>488</v>
      </c>
      <c r="V14" s="11">
        <f>U14/5</f>
        <v>97.6</v>
      </c>
    </row>
    <row r="15" spans="1:22">
      <c r="A15" s="2">
        <v>13</v>
      </c>
      <c r="B15" s="2" t="s">
        <v>361</v>
      </c>
      <c r="C15" s="13" t="s">
        <v>671</v>
      </c>
      <c r="D15" s="2" t="s">
        <v>17</v>
      </c>
      <c r="E15" s="2">
        <v>93</v>
      </c>
      <c r="F15" s="2"/>
      <c r="G15" s="2">
        <v>99</v>
      </c>
      <c r="H15" s="2"/>
      <c r="I15" s="2">
        <v>97</v>
      </c>
      <c r="J15" s="2">
        <v>95</v>
      </c>
      <c r="K15" s="2">
        <v>98</v>
      </c>
      <c r="L15" s="2"/>
      <c r="M15" s="2">
        <v>99</v>
      </c>
      <c r="N15" s="2">
        <v>581</v>
      </c>
      <c r="O15" s="2">
        <v>96.83</v>
      </c>
      <c r="P15" s="8">
        <f>LARGE(E15:M15,1)</f>
        <v>99</v>
      </c>
      <c r="Q15" s="8">
        <f>LARGE(E15:M15,2)</f>
        <v>99</v>
      </c>
      <c r="R15" s="8">
        <f>LARGE(E15:M15,3)</f>
        <v>98</v>
      </c>
      <c r="S15" s="8">
        <f>LARGE(E15:M15,4)</f>
        <v>97</v>
      </c>
      <c r="T15" s="8">
        <f>LARGE(E15:M15,5)</f>
        <v>95</v>
      </c>
      <c r="U15" s="11">
        <f>SUM(LARGE(E15:M15, 1), LARGE(E15:M15, 2), LARGE(E15:M15, 3), LARGE(E15:M15, 4), LARGE(E15:M15, 5))</f>
        <v>488</v>
      </c>
      <c r="V15" s="11">
        <f>U15/5</f>
        <v>97.6</v>
      </c>
    </row>
    <row r="16" spans="1:22">
      <c r="A16" s="2">
        <v>14</v>
      </c>
      <c r="B16" s="2" t="s">
        <v>32</v>
      </c>
      <c r="C16" s="13" t="s">
        <v>507</v>
      </c>
      <c r="D16" s="2" t="s">
        <v>17</v>
      </c>
      <c r="E16" s="2">
        <v>96</v>
      </c>
      <c r="F16" s="2"/>
      <c r="G16" s="2">
        <v>98</v>
      </c>
      <c r="H16" s="2"/>
      <c r="I16" s="2">
        <v>95</v>
      </c>
      <c r="J16" s="2">
        <v>88</v>
      </c>
      <c r="K16" s="2">
        <v>99</v>
      </c>
      <c r="L16" s="2"/>
      <c r="M16" s="2">
        <v>99</v>
      </c>
      <c r="N16" s="2">
        <v>575</v>
      </c>
      <c r="O16" s="2">
        <v>95.83</v>
      </c>
      <c r="P16" s="8">
        <f>LARGE(E16:M16,1)</f>
        <v>99</v>
      </c>
      <c r="Q16" s="8">
        <f>LARGE(E16:M16,2)</f>
        <v>99</v>
      </c>
      <c r="R16" s="8">
        <f>LARGE(E16:M16,3)</f>
        <v>98</v>
      </c>
      <c r="S16" s="8">
        <f>LARGE(E16:M16,4)</f>
        <v>96</v>
      </c>
      <c r="T16" s="8">
        <f>LARGE(E16:M16,5)</f>
        <v>95</v>
      </c>
      <c r="U16" s="11">
        <f>SUM(LARGE(E16:M16, 1), LARGE(E16:M16, 2), LARGE(E16:M16, 3), LARGE(E16:M16, 4), LARGE(E16:M16, 5))</f>
        <v>487</v>
      </c>
      <c r="V16" s="11">
        <f>U16/5</f>
        <v>97.4</v>
      </c>
    </row>
    <row r="17" spans="1:22">
      <c r="A17" s="2">
        <v>15</v>
      </c>
      <c r="B17" s="2" t="s">
        <v>215</v>
      </c>
      <c r="C17" s="13" t="s">
        <v>598</v>
      </c>
      <c r="D17" s="2" t="s">
        <v>17</v>
      </c>
      <c r="E17" s="2">
        <v>96</v>
      </c>
      <c r="F17" s="2">
        <v>96</v>
      </c>
      <c r="G17" s="2"/>
      <c r="H17" s="2"/>
      <c r="I17" s="2">
        <v>95</v>
      </c>
      <c r="J17" s="2">
        <v>99</v>
      </c>
      <c r="K17" s="2">
        <v>96</v>
      </c>
      <c r="L17" s="2"/>
      <c r="M17" s="2">
        <v>100</v>
      </c>
      <c r="N17" s="2">
        <v>582</v>
      </c>
      <c r="O17" s="2">
        <v>97</v>
      </c>
      <c r="P17" s="8">
        <f>LARGE(E17:M17,1)</f>
        <v>100</v>
      </c>
      <c r="Q17" s="8">
        <f>LARGE(E17:M17,2)</f>
        <v>99</v>
      </c>
      <c r="R17" s="8">
        <f>LARGE(E17:M17,3)</f>
        <v>96</v>
      </c>
      <c r="S17" s="8">
        <f>LARGE(E17:M17,4)</f>
        <v>96</v>
      </c>
      <c r="T17" s="8">
        <f>LARGE(E17:M17,5)</f>
        <v>96</v>
      </c>
      <c r="U17" s="11">
        <f>SUM(LARGE(E17:M17, 1), LARGE(E17:M17, 2), LARGE(E17:M17, 3), LARGE(E17:M17, 4), LARGE(E17:M17, 5))</f>
        <v>487</v>
      </c>
      <c r="V17" s="11">
        <f>U17/5</f>
        <v>97.4</v>
      </c>
    </row>
    <row r="18" spans="1:22">
      <c r="A18" s="2">
        <v>16</v>
      </c>
      <c r="B18" s="2" t="s">
        <v>217</v>
      </c>
      <c r="C18" s="13" t="s">
        <v>599</v>
      </c>
      <c r="D18" s="2" t="s">
        <v>17</v>
      </c>
      <c r="E18" s="2">
        <v>96</v>
      </c>
      <c r="F18" s="2">
        <v>97</v>
      </c>
      <c r="G18" s="2"/>
      <c r="H18" s="2"/>
      <c r="I18" s="2">
        <v>79</v>
      </c>
      <c r="J18" s="2">
        <v>96</v>
      </c>
      <c r="K18" s="2">
        <v>98</v>
      </c>
      <c r="L18" s="2"/>
      <c r="M18" s="2">
        <v>100</v>
      </c>
      <c r="N18" s="2">
        <v>566</v>
      </c>
      <c r="O18" s="2">
        <v>94.33</v>
      </c>
      <c r="P18" s="8">
        <f>LARGE(E18:M18,1)</f>
        <v>100</v>
      </c>
      <c r="Q18" s="8">
        <f>LARGE(E18:M18,2)</f>
        <v>98</v>
      </c>
      <c r="R18" s="8">
        <f>LARGE(E18:M18,3)</f>
        <v>97</v>
      </c>
      <c r="S18" s="8">
        <f>LARGE(E18:M18,4)</f>
        <v>96</v>
      </c>
      <c r="T18" s="8">
        <f>LARGE(E18:M18,5)</f>
        <v>96</v>
      </c>
      <c r="U18" s="11">
        <f>SUM(LARGE(E18:M18, 1), LARGE(E18:M18, 2), LARGE(E18:M18, 3), LARGE(E18:M18, 4), LARGE(E18:M18, 5))</f>
        <v>487</v>
      </c>
      <c r="V18" s="11">
        <f>U18/5</f>
        <v>97.4</v>
      </c>
    </row>
    <row r="19" spans="1:22">
      <c r="A19" s="2">
        <v>17</v>
      </c>
      <c r="B19" s="2" t="s">
        <v>371</v>
      </c>
      <c r="C19" s="13" t="s">
        <v>676</v>
      </c>
      <c r="D19" s="2" t="s">
        <v>17</v>
      </c>
      <c r="E19" s="2">
        <v>95</v>
      </c>
      <c r="F19" s="2"/>
      <c r="G19" s="2">
        <v>99</v>
      </c>
      <c r="H19" s="2"/>
      <c r="I19" s="2">
        <v>75</v>
      </c>
      <c r="J19" s="2">
        <v>96</v>
      </c>
      <c r="K19" s="2">
        <v>98</v>
      </c>
      <c r="L19" s="2"/>
      <c r="M19" s="2">
        <v>99</v>
      </c>
      <c r="N19" s="2">
        <v>562</v>
      </c>
      <c r="O19" s="2">
        <v>93.67</v>
      </c>
      <c r="P19" s="8">
        <f>LARGE(E19:M19,1)</f>
        <v>99</v>
      </c>
      <c r="Q19" s="8">
        <f>LARGE(E19:M19,2)</f>
        <v>99</v>
      </c>
      <c r="R19" s="8">
        <f>LARGE(E19:M19,3)</f>
        <v>98</v>
      </c>
      <c r="S19" s="8">
        <f>LARGE(E19:M19,4)</f>
        <v>96</v>
      </c>
      <c r="T19" s="8">
        <f>LARGE(E19:M19,5)</f>
        <v>95</v>
      </c>
      <c r="U19" s="11">
        <f>SUM(LARGE(E19:M19, 1), LARGE(E19:M19, 2), LARGE(E19:M19, 3), LARGE(E19:M19, 4), LARGE(E19:M19, 5))</f>
        <v>487</v>
      </c>
      <c r="V19" s="11">
        <f>U19/5</f>
        <v>97.4</v>
      </c>
    </row>
    <row r="20" spans="1:22">
      <c r="A20" s="2">
        <v>18</v>
      </c>
      <c r="B20" s="2" t="s">
        <v>62</v>
      </c>
      <c r="C20" s="13" t="s">
        <v>522</v>
      </c>
      <c r="D20" s="2" t="s">
        <v>22</v>
      </c>
      <c r="E20" s="2">
        <v>93</v>
      </c>
      <c r="F20" s="2"/>
      <c r="G20" s="2">
        <v>98</v>
      </c>
      <c r="H20" s="2"/>
      <c r="I20" s="2">
        <v>100</v>
      </c>
      <c r="J20" s="2">
        <v>97</v>
      </c>
      <c r="K20" s="2">
        <v>85</v>
      </c>
      <c r="L20" s="2"/>
      <c r="M20" s="2">
        <v>98</v>
      </c>
      <c r="N20" s="2">
        <v>571</v>
      </c>
      <c r="O20" s="2">
        <v>95.17</v>
      </c>
      <c r="P20" s="8">
        <f>LARGE(E20:M20,1)</f>
        <v>100</v>
      </c>
      <c r="Q20" s="8">
        <f>LARGE(E20:M20,2)</f>
        <v>98</v>
      </c>
      <c r="R20" s="8">
        <f>LARGE(E20:M20,3)</f>
        <v>98</v>
      </c>
      <c r="S20" s="8">
        <f>LARGE(E20:M20,4)</f>
        <v>97</v>
      </c>
      <c r="T20" s="8">
        <f>LARGE(E20:M20,5)</f>
        <v>93</v>
      </c>
      <c r="U20" s="11">
        <f>SUM(LARGE(E20:M20, 1), LARGE(E20:M20, 2), LARGE(E20:M20, 3), LARGE(E20:M20, 4), LARGE(E20:M20, 5))</f>
        <v>486</v>
      </c>
      <c r="V20" s="11">
        <f>U20/5</f>
        <v>97.2</v>
      </c>
    </row>
    <row r="21" spans="1:22">
      <c r="A21" s="2">
        <v>19</v>
      </c>
      <c r="B21" s="2" t="s">
        <v>158</v>
      </c>
      <c r="C21" s="12" t="s">
        <v>570</v>
      </c>
      <c r="D21" s="2" t="s">
        <v>22</v>
      </c>
      <c r="E21" s="2">
        <v>96</v>
      </c>
      <c r="F21" s="2"/>
      <c r="G21" s="2">
        <v>99</v>
      </c>
      <c r="H21" s="2"/>
      <c r="I21" s="2">
        <v>91</v>
      </c>
      <c r="J21" s="2">
        <v>94</v>
      </c>
      <c r="K21" s="2">
        <v>98</v>
      </c>
      <c r="L21" s="2"/>
      <c r="M21" s="2">
        <v>99</v>
      </c>
      <c r="N21" s="2">
        <v>577</v>
      </c>
      <c r="O21" s="2">
        <v>96.17</v>
      </c>
      <c r="P21" s="8">
        <f>LARGE(E21:M21,1)</f>
        <v>99</v>
      </c>
      <c r="Q21" s="8">
        <f>LARGE(E21:M21,2)</f>
        <v>99</v>
      </c>
      <c r="R21" s="8">
        <f>LARGE(E21:M21,3)</f>
        <v>98</v>
      </c>
      <c r="S21" s="8">
        <f>LARGE(E21:M21,4)</f>
        <v>96</v>
      </c>
      <c r="T21" s="8">
        <f>LARGE(E21:M21,5)</f>
        <v>94</v>
      </c>
      <c r="U21" s="11">
        <f>SUM(LARGE(E21:M21, 1), LARGE(E21:M21, 2), LARGE(E21:M21, 3), LARGE(E21:M21, 4), LARGE(E21:M21, 5))</f>
        <v>486</v>
      </c>
      <c r="V21" s="11">
        <f>U21/5</f>
        <v>97.2</v>
      </c>
    </row>
    <row r="22" spans="1:22">
      <c r="A22" s="2">
        <v>20</v>
      </c>
      <c r="B22" s="2" t="s">
        <v>245</v>
      </c>
      <c r="C22" s="13" t="s">
        <v>613</v>
      </c>
      <c r="D22" s="2" t="s">
        <v>22</v>
      </c>
      <c r="E22" s="2">
        <v>91</v>
      </c>
      <c r="F22" s="2"/>
      <c r="G22" s="2">
        <v>99</v>
      </c>
      <c r="H22" s="2"/>
      <c r="I22" s="2">
        <v>99</v>
      </c>
      <c r="J22" s="2">
        <v>97</v>
      </c>
      <c r="K22" s="2">
        <v>91</v>
      </c>
      <c r="L22" s="2"/>
      <c r="M22" s="2">
        <v>100</v>
      </c>
      <c r="N22" s="2">
        <v>577</v>
      </c>
      <c r="O22" s="2">
        <v>96.17</v>
      </c>
      <c r="P22" s="8">
        <f>LARGE(E22:M22,1)</f>
        <v>100</v>
      </c>
      <c r="Q22" s="8">
        <f>LARGE(E22:M22,2)</f>
        <v>99</v>
      </c>
      <c r="R22" s="8">
        <f>LARGE(E22:M22,3)</f>
        <v>99</v>
      </c>
      <c r="S22" s="8">
        <f>LARGE(E22:M22,4)</f>
        <v>97</v>
      </c>
      <c r="T22" s="8">
        <f>LARGE(E22:M22,5)</f>
        <v>91</v>
      </c>
      <c r="U22" s="11">
        <f>SUM(LARGE(E22:M22, 1), LARGE(E22:M22, 2), LARGE(E22:M22, 3), LARGE(E22:M22, 4), LARGE(E22:M22, 5))</f>
        <v>486</v>
      </c>
      <c r="V22" s="11">
        <f>U22/5</f>
        <v>97.2</v>
      </c>
    </row>
    <row r="23" spans="1:22">
      <c r="A23" s="2">
        <v>21</v>
      </c>
      <c r="B23" s="2" t="s">
        <v>297</v>
      </c>
      <c r="C23" s="12" t="s">
        <v>639</v>
      </c>
      <c r="D23" s="2" t="s">
        <v>22</v>
      </c>
      <c r="E23" s="2">
        <v>93</v>
      </c>
      <c r="F23" s="2"/>
      <c r="G23" s="2">
        <v>96</v>
      </c>
      <c r="H23" s="2"/>
      <c r="I23" s="2">
        <v>95</v>
      </c>
      <c r="J23" s="2">
        <v>98</v>
      </c>
      <c r="K23" s="2">
        <v>96</v>
      </c>
      <c r="L23" s="2"/>
      <c r="M23" s="2">
        <v>100</v>
      </c>
      <c r="N23" s="2">
        <v>578</v>
      </c>
      <c r="O23" s="2">
        <v>96.33</v>
      </c>
      <c r="P23" s="8">
        <f>LARGE(E23:M23,1)</f>
        <v>100</v>
      </c>
      <c r="Q23" s="8">
        <f>LARGE(E23:M23,2)</f>
        <v>98</v>
      </c>
      <c r="R23" s="8">
        <f>LARGE(E23:M23,3)</f>
        <v>96</v>
      </c>
      <c r="S23" s="8">
        <f>LARGE(E23:M23,4)</f>
        <v>96</v>
      </c>
      <c r="T23" s="8">
        <f>LARGE(E23:M23,5)</f>
        <v>95</v>
      </c>
      <c r="U23" s="11">
        <f>SUM(LARGE(E23:M23, 1), LARGE(E23:M23, 2), LARGE(E23:M23, 3), LARGE(E23:M23, 4), LARGE(E23:M23, 5))</f>
        <v>485</v>
      </c>
      <c r="V23" s="11">
        <f>U23/5</f>
        <v>97</v>
      </c>
    </row>
    <row r="24" spans="1:22">
      <c r="A24" s="2">
        <v>22</v>
      </c>
      <c r="B24" s="2" t="s">
        <v>443</v>
      </c>
      <c r="C24" s="13" t="s">
        <v>712</v>
      </c>
      <c r="D24" s="2" t="s">
        <v>17</v>
      </c>
      <c r="E24" s="2">
        <v>82</v>
      </c>
      <c r="F24" s="2"/>
      <c r="G24" s="2"/>
      <c r="H24" s="2">
        <v>98</v>
      </c>
      <c r="I24" s="2">
        <v>93</v>
      </c>
      <c r="J24" s="2">
        <v>97</v>
      </c>
      <c r="K24" s="2">
        <v>97</v>
      </c>
      <c r="L24" s="2"/>
      <c r="M24" s="2">
        <v>100</v>
      </c>
      <c r="N24" s="2">
        <v>567</v>
      </c>
      <c r="O24" s="2">
        <v>94.5</v>
      </c>
      <c r="P24" s="8">
        <f>LARGE(E24:M24,1)</f>
        <v>100</v>
      </c>
      <c r="Q24" s="8">
        <f>LARGE(E24:M24,2)</f>
        <v>98</v>
      </c>
      <c r="R24" s="8">
        <f>LARGE(E24:M24,3)</f>
        <v>97</v>
      </c>
      <c r="S24" s="8">
        <f>LARGE(E24:M24,4)</f>
        <v>97</v>
      </c>
      <c r="T24" s="8">
        <f>LARGE(E24:M24,5)</f>
        <v>93</v>
      </c>
      <c r="U24" s="11">
        <f>SUM(LARGE(E24:M24, 1), LARGE(E24:M24, 2), LARGE(E24:M24, 3), LARGE(E24:M24, 4), LARGE(E24:M24, 5))</f>
        <v>485</v>
      </c>
      <c r="V24" s="11">
        <f>U24/5</f>
        <v>97</v>
      </c>
    </row>
    <row r="25" spans="1:22">
      <c r="A25" s="2">
        <v>23</v>
      </c>
      <c r="B25" s="2" t="s">
        <v>177</v>
      </c>
      <c r="C25" s="13" t="s">
        <v>579</v>
      </c>
      <c r="D25" s="2" t="s">
        <v>17</v>
      </c>
      <c r="E25" s="2">
        <v>97</v>
      </c>
      <c r="F25" s="2"/>
      <c r="G25" s="2"/>
      <c r="H25" s="2">
        <v>97</v>
      </c>
      <c r="I25" s="2">
        <v>94</v>
      </c>
      <c r="J25" s="2">
        <v>95</v>
      </c>
      <c r="K25" s="2">
        <v>96</v>
      </c>
      <c r="L25" s="2"/>
      <c r="M25" s="2">
        <v>99</v>
      </c>
      <c r="N25" s="2">
        <v>578</v>
      </c>
      <c r="O25" s="2">
        <v>96.33</v>
      </c>
      <c r="P25" s="8">
        <f>LARGE(E25:M25,1)</f>
        <v>99</v>
      </c>
      <c r="Q25" s="8">
        <f>LARGE(E25:M25,2)</f>
        <v>97</v>
      </c>
      <c r="R25" s="8">
        <f>LARGE(E25:M25,3)</f>
        <v>97</v>
      </c>
      <c r="S25" s="8">
        <f>LARGE(E25:M25,4)</f>
        <v>96</v>
      </c>
      <c r="T25" s="8">
        <f>LARGE(E25:M25,5)</f>
        <v>95</v>
      </c>
      <c r="U25" s="11">
        <f>SUM(LARGE(E25:M25, 1), LARGE(E25:M25, 2), LARGE(E25:M25, 3), LARGE(E25:M25, 4), LARGE(E25:M25, 5))</f>
        <v>484</v>
      </c>
      <c r="V25" s="11">
        <f>U25/5</f>
        <v>96.8</v>
      </c>
    </row>
    <row r="26" spans="1:22">
      <c r="A26" s="2">
        <v>24</v>
      </c>
      <c r="B26" s="2" t="s">
        <v>317</v>
      </c>
      <c r="C26" s="13" t="s">
        <v>649</v>
      </c>
      <c r="D26" s="2" t="s">
        <v>17</v>
      </c>
      <c r="E26" s="2">
        <v>98</v>
      </c>
      <c r="F26" s="2"/>
      <c r="G26" s="2">
        <v>100</v>
      </c>
      <c r="H26" s="2"/>
      <c r="I26" s="2"/>
      <c r="J26" s="2">
        <v>93</v>
      </c>
      <c r="K26" s="2">
        <v>94</v>
      </c>
      <c r="L26" s="2">
        <v>88</v>
      </c>
      <c r="M26" s="2">
        <v>99</v>
      </c>
      <c r="N26" s="2">
        <v>572</v>
      </c>
      <c r="O26" s="2">
        <v>95.33</v>
      </c>
      <c r="P26" s="8">
        <f>LARGE(E26:M26,1)</f>
        <v>100</v>
      </c>
      <c r="Q26" s="8">
        <f>LARGE(E26:M26,2)</f>
        <v>99</v>
      </c>
      <c r="R26" s="8">
        <f>LARGE(E26:M26,3)</f>
        <v>98</v>
      </c>
      <c r="S26" s="8">
        <f>LARGE(E26:M26,4)</f>
        <v>94</v>
      </c>
      <c r="T26" s="8">
        <f>LARGE(E26:M26,5)</f>
        <v>93</v>
      </c>
      <c r="U26" s="11">
        <f>SUM(LARGE(E26:M26, 1), LARGE(E26:M26, 2), LARGE(E26:M26, 3), LARGE(E26:M26, 4), LARGE(E26:M26, 5))</f>
        <v>484</v>
      </c>
      <c r="V26" s="11">
        <f>U26/5</f>
        <v>96.8</v>
      </c>
    </row>
    <row r="27" spans="1:22">
      <c r="A27" s="2">
        <v>25</v>
      </c>
      <c r="B27" s="2" t="s">
        <v>409</v>
      </c>
      <c r="C27" s="13" t="s">
        <v>695</v>
      </c>
      <c r="D27" s="2" t="s">
        <v>17</v>
      </c>
      <c r="E27" s="2">
        <v>94</v>
      </c>
      <c r="F27" s="2"/>
      <c r="G27" s="2">
        <v>99</v>
      </c>
      <c r="H27" s="2"/>
      <c r="I27" s="2"/>
      <c r="J27" s="2">
        <v>93</v>
      </c>
      <c r="K27" s="2">
        <v>98</v>
      </c>
      <c r="L27" s="2">
        <v>94</v>
      </c>
      <c r="M27" s="2">
        <v>99</v>
      </c>
      <c r="N27" s="2">
        <v>577</v>
      </c>
      <c r="O27" s="2">
        <v>96.17</v>
      </c>
      <c r="P27" s="8">
        <f>LARGE(E27:M27,1)</f>
        <v>99</v>
      </c>
      <c r="Q27" s="8">
        <f>LARGE(E27:M27,2)</f>
        <v>99</v>
      </c>
      <c r="R27" s="8">
        <f>LARGE(E27:M27,3)</f>
        <v>98</v>
      </c>
      <c r="S27" s="8">
        <f>LARGE(E27:M27,4)</f>
        <v>94</v>
      </c>
      <c r="T27" s="8">
        <f>LARGE(E27:M27,5)</f>
        <v>94</v>
      </c>
      <c r="U27" s="11">
        <f>SUM(LARGE(E27:M27, 1), LARGE(E27:M27, 2), LARGE(E27:M27, 3), LARGE(E27:M27, 4), LARGE(E27:M27, 5))</f>
        <v>484</v>
      </c>
      <c r="V27" s="11">
        <f>U27/5</f>
        <v>96.8</v>
      </c>
    </row>
    <row r="28" spans="1:22">
      <c r="A28" s="2">
        <v>26</v>
      </c>
      <c r="B28" s="2" t="s">
        <v>345</v>
      </c>
      <c r="C28" s="12" t="s">
        <v>663</v>
      </c>
      <c r="D28" s="2" t="s">
        <v>17</v>
      </c>
      <c r="E28" s="2">
        <v>91</v>
      </c>
      <c r="F28" s="2"/>
      <c r="G28" s="2">
        <v>98</v>
      </c>
      <c r="H28" s="2"/>
      <c r="I28" s="2"/>
      <c r="J28" s="2">
        <v>98</v>
      </c>
      <c r="K28" s="2">
        <v>94</v>
      </c>
      <c r="L28" s="2">
        <v>96</v>
      </c>
      <c r="M28" s="2">
        <v>97</v>
      </c>
      <c r="N28" s="2">
        <v>574</v>
      </c>
      <c r="O28" s="2">
        <v>95.67</v>
      </c>
      <c r="P28" s="8">
        <f>LARGE(E28:M28,1)</f>
        <v>98</v>
      </c>
      <c r="Q28" s="8">
        <f>LARGE(E28:M28,2)</f>
        <v>98</v>
      </c>
      <c r="R28" s="8">
        <f>LARGE(E28:M28,3)</f>
        <v>97</v>
      </c>
      <c r="S28" s="8">
        <f>LARGE(E28:M28,4)</f>
        <v>96</v>
      </c>
      <c r="T28" s="8">
        <f>LARGE(E28:M28,5)</f>
        <v>94</v>
      </c>
      <c r="U28" s="11">
        <f>SUM(LARGE(E28:M28, 1), LARGE(E28:M28, 2), LARGE(E28:M28, 3), LARGE(E28:M28, 4), LARGE(E28:M28, 5))</f>
        <v>483</v>
      </c>
      <c r="V28" s="11">
        <f>U28/5</f>
        <v>96.6</v>
      </c>
    </row>
    <row r="29" spans="1:22">
      <c r="A29" s="2">
        <v>27</v>
      </c>
      <c r="B29" s="2" t="s">
        <v>80</v>
      </c>
      <c r="C29" s="13" t="s">
        <v>531</v>
      </c>
      <c r="D29" s="2" t="s">
        <v>17</v>
      </c>
      <c r="E29" s="2">
        <v>98</v>
      </c>
      <c r="F29" s="2"/>
      <c r="G29" s="2"/>
      <c r="H29" s="2">
        <v>99</v>
      </c>
      <c r="I29" s="2">
        <v>85</v>
      </c>
      <c r="J29" s="2">
        <v>90</v>
      </c>
      <c r="K29" s="2">
        <v>95</v>
      </c>
      <c r="L29" s="2"/>
      <c r="M29" s="2">
        <v>100</v>
      </c>
      <c r="N29" s="2">
        <v>567</v>
      </c>
      <c r="O29" s="2">
        <v>94.5</v>
      </c>
      <c r="P29" s="8">
        <f>LARGE(E29:M29,1)</f>
        <v>100</v>
      </c>
      <c r="Q29" s="8">
        <f>LARGE(E29:M29,2)</f>
        <v>99</v>
      </c>
      <c r="R29" s="8">
        <f>LARGE(E29:M29,3)</f>
        <v>98</v>
      </c>
      <c r="S29" s="8">
        <f>LARGE(E29:M29,4)</f>
        <v>95</v>
      </c>
      <c r="T29" s="8">
        <f>LARGE(E29:M29,5)</f>
        <v>90</v>
      </c>
      <c r="U29" s="11">
        <f>SUM(LARGE(E29:M29, 1), LARGE(E29:M29, 2), LARGE(E29:M29, 3), LARGE(E29:M29, 4), LARGE(E29:M29, 5))</f>
        <v>482</v>
      </c>
      <c r="V29" s="11">
        <f>U29/5</f>
        <v>96.4</v>
      </c>
    </row>
    <row r="30" spans="1:22">
      <c r="A30" s="2">
        <v>28</v>
      </c>
      <c r="B30" s="2" t="s">
        <v>417</v>
      </c>
      <c r="C30" s="12" t="s">
        <v>699</v>
      </c>
      <c r="D30" s="2" t="s">
        <v>17</v>
      </c>
      <c r="E30" s="2">
        <v>94</v>
      </c>
      <c r="F30" s="2"/>
      <c r="G30" s="2">
        <v>98</v>
      </c>
      <c r="H30" s="2"/>
      <c r="I30" s="2">
        <v>90</v>
      </c>
      <c r="J30" s="2">
        <v>97</v>
      </c>
      <c r="K30" s="2">
        <v>93</v>
      </c>
      <c r="L30" s="2"/>
      <c r="M30" s="2">
        <v>100</v>
      </c>
      <c r="N30" s="2">
        <v>572</v>
      </c>
      <c r="O30" s="2">
        <v>95.33</v>
      </c>
      <c r="P30" s="8">
        <f>LARGE(E30:M30,1)</f>
        <v>100</v>
      </c>
      <c r="Q30" s="8">
        <f>LARGE(E30:M30,2)</f>
        <v>98</v>
      </c>
      <c r="R30" s="8">
        <f>LARGE(E30:M30,3)</f>
        <v>97</v>
      </c>
      <c r="S30" s="8">
        <f>LARGE(E30:M30,4)</f>
        <v>94</v>
      </c>
      <c r="T30" s="8">
        <f>LARGE(E30:M30,5)</f>
        <v>93</v>
      </c>
      <c r="U30" s="11">
        <f>SUM(LARGE(E30:M30, 1), LARGE(E30:M30, 2), LARGE(E30:M30, 3), LARGE(E30:M30, 4), LARGE(E30:M30, 5))</f>
        <v>482</v>
      </c>
      <c r="V30" s="11">
        <f>U30/5</f>
        <v>96.4</v>
      </c>
    </row>
    <row r="31" spans="1:22">
      <c r="A31" s="2">
        <v>29</v>
      </c>
      <c r="B31" s="2" t="s">
        <v>68</v>
      </c>
      <c r="C31" s="13" t="s">
        <v>525</v>
      </c>
      <c r="D31" s="2" t="s">
        <v>17</v>
      </c>
      <c r="E31" s="2">
        <v>95</v>
      </c>
      <c r="F31" s="2">
        <v>93</v>
      </c>
      <c r="G31" s="2"/>
      <c r="H31" s="2"/>
      <c r="I31" s="2">
        <v>95</v>
      </c>
      <c r="J31" s="2">
        <v>97</v>
      </c>
      <c r="K31" s="2">
        <v>96</v>
      </c>
      <c r="L31" s="2"/>
      <c r="M31" s="2">
        <v>98</v>
      </c>
      <c r="N31" s="2">
        <v>574</v>
      </c>
      <c r="O31" s="2">
        <v>95.67</v>
      </c>
      <c r="P31" s="8">
        <f>LARGE(E31:M31,1)</f>
        <v>98</v>
      </c>
      <c r="Q31" s="8">
        <f>LARGE(E31:M31,2)</f>
        <v>97</v>
      </c>
      <c r="R31" s="8">
        <f>LARGE(E31:M31,3)</f>
        <v>96</v>
      </c>
      <c r="S31" s="8">
        <f>LARGE(E31:M31,4)</f>
        <v>95</v>
      </c>
      <c r="T31" s="8">
        <f>LARGE(E31:M31,5)</f>
        <v>95</v>
      </c>
      <c r="U31" s="11">
        <f>SUM(LARGE(E31:M31, 1), LARGE(E31:M31, 2), LARGE(E31:M31, 3), LARGE(E31:M31, 4), LARGE(E31:M31, 5))</f>
        <v>481</v>
      </c>
      <c r="V31" s="11">
        <f>U31/5</f>
        <v>96.2</v>
      </c>
    </row>
    <row r="32" spans="1:22">
      <c r="A32" s="2">
        <v>30</v>
      </c>
      <c r="B32" s="2" t="s">
        <v>102</v>
      </c>
      <c r="C32" s="13" t="s">
        <v>542</v>
      </c>
      <c r="D32" s="2" t="s">
        <v>17</v>
      </c>
      <c r="E32" s="2">
        <v>95</v>
      </c>
      <c r="F32" s="2"/>
      <c r="G32" s="2">
        <v>100</v>
      </c>
      <c r="H32" s="2"/>
      <c r="I32" s="2">
        <v>89</v>
      </c>
      <c r="J32" s="2">
        <v>92</v>
      </c>
      <c r="K32" s="2">
        <v>95</v>
      </c>
      <c r="L32" s="2"/>
      <c r="M32" s="2">
        <v>99</v>
      </c>
      <c r="N32" s="2">
        <v>570</v>
      </c>
      <c r="O32" s="2">
        <v>95</v>
      </c>
      <c r="P32" s="8">
        <f>LARGE(E32:M32,1)</f>
        <v>100</v>
      </c>
      <c r="Q32" s="8">
        <f>LARGE(E32:M32,2)</f>
        <v>99</v>
      </c>
      <c r="R32" s="8">
        <f>LARGE(E32:M32,3)</f>
        <v>95</v>
      </c>
      <c r="S32" s="8">
        <f>LARGE(E32:M32,4)</f>
        <v>95</v>
      </c>
      <c r="T32" s="8">
        <f>LARGE(E32:M32,5)</f>
        <v>92</v>
      </c>
      <c r="U32" s="11">
        <f>SUM(LARGE(E32:M32, 1), LARGE(E32:M32, 2), LARGE(E32:M32, 3), LARGE(E32:M32, 4), LARGE(E32:M32, 5))</f>
        <v>481</v>
      </c>
      <c r="V32" s="11">
        <f>U32/5</f>
        <v>96.2</v>
      </c>
    </row>
    <row r="33" spans="1:22">
      <c r="A33" s="2">
        <v>31</v>
      </c>
      <c r="B33" s="2" t="s">
        <v>20</v>
      </c>
      <c r="C33" s="12" t="s">
        <v>503</v>
      </c>
      <c r="D33" s="2" t="s">
        <v>22</v>
      </c>
      <c r="E33" s="2">
        <v>95</v>
      </c>
      <c r="F33" s="2">
        <v>93</v>
      </c>
      <c r="G33" s="2"/>
      <c r="H33" s="2"/>
      <c r="I33" s="2">
        <v>99</v>
      </c>
      <c r="J33" s="2">
        <v>88</v>
      </c>
      <c r="K33" s="2">
        <v>93</v>
      </c>
      <c r="L33" s="2"/>
      <c r="M33" s="2">
        <v>100</v>
      </c>
      <c r="N33" s="2">
        <v>568</v>
      </c>
      <c r="O33" s="2">
        <v>94.67</v>
      </c>
      <c r="P33" s="8">
        <f>LARGE(E33:M33,1)</f>
        <v>100</v>
      </c>
      <c r="Q33" s="8">
        <f>LARGE(E33:M33,2)</f>
        <v>99</v>
      </c>
      <c r="R33" s="8">
        <f>LARGE(E33:M33,3)</f>
        <v>95</v>
      </c>
      <c r="S33" s="8">
        <f>LARGE(E33:M33,4)</f>
        <v>93</v>
      </c>
      <c r="T33" s="8">
        <f>LARGE(E33:M33,5)</f>
        <v>93</v>
      </c>
      <c r="U33" s="11">
        <f>SUM(LARGE(E33:M33, 1), LARGE(E33:M33, 2), LARGE(E33:M33, 3), LARGE(E33:M33, 4), LARGE(E33:M33, 5))</f>
        <v>480</v>
      </c>
      <c r="V33" s="11">
        <f>U33/5</f>
        <v>96</v>
      </c>
    </row>
    <row r="34" spans="1:22">
      <c r="A34" s="2">
        <v>32</v>
      </c>
      <c r="B34" s="2" t="s">
        <v>134</v>
      </c>
      <c r="C34" s="13" t="s">
        <v>558</v>
      </c>
      <c r="D34" s="2" t="s">
        <v>22</v>
      </c>
      <c r="E34" s="2">
        <v>96</v>
      </c>
      <c r="F34" s="2">
        <v>88</v>
      </c>
      <c r="G34" s="2"/>
      <c r="H34" s="2"/>
      <c r="I34" s="2">
        <v>90</v>
      </c>
      <c r="J34" s="2">
        <v>96</v>
      </c>
      <c r="K34" s="2">
        <v>99</v>
      </c>
      <c r="L34" s="2"/>
      <c r="M34" s="2">
        <v>99</v>
      </c>
      <c r="N34" s="2">
        <v>568</v>
      </c>
      <c r="O34" s="2">
        <v>94.67</v>
      </c>
      <c r="P34" s="8">
        <f>LARGE(E34:M34,1)</f>
        <v>99</v>
      </c>
      <c r="Q34" s="8">
        <f>LARGE(E34:M34,2)</f>
        <v>99</v>
      </c>
      <c r="R34" s="8">
        <f>LARGE(E34:M34,3)</f>
        <v>96</v>
      </c>
      <c r="S34" s="8">
        <f>LARGE(E34:M34,4)</f>
        <v>96</v>
      </c>
      <c r="T34" s="8">
        <f>LARGE(E34:M34,5)</f>
        <v>90</v>
      </c>
      <c r="U34" s="11">
        <f>SUM(LARGE(E34:M34, 1), LARGE(E34:M34, 2), LARGE(E34:M34, 3), LARGE(E34:M34, 4), LARGE(E34:M34, 5))</f>
        <v>480</v>
      </c>
      <c r="V34" s="11">
        <f>U34/5</f>
        <v>96</v>
      </c>
    </row>
    <row r="35" spans="1:22">
      <c r="A35" s="2">
        <v>33</v>
      </c>
      <c r="B35" s="2" t="s">
        <v>209</v>
      </c>
      <c r="C35" s="12" t="s">
        <v>595</v>
      </c>
      <c r="D35" s="2" t="s">
        <v>17</v>
      </c>
      <c r="E35" s="2">
        <v>91</v>
      </c>
      <c r="F35" s="2"/>
      <c r="G35" s="2">
        <v>99</v>
      </c>
      <c r="H35" s="2"/>
      <c r="I35" s="2">
        <v>90</v>
      </c>
      <c r="J35" s="2">
        <v>97</v>
      </c>
      <c r="K35" s="2">
        <v>93</v>
      </c>
      <c r="L35" s="2"/>
      <c r="M35" s="2">
        <v>100</v>
      </c>
      <c r="N35" s="2">
        <v>570</v>
      </c>
      <c r="O35" s="2">
        <v>95</v>
      </c>
      <c r="P35" s="8">
        <f>LARGE(E35:M35,1)</f>
        <v>100</v>
      </c>
      <c r="Q35" s="8">
        <f>LARGE(E35:M35,2)</f>
        <v>99</v>
      </c>
      <c r="R35" s="8">
        <f>LARGE(E35:M35,3)</f>
        <v>97</v>
      </c>
      <c r="S35" s="8">
        <f>LARGE(E35:M35,4)</f>
        <v>93</v>
      </c>
      <c r="T35" s="8">
        <f>LARGE(E35:M35,5)</f>
        <v>91</v>
      </c>
      <c r="U35" s="11">
        <f>SUM(LARGE(E35:M35, 1), LARGE(E35:M35, 2), LARGE(E35:M35, 3), LARGE(E35:M35, 4), LARGE(E35:M35, 5))</f>
        <v>480</v>
      </c>
      <c r="V35" s="11">
        <f>U35/5</f>
        <v>96</v>
      </c>
    </row>
    <row r="36" spans="1:22">
      <c r="A36" s="2">
        <v>34</v>
      </c>
      <c r="B36" s="2" t="s">
        <v>227</v>
      </c>
      <c r="C36" s="12" t="s">
        <v>604</v>
      </c>
      <c r="D36" s="2" t="s">
        <v>17</v>
      </c>
      <c r="E36" s="2">
        <v>94</v>
      </c>
      <c r="F36" s="2"/>
      <c r="G36" s="2">
        <v>97</v>
      </c>
      <c r="H36" s="2"/>
      <c r="I36" s="2">
        <v>88</v>
      </c>
      <c r="J36" s="2">
        <v>96</v>
      </c>
      <c r="K36" s="2">
        <v>94</v>
      </c>
      <c r="L36" s="2"/>
      <c r="M36" s="2">
        <v>99</v>
      </c>
      <c r="N36" s="2">
        <v>568</v>
      </c>
      <c r="O36" s="2">
        <v>94.67</v>
      </c>
      <c r="P36" s="8">
        <f>LARGE(E36:M36,1)</f>
        <v>99</v>
      </c>
      <c r="Q36" s="8">
        <f>LARGE(E36:M36,2)</f>
        <v>97</v>
      </c>
      <c r="R36" s="8">
        <f>LARGE(E36:M36,3)</f>
        <v>96</v>
      </c>
      <c r="S36" s="8">
        <f>LARGE(E36:M36,4)</f>
        <v>94</v>
      </c>
      <c r="T36" s="8">
        <f>LARGE(E36:M36,5)</f>
        <v>94</v>
      </c>
      <c r="U36" s="11">
        <f>SUM(LARGE(E36:M36, 1), LARGE(E36:M36, 2), LARGE(E36:M36, 3), LARGE(E36:M36, 4), LARGE(E36:M36, 5))</f>
        <v>480</v>
      </c>
      <c r="V36" s="11">
        <f>U36/5</f>
        <v>96</v>
      </c>
    </row>
    <row r="37" spans="1:22">
      <c r="A37" s="2">
        <v>35</v>
      </c>
      <c r="B37" s="2" t="s">
        <v>259</v>
      </c>
      <c r="C37" s="13" t="s">
        <v>620</v>
      </c>
      <c r="D37" s="2" t="s">
        <v>22</v>
      </c>
      <c r="E37" s="2">
        <v>98</v>
      </c>
      <c r="F37" s="2">
        <v>88</v>
      </c>
      <c r="G37" s="2"/>
      <c r="H37" s="2"/>
      <c r="I37" s="2">
        <v>95</v>
      </c>
      <c r="J37" s="2">
        <v>92</v>
      </c>
      <c r="K37" s="2">
        <v>95</v>
      </c>
      <c r="L37" s="2"/>
      <c r="M37" s="2">
        <v>100</v>
      </c>
      <c r="N37" s="2">
        <v>568</v>
      </c>
      <c r="O37" s="2">
        <v>94.67</v>
      </c>
      <c r="P37" s="8">
        <f>LARGE(E37:M37,1)</f>
        <v>100</v>
      </c>
      <c r="Q37" s="8">
        <f>LARGE(E37:M37,2)</f>
        <v>98</v>
      </c>
      <c r="R37" s="8">
        <f>LARGE(E37:M37,3)</f>
        <v>95</v>
      </c>
      <c r="S37" s="8">
        <f>LARGE(E37:M37,4)</f>
        <v>95</v>
      </c>
      <c r="T37" s="8">
        <f>LARGE(E37:M37,5)</f>
        <v>92</v>
      </c>
      <c r="U37" s="11">
        <f>SUM(LARGE(E37:M37, 1), LARGE(E37:M37, 2), LARGE(E37:M37, 3), LARGE(E37:M37, 4), LARGE(E37:M37, 5))</f>
        <v>480</v>
      </c>
      <c r="V37" s="11">
        <f>U37/5</f>
        <v>96</v>
      </c>
    </row>
    <row r="38" spans="1:22">
      <c r="A38" s="2">
        <v>36</v>
      </c>
      <c r="B38" s="2" t="s">
        <v>305</v>
      </c>
      <c r="C38" s="13" t="s">
        <v>643</v>
      </c>
      <c r="D38" s="2" t="s">
        <v>22</v>
      </c>
      <c r="E38" s="2">
        <v>96</v>
      </c>
      <c r="F38" s="2">
        <v>93</v>
      </c>
      <c r="G38" s="2"/>
      <c r="H38" s="2"/>
      <c r="I38" s="2">
        <v>95</v>
      </c>
      <c r="J38" s="2">
        <v>98</v>
      </c>
      <c r="K38" s="2">
        <v>94</v>
      </c>
      <c r="L38" s="2"/>
      <c r="M38" s="2">
        <v>97</v>
      </c>
      <c r="N38" s="2">
        <v>573</v>
      </c>
      <c r="O38" s="2">
        <v>95.5</v>
      </c>
      <c r="P38" s="8">
        <f>LARGE(E38:M38,1)</f>
        <v>98</v>
      </c>
      <c r="Q38" s="8">
        <f>LARGE(E38:M38,2)</f>
        <v>97</v>
      </c>
      <c r="R38" s="8">
        <f>LARGE(E38:M38,3)</f>
        <v>96</v>
      </c>
      <c r="S38" s="8">
        <f>LARGE(E38:M38,4)</f>
        <v>95</v>
      </c>
      <c r="T38" s="8">
        <f>LARGE(E38:M38,5)</f>
        <v>94</v>
      </c>
      <c r="U38" s="11">
        <f>SUM(LARGE(E38:M38, 1), LARGE(E38:M38, 2), LARGE(E38:M38, 3), LARGE(E38:M38, 4), LARGE(E38:M38, 5))</f>
        <v>480</v>
      </c>
      <c r="V38" s="11">
        <f>U38/5</f>
        <v>96</v>
      </c>
    </row>
    <row r="39" spans="1:22">
      <c r="A39" s="2">
        <v>37</v>
      </c>
      <c r="B39" s="2" t="s">
        <v>128</v>
      </c>
      <c r="C39" s="12" t="s">
        <v>555</v>
      </c>
      <c r="D39" s="2" t="s">
        <v>22</v>
      </c>
      <c r="E39" s="2">
        <v>98</v>
      </c>
      <c r="F39" s="2"/>
      <c r="G39" s="2">
        <v>99</v>
      </c>
      <c r="H39" s="2"/>
      <c r="I39" s="2"/>
      <c r="J39" s="2">
        <v>79</v>
      </c>
      <c r="K39" s="2">
        <v>96</v>
      </c>
      <c r="L39" s="2">
        <v>88</v>
      </c>
      <c r="M39" s="2">
        <v>98</v>
      </c>
      <c r="N39" s="2">
        <v>558</v>
      </c>
      <c r="O39" s="2">
        <v>93</v>
      </c>
      <c r="P39" s="8">
        <f>LARGE(E39:M39,1)</f>
        <v>99</v>
      </c>
      <c r="Q39" s="8">
        <f>LARGE(E39:M39,2)</f>
        <v>98</v>
      </c>
      <c r="R39" s="8">
        <f>LARGE(E39:M39,3)</f>
        <v>98</v>
      </c>
      <c r="S39" s="8">
        <f>LARGE(E39:M39,4)</f>
        <v>96</v>
      </c>
      <c r="T39" s="8">
        <f>LARGE(E39:M39,5)</f>
        <v>88</v>
      </c>
      <c r="U39" s="11">
        <f>SUM(LARGE(E39:M39, 1), LARGE(E39:M39, 2), LARGE(E39:M39, 3), LARGE(E39:M39, 4), LARGE(E39:M39, 5))</f>
        <v>479</v>
      </c>
      <c r="V39" s="11">
        <f>U39/5</f>
        <v>95.8</v>
      </c>
    </row>
    <row r="40" spans="1:22">
      <c r="A40" s="2">
        <v>38</v>
      </c>
      <c r="B40" s="2" t="s">
        <v>193</v>
      </c>
      <c r="C40" s="12" t="s">
        <v>587</v>
      </c>
      <c r="D40" s="2" t="s">
        <v>17</v>
      </c>
      <c r="E40" s="2">
        <v>97</v>
      </c>
      <c r="F40" s="2"/>
      <c r="G40" s="2">
        <v>98</v>
      </c>
      <c r="H40" s="2"/>
      <c r="I40" s="2">
        <v>75</v>
      </c>
      <c r="J40" s="2">
        <v>88</v>
      </c>
      <c r="K40" s="2">
        <v>98</v>
      </c>
      <c r="L40" s="2"/>
      <c r="M40" s="2">
        <v>98</v>
      </c>
      <c r="N40" s="2">
        <v>554</v>
      </c>
      <c r="O40" s="2">
        <v>92.33</v>
      </c>
      <c r="P40" s="8">
        <f>LARGE(E40:M40,1)</f>
        <v>98</v>
      </c>
      <c r="Q40" s="8">
        <f>LARGE(E40:M40,2)</f>
        <v>98</v>
      </c>
      <c r="R40" s="8">
        <f>LARGE(E40:M40,3)</f>
        <v>98</v>
      </c>
      <c r="S40" s="8">
        <f>LARGE(E40:M40,4)</f>
        <v>97</v>
      </c>
      <c r="T40" s="8">
        <f>LARGE(E40:M40,5)</f>
        <v>88</v>
      </c>
      <c r="U40" s="11">
        <f>SUM(LARGE(E40:M40, 1), LARGE(E40:M40, 2), LARGE(E40:M40, 3), LARGE(E40:M40, 4), LARGE(E40:M40, 5))</f>
        <v>479</v>
      </c>
      <c r="V40" s="11">
        <f>U40/5</f>
        <v>95.8</v>
      </c>
    </row>
    <row r="41" spans="1:22">
      <c r="A41" s="2">
        <v>39</v>
      </c>
      <c r="B41" s="2" t="s">
        <v>26</v>
      </c>
      <c r="C41" s="12" t="s">
        <v>504</v>
      </c>
      <c r="D41" s="2" t="s">
        <v>22</v>
      </c>
      <c r="E41" s="2">
        <v>91</v>
      </c>
      <c r="F41" s="2"/>
      <c r="G41" s="2">
        <v>96</v>
      </c>
      <c r="H41" s="2"/>
      <c r="I41" s="2"/>
      <c r="J41" s="2">
        <v>84</v>
      </c>
      <c r="K41" s="2">
        <v>98</v>
      </c>
      <c r="L41" s="2">
        <v>95</v>
      </c>
      <c r="M41" s="2">
        <v>98</v>
      </c>
      <c r="N41" s="2">
        <v>562</v>
      </c>
      <c r="O41" s="2">
        <v>93.67</v>
      </c>
      <c r="P41" s="8">
        <f>LARGE(E41:M41,1)</f>
        <v>98</v>
      </c>
      <c r="Q41" s="8">
        <f>LARGE(E41:M41,2)</f>
        <v>98</v>
      </c>
      <c r="R41" s="8">
        <f>LARGE(E41:M41,3)</f>
        <v>96</v>
      </c>
      <c r="S41" s="8">
        <f>LARGE(E41:M41,4)</f>
        <v>95</v>
      </c>
      <c r="T41" s="8">
        <f>LARGE(E41:M41,5)</f>
        <v>91</v>
      </c>
      <c r="U41" s="11">
        <f>SUM(LARGE(E41:M41, 1), LARGE(E41:M41, 2), LARGE(E41:M41, 3), LARGE(E41:M41, 4), LARGE(E41:M41, 5))</f>
        <v>478</v>
      </c>
      <c r="V41" s="11">
        <f>U41/5</f>
        <v>95.6</v>
      </c>
    </row>
    <row r="42" spans="1:22">
      <c r="A42" s="2">
        <v>40</v>
      </c>
      <c r="B42" s="2" t="s">
        <v>150</v>
      </c>
      <c r="C42" s="12" t="s">
        <v>566</v>
      </c>
      <c r="D42" s="2" t="s">
        <v>22</v>
      </c>
      <c r="E42" s="2">
        <v>92</v>
      </c>
      <c r="F42" s="2"/>
      <c r="G42" s="2">
        <v>94</v>
      </c>
      <c r="H42" s="2"/>
      <c r="I42" s="2">
        <v>85</v>
      </c>
      <c r="J42" s="2">
        <v>94</v>
      </c>
      <c r="K42" s="2">
        <v>98</v>
      </c>
      <c r="L42" s="2"/>
      <c r="M42" s="2">
        <v>100</v>
      </c>
      <c r="N42" s="2">
        <v>563</v>
      </c>
      <c r="O42" s="2">
        <v>93.83</v>
      </c>
      <c r="P42" s="8">
        <f>LARGE(E42:M42,1)</f>
        <v>100</v>
      </c>
      <c r="Q42" s="8">
        <f>LARGE(E42:M42,2)</f>
        <v>98</v>
      </c>
      <c r="R42" s="8">
        <f>LARGE(E42:M42,3)</f>
        <v>94</v>
      </c>
      <c r="S42" s="8">
        <f>LARGE(E42:M42,4)</f>
        <v>94</v>
      </c>
      <c r="T42" s="8">
        <f>LARGE(E42:M42,5)</f>
        <v>92</v>
      </c>
      <c r="U42" s="11">
        <f>SUM(LARGE(E42:M42, 1), LARGE(E42:M42, 2), LARGE(E42:M42, 3), LARGE(E42:M42, 4), LARGE(E42:M42, 5))</f>
        <v>478</v>
      </c>
      <c r="V42" s="11">
        <f>U42/5</f>
        <v>95.6</v>
      </c>
    </row>
    <row r="43" spans="1:22">
      <c r="A43" s="2">
        <v>41</v>
      </c>
      <c r="B43" s="2" t="s">
        <v>231</v>
      </c>
      <c r="C43" s="12" t="s">
        <v>606</v>
      </c>
      <c r="D43" s="2" t="s">
        <v>17</v>
      </c>
      <c r="E43" s="2">
        <v>94</v>
      </c>
      <c r="F43" s="2"/>
      <c r="G43" s="2">
        <v>98</v>
      </c>
      <c r="H43" s="2"/>
      <c r="I43" s="2">
        <v>91</v>
      </c>
      <c r="J43" s="2">
        <v>96</v>
      </c>
      <c r="K43" s="2">
        <v>92</v>
      </c>
      <c r="L43" s="2"/>
      <c r="M43" s="2">
        <v>98</v>
      </c>
      <c r="N43" s="2">
        <v>569</v>
      </c>
      <c r="O43" s="2">
        <v>94.83</v>
      </c>
      <c r="P43" s="8">
        <f>LARGE(E43:M43,1)</f>
        <v>98</v>
      </c>
      <c r="Q43" s="8">
        <f>LARGE(E43:M43,2)</f>
        <v>98</v>
      </c>
      <c r="R43" s="8">
        <f>LARGE(E43:M43,3)</f>
        <v>96</v>
      </c>
      <c r="S43" s="8">
        <f>LARGE(E43:M43,4)</f>
        <v>94</v>
      </c>
      <c r="T43" s="8">
        <f>LARGE(E43:M43,5)</f>
        <v>92</v>
      </c>
      <c r="U43" s="11">
        <f>SUM(LARGE(E43:M43, 1), LARGE(E43:M43, 2), LARGE(E43:M43, 3), LARGE(E43:M43, 4), LARGE(E43:M43, 5))</f>
        <v>478</v>
      </c>
      <c r="V43" s="11">
        <f>U43/5</f>
        <v>95.6</v>
      </c>
    </row>
    <row r="44" spans="1:22">
      <c r="A44" s="2">
        <v>42</v>
      </c>
      <c r="B44" s="2" t="s">
        <v>285</v>
      </c>
      <c r="C44" s="13" t="s">
        <v>633</v>
      </c>
      <c r="D44" s="2" t="s">
        <v>17</v>
      </c>
      <c r="E44" s="2">
        <v>88</v>
      </c>
      <c r="F44" s="2"/>
      <c r="G44" s="2"/>
      <c r="H44" s="2">
        <v>95</v>
      </c>
      <c r="I44" s="2">
        <v>84</v>
      </c>
      <c r="J44" s="2">
        <v>98</v>
      </c>
      <c r="K44" s="2">
        <v>97</v>
      </c>
      <c r="L44" s="2"/>
      <c r="M44" s="2">
        <v>100</v>
      </c>
      <c r="N44" s="2">
        <v>562</v>
      </c>
      <c r="O44" s="2">
        <v>93.67</v>
      </c>
      <c r="P44" s="8">
        <f>LARGE(E44:M44,1)</f>
        <v>100</v>
      </c>
      <c r="Q44" s="8">
        <f>LARGE(E44:M44,2)</f>
        <v>98</v>
      </c>
      <c r="R44" s="8">
        <f>LARGE(E44:M44,3)</f>
        <v>97</v>
      </c>
      <c r="S44" s="8">
        <f>LARGE(E44:M44,4)</f>
        <v>95</v>
      </c>
      <c r="T44" s="8">
        <f>LARGE(E44:M44,5)</f>
        <v>88</v>
      </c>
      <c r="U44" s="11">
        <f>SUM(LARGE(E44:M44, 1), LARGE(E44:M44, 2), LARGE(E44:M44, 3), LARGE(E44:M44, 4), LARGE(E44:M44, 5))</f>
        <v>478</v>
      </c>
      <c r="V44" s="11">
        <f>U44/5</f>
        <v>95.6</v>
      </c>
    </row>
    <row r="45" spans="1:22">
      <c r="A45" s="2">
        <v>43</v>
      </c>
      <c r="B45" s="2" t="s">
        <v>124</v>
      </c>
      <c r="C45" s="13" t="s">
        <v>553</v>
      </c>
      <c r="D45" s="2" t="s">
        <v>22</v>
      </c>
      <c r="E45" s="2">
        <v>92</v>
      </c>
      <c r="F45" s="2"/>
      <c r="G45" s="2">
        <v>98</v>
      </c>
      <c r="H45" s="2"/>
      <c r="I45" s="2">
        <v>95</v>
      </c>
      <c r="J45" s="2">
        <v>88</v>
      </c>
      <c r="K45" s="2">
        <v>94</v>
      </c>
      <c r="L45" s="2"/>
      <c r="M45" s="2">
        <v>98</v>
      </c>
      <c r="N45" s="2">
        <v>565</v>
      </c>
      <c r="O45" s="2">
        <v>94.17</v>
      </c>
      <c r="P45" s="8">
        <f>LARGE(E45:M45,1)</f>
        <v>98</v>
      </c>
      <c r="Q45" s="8">
        <f>LARGE(E45:M45,2)</f>
        <v>98</v>
      </c>
      <c r="R45" s="8">
        <f>LARGE(E45:M45,3)</f>
        <v>95</v>
      </c>
      <c r="S45" s="8">
        <f>LARGE(E45:M45,4)</f>
        <v>94</v>
      </c>
      <c r="T45" s="8">
        <f>LARGE(E45:M45,5)</f>
        <v>92</v>
      </c>
      <c r="U45" s="11">
        <f>SUM(LARGE(E45:M45, 1), LARGE(E45:M45, 2), LARGE(E45:M45, 3), LARGE(E45:M45, 4), LARGE(E45:M45, 5))</f>
        <v>477</v>
      </c>
      <c r="V45" s="11">
        <f>U45/5</f>
        <v>95.4</v>
      </c>
    </row>
    <row r="46" spans="1:22">
      <c r="A46" s="2">
        <v>44</v>
      </c>
      <c r="B46" s="2" t="s">
        <v>337</v>
      </c>
      <c r="C46" s="12" t="s">
        <v>659</v>
      </c>
      <c r="D46" s="2" t="s">
        <v>17</v>
      </c>
      <c r="E46" s="2">
        <v>93</v>
      </c>
      <c r="F46" s="2">
        <v>95</v>
      </c>
      <c r="G46" s="2"/>
      <c r="H46" s="2"/>
      <c r="I46" s="2">
        <v>86</v>
      </c>
      <c r="J46" s="2">
        <v>96</v>
      </c>
      <c r="K46" s="2">
        <v>94</v>
      </c>
      <c r="L46" s="2"/>
      <c r="M46" s="2">
        <v>99</v>
      </c>
      <c r="N46" s="2">
        <v>563</v>
      </c>
      <c r="O46" s="2">
        <v>93.83</v>
      </c>
      <c r="P46" s="8">
        <f>LARGE(E46:M46,1)</f>
        <v>99</v>
      </c>
      <c r="Q46" s="8">
        <f>LARGE(E46:M46,2)</f>
        <v>96</v>
      </c>
      <c r="R46" s="8">
        <f>LARGE(E46:M46,3)</f>
        <v>95</v>
      </c>
      <c r="S46" s="8">
        <f>LARGE(E46:M46,4)</f>
        <v>94</v>
      </c>
      <c r="T46" s="8">
        <f>LARGE(E46:M46,5)</f>
        <v>93</v>
      </c>
      <c r="U46" s="11">
        <f>SUM(LARGE(E46:M46, 1), LARGE(E46:M46, 2), LARGE(E46:M46, 3), LARGE(E46:M46, 4), LARGE(E46:M46, 5))</f>
        <v>477</v>
      </c>
      <c r="V46" s="11">
        <f>U46/5</f>
        <v>95.4</v>
      </c>
    </row>
    <row r="47" spans="1:22">
      <c r="A47" s="2">
        <v>45</v>
      </c>
      <c r="B47" s="2" t="s">
        <v>395</v>
      </c>
      <c r="C47" s="12" t="s">
        <v>688</v>
      </c>
      <c r="D47" s="2" t="s">
        <v>17</v>
      </c>
      <c r="E47" s="2">
        <v>83</v>
      </c>
      <c r="F47" s="2"/>
      <c r="G47" s="2"/>
      <c r="H47" s="2">
        <v>93</v>
      </c>
      <c r="I47" s="2"/>
      <c r="J47" s="2">
        <v>92</v>
      </c>
      <c r="K47" s="2">
        <v>96</v>
      </c>
      <c r="L47" s="2">
        <v>97</v>
      </c>
      <c r="M47" s="2">
        <v>99</v>
      </c>
      <c r="N47" s="2">
        <v>560</v>
      </c>
      <c r="O47" s="2">
        <v>93.33</v>
      </c>
      <c r="P47" s="8">
        <f>LARGE(E47:M47,1)</f>
        <v>99</v>
      </c>
      <c r="Q47" s="8">
        <f>LARGE(E47:M47,2)</f>
        <v>97</v>
      </c>
      <c r="R47" s="8">
        <f>LARGE(E47:M47,3)</f>
        <v>96</v>
      </c>
      <c r="S47" s="8">
        <f>LARGE(E47:M47,4)</f>
        <v>93</v>
      </c>
      <c r="T47" s="8">
        <f>LARGE(E47:M47,5)</f>
        <v>92</v>
      </c>
      <c r="U47" s="11">
        <f>SUM(LARGE(E47:M47, 1), LARGE(E47:M47, 2), LARGE(E47:M47, 3), LARGE(E47:M47, 4), LARGE(E47:M47, 5))</f>
        <v>477</v>
      </c>
      <c r="V47" s="11">
        <f>U47/5</f>
        <v>95.4</v>
      </c>
    </row>
    <row r="48" spans="1:22">
      <c r="A48" s="2">
        <v>46</v>
      </c>
      <c r="B48" s="2" t="s">
        <v>491</v>
      </c>
      <c r="C48" s="13" t="s">
        <v>736</v>
      </c>
      <c r="D48" s="2" t="s">
        <v>22</v>
      </c>
      <c r="E48" s="2">
        <v>91</v>
      </c>
      <c r="F48" s="2">
        <v>90</v>
      </c>
      <c r="G48" s="2"/>
      <c r="H48" s="2"/>
      <c r="I48" s="2">
        <v>97</v>
      </c>
      <c r="J48" s="2">
        <v>97</v>
      </c>
      <c r="K48" s="2">
        <v>92</v>
      </c>
      <c r="L48" s="2"/>
      <c r="M48" s="2">
        <v>100</v>
      </c>
      <c r="N48" s="2">
        <v>567</v>
      </c>
      <c r="O48" s="2">
        <v>94.5</v>
      </c>
      <c r="P48" s="8">
        <f>LARGE(E48:M48,1)</f>
        <v>100</v>
      </c>
      <c r="Q48" s="8">
        <f>LARGE(E48:M48,2)</f>
        <v>97</v>
      </c>
      <c r="R48" s="8">
        <f>LARGE(E48:M48,3)</f>
        <v>97</v>
      </c>
      <c r="S48" s="8">
        <f>LARGE(E48:M48,4)</f>
        <v>92</v>
      </c>
      <c r="T48" s="8">
        <f>LARGE(E48:M48,5)</f>
        <v>91</v>
      </c>
      <c r="U48" s="11">
        <f>SUM(LARGE(E48:M48, 1), LARGE(E48:M48, 2), LARGE(E48:M48, 3), LARGE(E48:M48, 4), LARGE(E48:M48, 5))</f>
        <v>477</v>
      </c>
      <c r="V48" s="11">
        <f>U48/5</f>
        <v>95.4</v>
      </c>
    </row>
    <row r="49" spans="1:22">
      <c r="A49" s="2">
        <v>47</v>
      </c>
      <c r="B49" s="2" t="s">
        <v>66</v>
      </c>
      <c r="C49" s="13" t="s">
        <v>524</v>
      </c>
      <c r="D49" s="2" t="s">
        <v>22</v>
      </c>
      <c r="E49" s="2">
        <v>92</v>
      </c>
      <c r="F49" s="2"/>
      <c r="G49" s="2">
        <v>100</v>
      </c>
      <c r="H49" s="2"/>
      <c r="I49" s="2">
        <v>81</v>
      </c>
      <c r="J49" s="2">
        <v>91</v>
      </c>
      <c r="K49" s="2">
        <v>94</v>
      </c>
      <c r="L49" s="2"/>
      <c r="M49" s="2">
        <v>99</v>
      </c>
      <c r="N49" s="2">
        <v>557</v>
      </c>
      <c r="O49" s="2">
        <v>92.83</v>
      </c>
      <c r="P49" s="8">
        <f>LARGE(E49:M49,1)</f>
        <v>100</v>
      </c>
      <c r="Q49" s="8">
        <f>LARGE(E49:M49,2)</f>
        <v>99</v>
      </c>
      <c r="R49" s="8">
        <f>LARGE(E49:M49,3)</f>
        <v>94</v>
      </c>
      <c r="S49" s="8">
        <f>LARGE(E49:M49,4)</f>
        <v>92</v>
      </c>
      <c r="T49" s="8">
        <f>LARGE(E49:M49,5)</f>
        <v>91</v>
      </c>
      <c r="U49" s="11">
        <f>SUM(LARGE(E49:M49, 1), LARGE(E49:M49, 2), LARGE(E49:M49, 3), LARGE(E49:M49, 4), LARGE(E49:M49, 5))</f>
        <v>476</v>
      </c>
      <c r="V49" s="11">
        <f>U49/5</f>
        <v>95.2</v>
      </c>
    </row>
    <row r="50" spans="1:22">
      <c r="A50" s="2">
        <v>48</v>
      </c>
      <c r="B50" s="2" t="s">
        <v>327</v>
      </c>
      <c r="C50" s="13" t="s">
        <v>654</v>
      </c>
      <c r="D50" s="2" t="s">
        <v>22</v>
      </c>
      <c r="E50" s="2">
        <v>92</v>
      </c>
      <c r="F50" s="2"/>
      <c r="G50" s="2"/>
      <c r="H50" s="2">
        <v>95</v>
      </c>
      <c r="I50" s="2">
        <v>78</v>
      </c>
      <c r="J50" s="2">
        <v>94</v>
      </c>
      <c r="K50" s="2">
        <v>97</v>
      </c>
      <c r="L50" s="2"/>
      <c r="M50" s="2">
        <v>98</v>
      </c>
      <c r="N50" s="2">
        <v>554</v>
      </c>
      <c r="O50" s="2">
        <v>92.33</v>
      </c>
      <c r="P50" s="8">
        <f>LARGE(E50:M50,1)</f>
        <v>98</v>
      </c>
      <c r="Q50" s="8">
        <f>LARGE(E50:M50,2)</f>
        <v>97</v>
      </c>
      <c r="R50" s="8">
        <f>LARGE(E50:M50,3)</f>
        <v>95</v>
      </c>
      <c r="S50" s="8">
        <f>LARGE(E50:M50,4)</f>
        <v>94</v>
      </c>
      <c r="T50" s="8">
        <f>LARGE(E50:M50,5)</f>
        <v>92</v>
      </c>
      <c r="U50" s="11">
        <f>SUM(LARGE(E50:M50, 1), LARGE(E50:M50, 2), LARGE(E50:M50, 3), LARGE(E50:M50, 4), LARGE(E50:M50, 5))</f>
        <v>476</v>
      </c>
      <c r="V50" s="11">
        <f>U50/5</f>
        <v>95.2</v>
      </c>
    </row>
    <row r="51" spans="1:22">
      <c r="A51" s="2">
        <v>49</v>
      </c>
      <c r="B51" s="2" t="s">
        <v>407</v>
      </c>
      <c r="C51" s="12" t="s">
        <v>694</v>
      </c>
      <c r="D51" s="2" t="s">
        <v>22</v>
      </c>
      <c r="E51" s="2">
        <v>77</v>
      </c>
      <c r="F51" s="2"/>
      <c r="G51" s="2">
        <v>96</v>
      </c>
      <c r="H51" s="2"/>
      <c r="I51" s="2">
        <v>93</v>
      </c>
      <c r="J51" s="2">
        <v>98</v>
      </c>
      <c r="K51" s="2">
        <v>90</v>
      </c>
      <c r="L51" s="2"/>
      <c r="M51" s="2">
        <v>99</v>
      </c>
      <c r="N51" s="2">
        <v>553</v>
      </c>
      <c r="O51" s="2">
        <v>92.17</v>
      </c>
      <c r="P51" s="8">
        <f>LARGE(E51:M51,1)</f>
        <v>99</v>
      </c>
      <c r="Q51" s="8">
        <f>LARGE(E51:M51,2)</f>
        <v>98</v>
      </c>
      <c r="R51" s="8">
        <f>LARGE(E51:M51,3)</f>
        <v>96</v>
      </c>
      <c r="S51" s="8">
        <f>LARGE(E51:M51,4)</f>
        <v>93</v>
      </c>
      <c r="T51" s="8">
        <f>LARGE(E51:M51,5)</f>
        <v>90</v>
      </c>
      <c r="U51" s="11">
        <f>SUM(LARGE(E51:M51, 1), LARGE(E51:M51, 2), LARGE(E51:M51, 3), LARGE(E51:M51, 4), LARGE(E51:M51, 5))</f>
        <v>476</v>
      </c>
      <c r="V51" s="11">
        <f>U51/5</f>
        <v>95.2</v>
      </c>
    </row>
    <row r="52" spans="1:22">
      <c r="A52" s="2">
        <v>50</v>
      </c>
      <c r="B52" s="2" t="s">
        <v>211</v>
      </c>
      <c r="C52" s="12" t="s">
        <v>596</v>
      </c>
      <c r="D52" s="2" t="s">
        <v>22</v>
      </c>
      <c r="E52" s="2">
        <v>81</v>
      </c>
      <c r="F52" s="2">
        <v>90</v>
      </c>
      <c r="G52" s="2"/>
      <c r="H52" s="2"/>
      <c r="I52" s="2"/>
      <c r="J52" s="2">
        <v>96</v>
      </c>
      <c r="K52" s="2">
        <v>93</v>
      </c>
      <c r="L52" s="2">
        <v>96</v>
      </c>
      <c r="M52" s="2">
        <v>100</v>
      </c>
      <c r="N52" s="2">
        <v>556</v>
      </c>
      <c r="O52" s="2">
        <v>92.67</v>
      </c>
      <c r="P52" s="8">
        <f>LARGE(E52:M52,1)</f>
        <v>100</v>
      </c>
      <c r="Q52" s="8">
        <f>LARGE(E52:M52,2)</f>
        <v>96</v>
      </c>
      <c r="R52" s="8">
        <f>LARGE(E52:M52,3)</f>
        <v>96</v>
      </c>
      <c r="S52" s="8">
        <f>LARGE(E52:M52,4)</f>
        <v>93</v>
      </c>
      <c r="T52" s="8">
        <f>LARGE(E52:M52,5)</f>
        <v>90</v>
      </c>
      <c r="U52" s="11">
        <f>SUM(LARGE(E52:M52, 1), LARGE(E52:M52, 2), LARGE(E52:M52, 3), LARGE(E52:M52, 4), LARGE(E52:M52, 5))</f>
        <v>475</v>
      </c>
      <c r="V52" s="11">
        <f>U52/5</f>
        <v>95</v>
      </c>
    </row>
    <row r="53" spans="1:22">
      <c r="A53" s="2">
        <v>51</v>
      </c>
      <c r="B53" s="2" t="s">
        <v>239</v>
      </c>
      <c r="C53" s="12" t="s">
        <v>610</v>
      </c>
      <c r="D53" s="2" t="s">
        <v>22</v>
      </c>
      <c r="E53" s="2">
        <v>95</v>
      </c>
      <c r="F53" s="2"/>
      <c r="G53" s="2">
        <v>98</v>
      </c>
      <c r="H53" s="2"/>
      <c r="I53" s="2">
        <v>90</v>
      </c>
      <c r="J53" s="2">
        <v>94</v>
      </c>
      <c r="K53" s="2">
        <v>81</v>
      </c>
      <c r="L53" s="2"/>
      <c r="M53" s="2">
        <v>98</v>
      </c>
      <c r="N53" s="2">
        <v>556</v>
      </c>
      <c r="O53" s="2">
        <v>92.67</v>
      </c>
      <c r="P53" s="8">
        <f>LARGE(E53:M53,1)</f>
        <v>98</v>
      </c>
      <c r="Q53" s="8">
        <f>LARGE(E53:M53,2)</f>
        <v>98</v>
      </c>
      <c r="R53" s="8">
        <f>LARGE(E53:M53,3)</f>
        <v>95</v>
      </c>
      <c r="S53" s="8">
        <f>LARGE(E53:M53,4)</f>
        <v>94</v>
      </c>
      <c r="T53" s="8">
        <f>LARGE(E53:M53,5)</f>
        <v>90</v>
      </c>
      <c r="U53" s="11">
        <f>SUM(LARGE(E53:M53, 1), LARGE(E53:M53, 2), LARGE(E53:M53, 3), LARGE(E53:M53, 4), LARGE(E53:M53, 5))</f>
        <v>475</v>
      </c>
      <c r="V53" s="11">
        <f>U53/5</f>
        <v>95</v>
      </c>
    </row>
    <row r="54" spans="1:22">
      <c r="A54" s="2">
        <v>52</v>
      </c>
      <c r="B54" s="2" t="s">
        <v>277</v>
      </c>
      <c r="C54" s="12" t="s">
        <v>629</v>
      </c>
      <c r="D54" s="2" t="s">
        <v>22</v>
      </c>
      <c r="E54" s="2">
        <v>98</v>
      </c>
      <c r="F54" s="2"/>
      <c r="G54" s="2"/>
      <c r="H54" s="2">
        <v>96</v>
      </c>
      <c r="I54" s="2">
        <v>79</v>
      </c>
      <c r="J54" s="2">
        <v>86</v>
      </c>
      <c r="K54" s="2">
        <v>96</v>
      </c>
      <c r="L54" s="2"/>
      <c r="M54" s="2">
        <v>99</v>
      </c>
      <c r="N54" s="2">
        <v>554</v>
      </c>
      <c r="O54" s="2">
        <v>92.33</v>
      </c>
      <c r="P54" s="8">
        <f>LARGE(E54:M54,1)</f>
        <v>99</v>
      </c>
      <c r="Q54" s="8">
        <f>LARGE(E54:M54,2)</f>
        <v>98</v>
      </c>
      <c r="R54" s="8">
        <f>LARGE(E54:M54,3)</f>
        <v>96</v>
      </c>
      <c r="S54" s="8">
        <f>LARGE(E54:M54,4)</f>
        <v>96</v>
      </c>
      <c r="T54" s="8">
        <f>LARGE(E54:M54,5)</f>
        <v>86</v>
      </c>
      <c r="U54" s="11">
        <f>SUM(LARGE(E54:M54, 1), LARGE(E54:M54, 2), LARGE(E54:M54, 3), LARGE(E54:M54, 4), LARGE(E54:M54, 5))</f>
        <v>475</v>
      </c>
      <c r="V54" s="11">
        <f>U54/5</f>
        <v>95</v>
      </c>
    </row>
    <row r="55" spans="1:22">
      <c r="A55" s="2">
        <v>53</v>
      </c>
      <c r="B55" s="2" t="s">
        <v>38</v>
      </c>
      <c r="C55" s="12" t="s">
        <v>510</v>
      </c>
      <c r="D55" s="2" t="s">
        <v>17</v>
      </c>
      <c r="E55" s="2">
        <v>95</v>
      </c>
      <c r="F55" s="2"/>
      <c r="G55" s="2">
        <v>91</v>
      </c>
      <c r="H55" s="2"/>
      <c r="I55" s="2"/>
      <c r="J55" s="2">
        <v>87</v>
      </c>
      <c r="K55" s="2">
        <v>99</v>
      </c>
      <c r="L55" s="2">
        <v>90</v>
      </c>
      <c r="M55" s="2">
        <v>99</v>
      </c>
      <c r="N55" s="2">
        <v>561</v>
      </c>
      <c r="O55" s="2">
        <v>93.5</v>
      </c>
      <c r="P55" s="8">
        <f>LARGE(E55:M55,1)</f>
        <v>99</v>
      </c>
      <c r="Q55" s="8">
        <f>LARGE(E55:M55,2)</f>
        <v>99</v>
      </c>
      <c r="R55" s="8">
        <f>LARGE(E55:M55,3)</f>
        <v>95</v>
      </c>
      <c r="S55" s="8">
        <f>LARGE(E55:M55,4)</f>
        <v>91</v>
      </c>
      <c r="T55" s="8">
        <f>LARGE(E55:M55,5)</f>
        <v>90</v>
      </c>
      <c r="U55" s="11">
        <f>SUM(LARGE(E55:M55, 1), LARGE(E55:M55, 2), LARGE(E55:M55, 3), LARGE(E55:M55, 4), LARGE(E55:M55, 5))</f>
        <v>474</v>
      </c>
      <c r="V55" s="11">
        <f>U55/5</f>
        <v>94.8</v>
      </c>
    </row>
    <row r="56" spans="1:22">
      <c r="A56" s="2">
        <v>54</v>
      </c>
      <c r="B56" s="2" t="s">
        <v>34</v>
      </c>
      <c r="C56" s="13" t="s">
        <v>508</v>
      </c>
      <c r="D56" s="2" t="s">
        <v>17</v>
      </c>
      <c r="E56" s="2">
        <v>93</v>
      </c>
      <c r="F56" s="2">
        <v>92</v>
      </c>
      <c r="G56" s="2"/>
      <c r="H56" s="2"/>
      <c r="I56" s="2"/>
      <c r="J56" s="2">
        <v>92</v>
      </c>
      <c r="K56" s="2">
        <v>93</v>
      </c>
      <c r="L56" s="2">
        <v>98</v>
      </c>
      <c r="M56" s="2">
        <v>97</v>
      </c>
      <c r="N56" s="2">
        <v>565</v>
      </c>
      <c r="O56" s="2">
        <v>94.17</v>
      </c>
      <c r="P56" s="8">
        <f>LARGE(E56:M56,1)</f>
        <v>98</v>
      </c>
      <c r="Q56" s="8">
        <f>LARGE(E56:M56,2)</f>
        <v>97</v>
      </c>
      <c r="R56" s="8">
        <f>LARGE(E56:M56,3)</f>
        <v>93</v>
      </c>
      <c r="S56" s="8">
        <f>LARGE(E56:M56,4)</f>
        <v>93</v>
      </c>
      <c r="T56" s="8">
        <f>LARGE(E56:M56,5)</f>
        <v>92</v>
      </c>
      <c r="U56" s="11">
        <f>SUM(LARGE(E56:M56, 1), LARGE(E56:M56, 2), LARGE(E56:M56, 3), LARGE(E56:M56, 4), LARGE(E56:M56, 5))</f>
        <v>473</v>
      </c>
      <c r="V56" s="11">
        <f>U56/5</f>
        <v>94.6</v>
      </c>
    </row>
    <row r="57" spans="1:22">
      <c r="A57" s="2">
        <v>55</v>
      </c>
      <c r="B57" s="2" t="s">
        <v>58</v>
      </c>
      <c r="C57" s="12" t="s">
        <v>520</v>
      </c>
      <c r="D57" s="2" t="s">
        <v>17</v>
      </c>
      <c r="E57" s="2">
        <v>91</v>
      </c>
      <c r="F57" s="2"/>
      <c r="G57" s="2">
        <v>94</v>
      </c>
      <c r="H57" s="2"/>
      <c r="I57" s="2"/>
      <c r="J57" s="2">
        <v>93</v>
      </c>
      <c r="K57" s="2">
        <v>94</v>
      </c>
      <c r="L57" s="2">
        <v>92</v>
      </c>
      <c r="M57" s="2">
        <v>100</v>
      </c>
      <c r="N57" s="2">
        <v>564</v>
      </c>
      <c r="O57" s="2">
        <v>94</v>
      </c>
      <c r="P57" s="8">
        <f>LARGE(E57:M57,1)</f>
        <v>100</v>
      </c>
      <c r="Q57" s="8">
        <f>LARGE(E57:M57,2)</f>
        <v>94</v>
      </c>
      <c r="R57" s="8">
        <f>LARGE(E57:M57,3)</f>
        <v>94</v>
      </c>
      <c r="S57" s="8">
        <f>LARGE(E57:M57,4)</f>
        <v>93</v>
      </c>
      <c r="T57" s="8">
        <f>LARGE(E57:M57,5)</f>
        <v>92</v>
      </c>
      <c r="U57" s="11">
        <f>SUM(LARGE(E57:M57, 1), LARGE(E57:M57, 2), LARGE(E57:M57, 3), LARGE(E57:M57, 4), LARGE(E57:M57, 5))</f>
        <v>473</v>
      </c>
      <c r="V57" s="11">
        <f>U57/5</f>
        <v>94.6</v>
      </c>
    </row>
    <row r="58" spans="1:22">
      <c r="A58" s="2">
        <v>56</v>
      </c>
      <c r="B58" s="2" t="s">
        <v>479</v>
      </c>
      <c r="C58" s="13" t="s">
        <v>730</v>
      </c>
      <c r="D58" s="2" t="s">
        <v>22</v>
      </c>
      <c r="E58" s="2">
        <v>95</v>
      </c>
      <c r="F58" s="2">
        <v>91</v>
      </c>
      <c r="G58" s="2"/>
      <c r="H58" s="2"/>
      <c r="I58" s="2">
        <v>93</v>
      </c>
      <c r="J58" s="2">
        <v>95</v>
      </c>
      <c r="K58" s="2">
        <v>88</v>
      </c>
      <c r="L58" s="2"/>
      <c r="M58" s="2">
        <v>99</v>
      </c>
      <c r="N58" s="2">
        <v>561</v>
      </c>
      <c r="O58" s="2">
        <v>93.5</v>
      </c>
      <c r="P58" s="8">
        <f>LARGE(E58:M58,1)</f>
        <v>99</v>
      </c>
      <c r="Q58" s="8">
        <f>LARGE(E58:M58,2)</f>
        <v>95</v>
      </c>
      <c r="R58" s="8">
        <f>LARGE(E58:M58,3)</f>
        <v>95</v>
      </c>
      <c r="S58" s="8">
        <f>LARGE(E58:M58,4)</f>
        <v>93</v>
      </c>
      <c r="T58" s="8">
        <f>LARGE(E58:M58,5)</f>
        <v>91</v>
      </c>
      <c r="U58" s="11">
        <f>SUM(LARGE(E58:M58, 1), LARGE(E58:M58, 2), LARGE(E58:M58, 3), LARGE(E58:M58, 4), LARGE(E58:M58, 5))</f>
        <v>473</v>
      </c>
      <c r="V58" s="11">
        <f>U58/5</f>
        <v>94.6</v>
      </c>
    </row>
    <row r="59" spans="1:22">
      <c r="A59" s="2">
        <v>57</v>
      </c>
      <c r="B59" s="2" t="s">
        <v>185</v>
      </c>
      <c r="C59" s="13" t="s">
        <v>583</v>
      </c>
      <c r="D59" s="2" t="s">
        <v>22</v>
      </c>
      <c r="E59" s="2">
        <v>87</v>
      </c>
      <c r="F59" s="2"/>
      <c r="G59" s="2">
        <v>98</v>
      </c>
      <c r="H59" s="2"/>
      <c r="I59" s="2">
        <v>89</v>
      </c>
      <c r="J59" s="2">
        <v>90</v>
      </c>
      <c r="K59" s="2">
        <v>96</v>
      </c>
      <c r="L59" s="2"/>
      <c r="M59" s="2">
        <v>99</v>
      </c>
      <c r="N59" s="2">
        <v>559</v>
      </c>
      <c r="O59" s="2">
        <v>93.17</v>
      </c>
      <c r="P59" s="8">
        <f>LARGE(E59:M59,1)</f>
        <v>99</v>
      </c>
      <c r="Q59" s="8">
        <f>LARGE(E59:M59,2)</f>
        <v>98</v>
      </c>
      <c r="R59" s="8">
        <f>LARGE(E59:M59,3)</f>
        <v>96</v>
      </c>
      <c r="S59" s="8">
        <f>LARGE(E59:M59,4)</f>
        <v>90</v>
      </c>
      <c r="T59" s="8">
        <f>LARGE(E59:M59,5)</f>
        <v>89</v>
      </c>
      <c r="U59" s="11">
        <f>SUM(LARGE(E59:M59, 1), LARGE(E59:M59, 2), LARGE(E59:M59, 3), LARGE(E59:M59, 4), LARGE(E59:M59, 5))</f>
        <v>472</v>
      </c>
      <c r="V59" s="11">
        <f>U59/5</f>
        <v>94.4</v>
      </c>
    </row>
    <row r="60" spans="1:22">
      <c r="A60" s="2">
        <v>58</v>
      </c>
      <c r="B60" s="2" t="s">
        <v>197</v>
      </c>
      <c r="C60" s="12" t="s">
        <v>589</v>
      </c>
      <c r="D60" s="2" t="s">
        <v>17</v>
      </c>
      <c r="E60" s="2">
        <v>91</v>
      </c>
      <c r="F60" s="2"/>
      <c r="G60" s="2">
        <v>97</v>
      </c>
      <c r="H60" s="2"/>
      <c r="I60" s="2">
        <v>72</v>
      </c>
      <c r="J60" s="2">
        <v>88</v>
      </c>
      <c r="K60" s="2">
        <v>98</v>
      </c>
      <c r="L60" s="2"/>
      <c r="M60" s="2">
        <v>98</v>
      </c>
      <c r="N60" s="2">
        <v>544</v>
      </c>
      <c r="O60" s="2">
        <v>90.67</v>
      </c>
      <c r="P60" s="8">
        <f>LARGE(E60:M60,1)</f>
        <v>98</v>
      </c>
      <c r="Q60" s="8">
        <f>LARGE(E60:M60,2)</f>
        <v>98</v>
      </c>
      <c r="R60" s="8">
        <f>LARGE(E60:M60,3)</f>
        <v>97</v>
      </c>
      <c r="S60" s="8">
        <f>LARGE(E60:M60,4)</f>
        <v>91</v>
      </c>
      <c r="T60" s="8">
        <f>LARGE(E60:M60,5)</f>
        <v>88</v>
      </c>
      <c r="U60" s="11">
        <f>SUM(LARGE(E60:M60, 1), LARGE(E60:M60, 2), LARGE(E60:M60, 3), LARGE(E60:M60, 4), LARGE(E60:M60, 5))</f>
        <v>472</v>
      </c>
      <c r="V60" s="11">
        <f>U60/5</f>
        <v>94.4</v>
      </c>
    </row>
    <row r="61" spans="1:22">
      <c r="A61" s="2">
        <v>59</v>
      </c>
      <c r="B61" s="2" t="s">
        <v>257</v>
      </c>
      <c r="C61" s="13" t="s">
        <v>619</v>
      </c>
      <c r="D61" s="2" t="s">
        <v>17</v>
      </c>
      <c r="E61" s="2">
        <v>92</v>
      </c>
      <c r="F61" s="2"/>
      <c r="G61" s="2">
        <v>99</v>
      </c>
      <c r="H61" s="2"/>
      <c r="I61" s="2">
        <v>84</v>
      </c>
      <c r="J61" s="2">
        <v>89</v>
      </c>
      <c r="K61" s="2">
        <v>94</v>
      </c>
      <c r="L61" s="2"/>
      <c r="M61" s="2">
        <v>98</v>
      </c>
      <c r="N61" s="2">
        <v>556</v>
      </c>
      <c r="O61" s="2">
        <v>92.67</v>
      </c>
      <c r="P61" s="8">
        <f>LARGE(E61:M61,1)</f>
        <v>99</v>
      </c>
      <c r="Q61" s="8">
        <f>LARGE(E61:M61,2)</f>
        <v>98</v>
      </c>
      <c r="R61" s="8">
        <f>LARGE(E61:M61,3)</f>
        <v>94</v>
      </c>
      <c r="S61" s="8">
        <f>LARGE(E61:M61,4)</f>
        <v>92</v>
      </c>
      <c r="T61" s="8">
        <f>LARGE(E61:M61,5)</f>
        <v>89</v>
      </c>
      <c r="U61" s="11">
        <f>SUM(LARGE(E61:M61, 1), LARGE(E61:M61, 2), LARGE(E61:M61, 3), LARGE(E61:M61, 4), LARGE(E61:M61, 5))</f>
        <v>472</v>
      </c>
      <c r="V61" s="11">
        <f>U61/5</f>
        <v>94.4</v>
      </c>
    </row>
    <row r="62" spans="1:22">
      <c r="A62" s="2">
        <v>60</v>
      </c>
      <c r="B62" s="2" t="s">
        <v>271</v>
      </c>
      <c r="C62" s="13" t="s">
        <v>626</v>
      </c>
      <c r="D62" s="2" t="s">
        <v>22</v>
      </c>
      <c r="E62" s="2">
        <v>93</v>
      </c>
      <c r="F62" s="2">
        <v>90</v>
      </c>
      <c r="G62" s="2"/>
      <c r="H62" s="2"/>
      <c r="I62" s="2">
        <v>92</v>
      </c>
      <c r="J62" s="2">
        <v>92</v>
      </c>
      <c r="K62" s="2">
        <v>96</v>
      </c>
      <c r="L62" s="2"/>
      <c r="M62" s="2">
        <v>99</v>
      </c>
      <c r="N62" s="2">
        <v>562</v>
      </c>
      <c r="O62" s="2">
        <v>93.67</v>
      </c>
      <c r="P62" s="8">
        <f>LARGE(E62:M62,1)</f>
        <v>99</v>
      </c>
      <c r="Q62" s="8">
        <f>LARGE(E62:M62,2)</f>
        <v>96</v>
      </c>
      <c r="R62" s="8">
        <f>LARGE(E62:M62,3)</f>
        <v>93</v>
      </c>
      <c r="S62" s="8">
        <f>LARGE(E62:M62,4)</f>
        <v>92</v>
      </c>
      <c r="T62" s="8">
        <f>LARGE(E62:M62,5)</f>
        <v>92</v>
      </c>
      <c r="U62" s="11">
        <f>SUM(LARGE(E62:M62, 1), LARGE(E62:M62, 2), LARGE(E62:M62, 3), LARGE(E62:M62, 4), LARGE(E62:M62, 5))</f>
        <v>472</v>
      </c>
      <c r="V62" s="11">
        <f>U62/5</f>
        <v>94.4</v>
      </c>
    </row>
    <row r="63" spans="1:22">
      <c r="A63" s="2">
        <v>61</v>
      </c>
      <c r="B63" s="2" t="s">
        <v>433</v>
      </c>
      <c r="C63" s="13" t="s">
        <v>707</v>
      </c>
      <c r="D63" s="2" t="s">
        <v>22</v>
      </c>
      <c r="E63" s="2">
        <v>95</v>
      </c>
      <c r="F63" s="2">
        <v>90</v>
      </c>
      <c r="G63" s="2"/>
      <c r="H63" s="2"/>
      <c r="I63" s="2">
        <v>65</v>
      </c>
      <c r="J63" s="2">
        <v>90</v>
      </c>
      <c r="K63" s="2">
        <v>97</v>
      </c>
      <c r="L63" s="2"/>
      <c r="M63" s="2">
        <v>100</v>
      </c>
      <c r="N63" s="2">
        <v>537</v>
      </c>
      <c r="O63" s="2">
        <v>89.5</v>
      </c>
      <c r="P63" s="8">
        <f>LARGE(E63:M63,1)</f>
        <v>100</v>
      </c>
      <c r="Q63" s="8">
        <f>LARGE(E63:M63,2)</f>
        <v>97</v>
      </c>
      <c r="R63" s="8">
        <f>LARGE(E63:M63,3)</f>
        <v>95</v>
      </c>
      <c r="S63" s="8">
        <f>LARGE(E63:M63,4)</f>
        <v>90</v>
      </c>
      <c r="T63" s="8">
        <f>LARGE(E63:M63,5)</f>
        <v>90</v>
      </c>
      <c r="U63" s="11">
        <f>SUM(LARGE(E63:M63, 1), LARGE(E63:M63, 2), LARGE(E63:M63, 3), LARGE(E63:M63, 4), LARGE(E63:M63, 5))</f>
        <v>472</v>
      </c>
      <c r="V63" s="11">
        <f>U63/5</f>
        <v>94.4</v>
      </c>
    </row>
    <row r="64" spans="1:22">
      <c r="A64" s="2">
        <v>62</v>
      </c>
      <c r="B64" s="2" t="s">
        <v>469</v>
      </c>
      <c r="C64" s="12" t="s">
        <v>725</v>
      </c>
      <c r="D64" s="2" t="s">
        <v>22</v>
      </c>
      <c r="E64" s="2">
        <v>95</v>
      </c>
      <c r="F64" s="2"/>
      <c r="G64" s="2"/>
      <c r="H64" s="2">
        <v>91</v>
      </c>
      <c r="I64" s="2">
        <v>96</v>
      </c>
      <c r="J64" s="2">
        <v>92</v>
      </c>
      <c r="K64" s="2">
        <v>95</v>
      </c>
      <c r="L64" s="2"/>
      <c r="M64" s="2">
        <v>94</v>
      </c>
      <c r="N64" s="2">
        <v>563</v>
      </c>
      <c r="O64" s="2">
        <v>93.83</v>
      </c>
      <c r="P64" s="8">
        <f>LARGE(E64:M64,1)</f>
        <v>96</v>
      </c>
      <c r="Q64" s="8">
        <f>LARGE(E64:M64,2)</f>
        <v>95</v>
      </c>
      <c r="R64" s="8">
        <f>LARGE(E64:M64,3)</f>
        <v>95</v>
      </c>
      <c r="S64" s="8">
        <f>LARGE(E64:M64,4)</f>
        <v>94</v>
      </c>
      <c r="T64" s="8">
        <f>LARGE(E64:M64,5)</f>
        <v>92</v>
      </c>
      <c r="U64" s="11">
        <f>SUM(LARGE(E64:M64, 1), LARGE(E64:M64, 2), LARGE(E64:M64, 3), LARGE(E64:M64, 4), LARGE(E64:M64, 5))</f>
        <v>472</v>
      </c>
      <c r="V64" s="11">
        <f>U64/5</f>
        <v>94.4</v>
      </c>
    </row>
    <row r="65" spans="1:22">
      <c r="A65" s="2">
        <v>63</v>
      </c>
      <c r="B65" s="2" t="s">
        <v>473</v>
      </c>
      <c r="C65" s="12" t="s">
        <v>727</v>
      </c>
      <c r="D65" s="2" t="s">
        <v>22</v>
      </c>
      <c r="E65" s="2">
        <v>79</v>
      </c>
      <c r="F65" s="2"/>
      <c r="G65" s="2">
        <v>97</v>
      </c>
      <c r="H65" s="2"/>
      <c r="I65" s="2">
        <v>95</v>
      </c>
      <c r="J65" s="2">
        <v>95</v>
      </c>
      <c r="K65" s="2">
        <v>85</v>
      </c>
      <c r="L65" s="2"/>
      <c r="M65" s="2">
        <v>100</v>
      </c>
      <c r="N65" s="2">
        <v>551</v>
      </c>
      <c r="O65" s="2">
        <v>91.83</v>
      </c>
      <c r="P65" s="8">
        <f>LARGE(E65:M65,1)</f>
        <v>100</v>
      </c>
      <c r="Q65" s="8">
        <f>LARGE(E65:M65,2)</f>
        <v>97</v>
      </c>
      <c r="R65" s="8">
        <f>LARGE(E65:M65,3)</f>
        <v>95</v>
      </c>
      <c r="S65" s="8">
        <f>LARGE(E65:M65,4)</f>
        <v>95</v>
      </c>
      <c r="T65" s="8">
        <f>LARGE(E65:M65,5)</f>
        <v>85</v>
      </c>
      <c r="U65" s="11">
        <f>SUM(LARGE(E65:M65, 1), LARGE(E65:M65, 2), LARGE(E65:M65, 3), LARGE(E65:M65, 4), LARGE(E65:M65, 5))</f>
        <v>472</v>
      </c>
      <c r="V65" s="11">
        <f>U65/5</f>
        <v>94.4</v>
      </c>
    </row>
    <row r="66" spans="1:22">
      <c r="A66" s="2">
        <v>64</v>
      </c>
      <c r="B66" s="2" t="s">
        <v>122</v>
      </c>
      <c r="C66" s="13" t="s">
        <v>552</v>
      </c>
      <c r="D66" s="2" t="s">
        <v>22</v>
      </c>
      <c r="E66" s="2">
        <v>85</v>
      </c>
      <c r="F66" s="2">
        <v>91</v>
      </c>
      <c r="G66" s="2"/>
      <c r="H66" s="2"/>
      <c r="I66" s="2"/>
      <c r="J66" s="2">
        <v>88</v>
      </c>
      <c r="K66" s="2">
        <v>98</v>
      </c>
      <c r="L66" s="2">
        <v>94</v>
      </c>
      <c r="M66" s="2">
        <v>100</v>
      </c>
      <c r="N66" s="2">
        <v>556</v>
      </c>
      <c r="O66" s="2">
        <v>92.67</v>
      </c>
      <c r="P66" s="8">
        <f>LARGE(E66:M66,1)</f>
        <v>100</v>
      </c>
      <c r="Q66" s="8">
        <f>LARGE(E66:M66,2)</f>
        <v>98</v>
      </c>
      <c r="R66" s="8">
        <f>LARGE(E66:M66,3)</f>
        <v>94</v>
      </c>
      <c r="S66" s="8">
        <f>LARGE(E66:M66,4)</f>
        <v>91</v>
      </c>
      <c r="T66" s="8">
        <f>LARGE(E66:M66,5)</f>
        <v>88</v>
      </c>
      <c r="U66" s="11">
        <f>SUM(LARGE(E66:M66, 1), LARGE(E66:M66, 2), LARGE(E66:M66, 3), LARGE(E66:M66, 4), LARGE(E66:M66, 5))</f>
        <v>471</v>
      </c>
      <c r="V66" s="11">
        <f>U66/5</f>
        <v>94.2</v>
      </c>
    </row>
    <row r="67" spans="1:22">
      <c r="A67" s="2">
        <v>65</v>
      </c>
      <c r="B67" s="2" t="s">
        <v>132</v>
      </c>
      <c r="C67" s="13" t="s">
        <v>557</v>
      </c>
      <c r="D67" s="2" t="s">
        <v>17</v>
      </c>
      <c r="E67" s="2">
        <v>98</v>
      </c>
      <c r="F67" s="2"/>
      <c r="G67" s="2">
        <v>96</v>
      </c>
      <c r="H67" s="2"/>
      <c r="I67" s="2">
        <v>74</v>
      </c>
      <c r="J67" s="2">
        <v>85</v>
      </c>
      <c r="K67" s="2">
        <v>95</v>
      </c>
      <c r="L67" s="2"/>
      <c r="M67" s="2">
        <v>97</v>
      </c>
      <c r="N67" s="2">
        <v>545</v>
      </c>
      <c r="O67" s="2">
        <v>90.83</v>
      </c>
      <c r="P67" s="8">
        <f>LARGE(E67:M67,1)</f>
        <v>98</v>
      </c>
      <c r="Q67" s="8">
        <f>LARGE(E67:M67,2)</f>
        <v>97</v>
      </c>
      <c r="R67" s="8">
        <f>LARGE(E67:M67,3)</f>
        <v>96</v>
      </c>
      <c r="S67" s="8">
        <f>LARGE(E67:M67,4)</f>
        <v>95</v>
      </c>
      <c r="T67" s="8">
        <f>LARGE(E67:M67,5)</f>
        <v>85</v>
      </c>
      <c r="U67" s="11">
        <f>SUM(LARGE(E67:M67, 1), LARGE(E67:M67, 2), LARGE(E67:M67, 3), LARGE(E67:M67, 4), LARGE(E67:M67, 5))</f>
        <v>471</v>
      </c>
      <c r="V67" s="11">
        <f>U67/5</f>
        <v>94.2</v>
      </c>
    </row>
    <row r="68" spans="1:22">
      <c r="A68" s="2">
        <v>66</v>
      </c>
      <c r="B68" s="2" t="s">
        <v>243</v>
      </c>
      <c r="C68" s="13" t="s">
        <v>612</v>
      </c>
      <c r="D68" s="2" t="s">
        <v>22</v>
      </c>
      <c r="E68" s="2">
        <v>94</v>
      </c>
      <c r="F68" s="2"/>
      <c r="G68" s="2">
        <v>98</v>
      </c>
      <c r="H68" s="2"/>
      <c r="I68" s="2"/>
      <c r="J68" s="2">
        <v>94</v>
      </c>
      <c r="K68" s="2">
        <v>91</v>
      </c>
      <c r="L68" s="2">
        <v>89</v>
      </c>
      <c r="M68" s="2">
        <v>94</v>
      </c>
      <c r="N68" s="2">
        <v>560</v>
      </c>
      <c r="O68" s="2">
        <v>93.33</v>
      </c>
      <c r="P68" s="8">
        <f>LARGE(E68:M68,1)</f>
        <v>98</v>
      </c>
      <c r="Q68" s="8">
        <f>LARGE(E68:M68,2)</f>
        <v>94</v>
      </c>
      <c r="R68" s="8">
        <f>LARGE(E68:M68,3)</f>
        <v>94</v>
      </c>
      <c r="S68" s="8">
        <f>LARGE(E68:M68,4)</f>
        <v>94</v>
      </c>
      <c r="T68" s="8">
        <f>LARGE(E68:M68,5)</f>
        <v>91</v>
      </c>
      <c r="U68" s="11">
        <f>SUM(LARGE(E68:M68, 1), LARGE(E68:M68, 2), LARGE(E68:M68, 3), LARGE(E68:M68, 4), LARGE(E68:M68, 5))</f>
        <v>471</v>
      </c>
      <c r="V68" s="11">
        <f>U68/5</f>
        <v>94.2</v>
      </c>
    </row>
    <row r="69" spans="1:22">
      <c r="A69" s="2">
        <v>67</v>
      </c>
      <c r="B69" s="2" t="s">
        <v>263</v>
      </c>
      <c r="C69" s="13" t="s">
        <v>622</v>
      </c>
      <c r="D69" s="2" t="s">
        <v>22</v>
      </c>
      <c r="E69" s="2">
        <v>86</v>
      </c>
      <c r="F69" s="2"/>
      <c r="G69" s="2"/>
      <c r="H69" s="2">
        <v>91</v>
      </c>
      <c r="I69" s="2"/>
      <c r="J69" s="2">
        <v>94</v>
      </c>
      <c r="K69" s="2">
        <v>92</v>
      </c>
      <c r="L69" s="2">
        <v>94</v>
      </c>
      <c r="M69" s="2">
        <v>100</v>
      </c>
      <c r="N69" s="2">
        <v>557</v>
      </c>
      <c r="O69" s="2">
        <v>92.83</v>
      </c>
      <c r="P69" s="8">
        <f>LARGE(E69:M69,1)</f>
        <v>100</v>
      </c>
      <c r="Q69" s="8">
        <f>LARGE(E69:M69,2)</f>
        <v>94</v>
      </c>
      <c r="R69" s="8">
        <f>LARGE(E69:M69,3)</f>
        <v>94</v>
      </c>
      <c r="S69" s="8">
        <f>LARGE(E69:M69,4)</f>
        <v>92</v>
      </c>
      <c r="T69" s="8">
        <f>LARGE(E69:M69,5)</f>
        <v>91</v>
      </c>
      <c r="U69" s="11">
        <f>SUM(LARGE(E69:M69, 1), LARGE(E69:M69, 2), LARGE(E69:M69, 3), LARGE(E69:M69, 4), LARGE(E69:M69, 5))</f>
        <v>471</v>
      </c>
      <c r="V69" s="11">
        <f>U69/5</f>
        <v>94.2</v>
      </c>
    </row>
    <row r="70" spans="1:22">
      <c r="A70" s="2">
        <v>68</v>
      </c>
      <c r="B70" s="2" t="s">
        <v>351</v>
      </c>
      <c r="C70" s="12" t="s">
        <v>666</v>
      </c>
      <c r="D70" s="2" t="s">
        <v>22</v>
      </c>
      <c r="E70" s="2">
        <v>82</v>
      </c>
      <c r="F70" s="2"/>
      <c r="G70" s="2"/>
      <c r="H70" s="2">
        <v>85</v>
      </c>
      <c r="I70" s="2">
        <v>99</v>
      </c>
      <c r="J70" s="2">
        <v>95</v>
      </c>
      <c r="K70" s="2">
        <v>93</v>
      </c>
      <c r="L70" s="2"/>
      <c r="M70" s="2">
        <v>99</v>
      </c>
      <c r="N70" s="2">
        <v>553</v>
      </c>
      <c r="O70" s="2">
        <v>92.17</v>
      </c>
      <c r="P70" s="8">
        <f>LARGE(E70:M70,1)</f>
        <v>99</v>
      </c>
      <c r="Q70" s="8">
        <f>LARGE(E70:M70,2)</f>
        <v>99</v>
      </c>
      <c r="R70" s="8">
        <f>LARGE(E70:M70,3)</f>
        <v>95</v>
      </c>
      <c r="S70" s="8">
        <f>LARGE(E70:M70,4)</f>
        <v>93</v>
      </c>
      <c r="T70" s="8">
        <f>LARGE(E70:M70,5)</f>
        <v>85</v>
      </c>
      <c r="U70" s="11">
        <f>SUM(LARGE(E70:M70, 1), LARGE(E70:M70, 2), LARGE(E70:M70, 3), LARGE(E70:M70, 4), LARGE(E70:M70, 5))</f>
        <v>471</v>
      </c>
      <c r="V70" s="11">
        <f>U70/5</f>
        <v>94.2</v>
      </c>
    </row>
    <row r="71" spans="1:22">
      <c r="A71" s="2">
        <v>69</v>
      </c>
      <c r="B71" s="2" t="s">
        <v>369</v>
      </c>
      <c r="C71" s="12" t="s">
        <v>675</v>
      </c>
      <c r="D71" s="2" t="s">
        <v>17</v>
      </c>
      <c r="E71" s="2">
        <v>87</v>
      </c>
      <c r="F71" s="2"/>
      <c r="G71" s="2">
        <v>95</v>
      </c>
      <c r="H71" s="2"/>
      <c r="I71" s="2">
        <v>95</v>
      </c>
      <c r="J71" s="2">
        <v>92</v>
      </c>
      <c r="K71" s="2">
        <v>91</v>
      </c>
      <c r="L71" s="2"/>
      <c r="M71" s="2">
        <v>98</v>
      </c>
      <c r="N71" s="2">
        <v>558</v>
      </c>
      <c r="O71" s="2">
        <v>93</v>
      </c>
      <c r="P71" s="8">
        <f>LARGE(E71:M71,1)</f>
        <v>98</v>
      </c>
      <c r="Q71" s="8">
        <f>LARGE(E71:M71,2)</f>
        <v>95</v>
      </c>
      <c r="R71" s="8">
        <f>LARGE(E71:M71,3)</f>
        <v>95</v>
      </c>
      <c r="S71" s="8">
        <f>LARGE(E71:M71,4)</f>
        <v>92</v>
      </c>
      <c r="T71" s="8">
        <f>LARGE(E71:M71,5)</f>
        <v>91</v>
      </c>
      <c r="U71" s="11">
        <f>SUM(LARGE(E71:M71, 1), LARGE(E71:M71, 2), LARGE(E71:M71, 3), LARGE(E71:M71, 4), LARGE(E71:M71, 5))</f>
        <v>471</v>
      </c>
      <c r="V71" s="11">
        <f>U71/5</f>
        <v>94.2</v>
      </c>
    </row>
    <row r="72" spans="1:22">
      <c r="A72" s="2">
        <v>70</v>
      </c>
      <c r="B72" s="2" t="s">
        <v>118</v>
      </c>
      <c r="C72" s="12" t="s">
        <v>550</v>
      </c>
      <c r="D72" s="2" t="s">
        <v>17</v>
      </c>
      <c r="E72" s="2">
        <v>93</v>
      </c>
      <c r="F72" s="2">
        <v>93</v>
      </c>
      <c r="G72" s="2"/>
      <c r="H72" s="2"/>
      <c r="I72" s="2"/>
      <c r="J72" s="2">
        <v>93</v>
      </c>
      <c r="K72" s="2">
        <v>97</v>
      </c>
      <c r="L72" s="2">
        <v>79</v>
      </c>
      <c r="M72" s="2">
        <v>94</v>
      </c>
      <c r="N72" s="2">
        <v>549</v>
      </c>
      <c r="O72" s="2">
        <v>91.5</v>
      </c>
      <c r="P72" s="8">
        <f>LARGE(E72:M72,1)</f>
        <v>97</v>
      </c>
      <c r="Q72" s="8">
        <f>LARGE(E72:M72,2)</f>
        <v>94</v>
      </c>
      <c r="R72" s="8">
        <f>LARGE(E72:M72,3)</f>
        <v>93</v>
      </c>
      <c r="S72" s="8">
        <f>LARGE(E72:M72,4)</f>
        <v>93</v>
      </c>
      <c r="T72" s="8">
        <f>LARGE(E72:M72,5)</f>
        <v>93</v>
      </c>
      <c r="U72" s="11">
        <f>SUM(LARGE(E72:M72, 1), LARGE(E72:M72, 2), LARGE(E72:M72, 3), LARGE(E72:M72, 4), LARGE(E72:M72, 5))</f>
        <v>470</v>
      </c>
      <c r="V72" s="11">
        <f>U72/5</f>
        <v>94</v>
      </c>
    </row>
    <row r="73" spans="1:22">
      <c r="A73" s="2">
        <v>71</v>
      </c>
      <c r="B73" s="2" t="s">
        <v>279</v>
      </c>
      <c r="C73" s="13" t="s">
        <v>630</v>
      </c>
      <c r="D73" s="2" t="s">
        <v>17</v>
      </c>
      <c r="E73" s="2">
        <v>92</v>
      </c>
      <c r="F73" s="2"/>
      <c r="G73" s="2"/>
      <c r="H73" s="2">
        <v>94</v>
      </c>
      <c r="I73" s="2">
        <v>82</v>
      </c>
      <c r="J73" s="2">
        <v>91</v>
      </c>
      <c r="K73" s="2">
        <v>93</v>
      </c>
      <c r="L73" s="2"/>
      <c r="M73" s="2">
        <v>100</v>
      </c>
      <c r="N73" s="2">
        <v>552</v>
      </c>
      <c r="O73" s="2">
        <v>92</v>
      </c>
      <c r="P73" s="8">
        <f>LARGE(E73:M73,1)</f>
        <v>100</v>
      </c>
      <c r="Q73" s="8">
        <f>LARGE(E73:M73,2)</f>
        <v>94</v>
      </c>
      <c r="R73" s="8">
        <f>LARGE(E73:M73,3)</f>
        <v>93</v>
      </c>
      <c r="S73" s="8">
        <f>LARGE(E73:M73,4)</f>
        <v>92</v>
      </c>
      <c r="T73" s="8">
        <f>LARGE(E73:M73,5)</f>
        <v>91</v>
      </c>
      <c r="U73" s="11">
        <f>SUM(LARGE(E73:M73, 1), LARGE(E73:M73, 2), LARGE(E73:M73, 3), LARGE(E73:M73, 4), LARGE(E73:M73, 5))</f>
        <v>470</v>
      </c>
      <c r="V73" s="11">
        <f>U73/5</f>
        <v>94</v>
      </c>
    </row>
    <row r="74" spans="1:22">
      <c r="A74" s="2">
        <v>72</v>
      </c>
      <c r="B74" s="2" t="s">
        <v>393</v>
      </c>
      <c r="C74" s="13" t="s">
        <v>687</v>
      </c>
      <c r="D74" s="2" t="s">
        <v>22</v>
      </c>
      <c r="E74" s="2">
        <v>84</v>
      </c>
      <c r="F74" s="2">
        <v>90</v>
      </c>
      <c r="G74" s="2"/>
      <c r="H74" s="2"/>
      <c r="I74" s="2">
        <v>95</v>
      </c>
      <c r="J74" s="2">
        <v>95</v>
      </c>
      <c r="K74" s="2">
        <v>93</v>
      </c>
      <c r="L74" s="2"/>
      <c r="M74" s="2">
        <v>97</v>
      </c>
      <c r="N74" s="2">
        <v>554</v>
      </c>
      <c r="O74" s="2">
        <v>92.33</v>
      </c>
      <c r="P74" s="8">
        <f>LARGE(E74:M74,1)</f>
        <v>97</v>
      </c>
      <c r="Q74" s="8">
        <f>LARGE(E74:M74,2)</f>
        <v>95</v>
      </c>
      <c r="R74" s="8">
        <f>LARGE(E74:M74,3)</f>
        <v>95</v>
      </c>
      <c r="S74" s="8">
        <f>LARGE(E74:M74,4)</f>
        <v>93</v>
      </c>
      <c r="T74" s="8">
        <f>LARGE(E74:M74,5)</f>
        <v>90</v>
      </c>
      <c r="U74" s="11">
        <f>SUM(LARGE(E74:M74, 1), LARGE(E74:M74, 2), LARGE(E74:M74, 3), LARGE(E74:M74, 4), LARGE(E74:M74, 5))</f>
        <v>470</v>
      </c>
      <c r="V74" s="11">
        <f>U74/5</f>
        <v>94</v>
      </c>
    </row>
    <row r="75" spans="1:22">
      <c r="A75" s="2">
        <v>73</v>
      </c>
      <c r="B75" s="2" t="s">
        <v>425</v>
      </c>
      <c r="C75" s="12" t="s">
        <v>703</v>
      </c>
      <c r="D75" s="2" t="s">
        <v>17</v>
      </c>
      <c r="E75" s="2">
        <v>91</v>
      </c>
      <c r="F75" s="2"/>
      <c r="G75" s="2">
        <v>96</v>
      </c>
      <c r="H75" s="2"/>
      <c r="I75" s="2">
        <v>85</v>
      </c>
      <c r="J75" s="2">
        <v>93</v>
      </c>
      <c r="K75" s="2">
        <v>90</v>
      </c>
      <c r="L75" s="2"/>
      <c r="M75" s="2">
        <v>100</v>
      </c>
      <c r="N75" s="2">
        <v>555</v>
      </c>
      <c r="O75" s="2">
        <v>92.5</v>
      </c>
      <c r="P75" s="8">
        <f>LARGE(E75:M75,1)</f>
        <v>100</v>
      </c>
      <c r="Q75" s="8">
        <f>LARGE(E75:M75,2)</f>
        <v>96</v>
      </c>
      <c r="R75" s="8">
        <f>LARGE(E75:M75,3)</f>
        <v>93</v>
      </c>
      <c r="S75" s="8">
        <f>LARGE(E75:M75,4)</f>
        <v>91</v>
      </c>
      <c r="T75" s="8">
        <f>LARGE(E75:M75,5)</f>
        <v>90</v>
      </c>
      <c r="U75" s="11">
        <f>SUM(LARGE(E75:M75, 1), LARGE(E75:M75, 2), LARGE(E75:M75, 3), LARGE(E75:M75, 4), LARGE(E75:M75, 5))</f>
        <v>470</v>
      </c>
      <c r="V75" s="11">
        <f>U75/5</f>
        <v>94</v>
      </c>
    </row>
    <row r="76" spans="1:22">
      <c r="A76" s="2">
        <v>74</v>
      </c>
      <c r="B76" s="2" t="s">
        <v>36</v>
      </c>
      <c r="C76" s="13" t="s">
        <v>509</v>
      </c>
      <c r="D76" s="2" t="s">
        <v>17</v>
      </c>
      <c r="E76" s="2">
        <v>94</v>
      </c>
      <c r="F76" s="2">
        <v>89</v>
      </c>
      <c r="G76" s="2"/>
      <c r="H76" s="2"/>
      <c r="I76" s="2">
        <v>90</v>
      </c>
      <c r="J76" s="2">
        <v>87</v>
      </c>
      <c r="K76" s="2">
        <v>96</v>
      </c>
      <c r="L76" s="2"/>
      <c r="M76" s="2">
        <v>100</v>
      </c>
      <c r="N76" s="2">
        <v>556</v>
      </c>
      <c r="O76" s="2">
        <v>92.67</v>
      </c>
      <c r="P76" s="8">
        <f>LARGE(E76:M76,1)</f>
        <v>100</v>
      </c>
      <c r="Q76" s="8">
        <f>LARGE(E76:M76,2)</f>
        <v>96</v>
      </c>
      <c r="R76" s="8">
        <f>LARGE(E76:M76,3)</f>
        <v>94</v>
      </c>
      <c r="S76" s="8">
        <f>LARGE(E76:M76,4)</f>
        <v>90</v>
      </c>
      <c r="T76" s="8">
        <f>LARGE(E76:M76,5)</f>
        <v>89</v>
      </c>
      <c r="U76" s="11">
        <f>SUM(LARGE(E76:M76, 1), LARGE(E76:M76, 2), LARGE(E76:M76, 3), LARGE(E76:M76, 4), LARGE(E76:M76, 5))</f>
        <v>469</v>
      </c>
      <c r="V76" s="11">
        <f>U76/5</f>
        <v>93.8</v>
      </c>
    </row>
    <row r="77" spans="1:22">
      <c r="A77" s="2">
        <v>75</v>
      </c>
      <c r="B77" s="2" t="s">
        <v>82</v>
      </c>
      <c r="C77" s="12" t="s">
        <v>532</v>
      </c>
      <c r="D77" s="2" t="s">
        <v>22</v>
      </c>
      <c r="E77" s="2">
        <v>91</v>
      </c>
      <c r="F77" s="2"/>
      <c r="G77" s="2">
        <v>99</v>
      </c>
      <c r="H77" s="2"/>
      <c r="I77" s="2"/>
      <c r="J77" s="2">
        <v>91</v>
      </c>
      <c r="K77" s="2">
        <v>90</v>
      </c>
      <c r="L77" s="2">
        <v>91</v>
      </c>
      <c r="M77" s="2">
        <v>97</v>
      </c>
      <c r="N77" s="2">
        <v>559</v>
      </c>
      <c r="O77" s="2">
        <v>93.17</v>
      </c>
      <c r="P77" s="8">
        <f>LARGE(E77:M77,1)</f>
        <v>99</v>
      </c>
      <c r="Q77" s="8">
        <f>LARGE(E77:M77,2)</f>
        <v>97</v>
      </c>
      <c r="R77" s="8">
        <f>LARGE(E77:M77,3)</f>
        <v>91</v>
      </c>
      <c r="S77" s="8">
        <f>LARGE(E77:M77,4)</f>
        <v>91</v>
      </c>
      <c r="T77" s="8">
        <f>LARGE(E77:M77,5)</f>
        <v>91</v>
      </c>
      <c r="U77" s="11">
        <f>SUM(LARGE(E77:M77, 1), LARGE(E77:M77, 2), LARGE(E77:M77, 3), LARGE(E77:M77, 4), LARGE(E77:M77, 5))</f>
        <v>469</v>
      </c>
      <c r="V77" s="11">
        <f>U77/5</f>
        <v>93.8</v>
      </c>
    </row>
    <row r="78" spans="1:22">
      <c r="A78" s="2">
        <v>76</v>
      </c>
      <c r="B78" s="2" t="s">
        <v>175</v>
      </c>
      <c r="C78" s="12" t="s">
        <v>578</v>
      </c>
      <c r="D78" s="2" t="s">
        <v>22</v>
      </c>
      <c r="E78" s="2">
        <v>88</v>
      </c>
      <c r="F78" s="2"/>
      <c r="G78" s="2">
        <v>99</v>
      </c>
      <c r="H78" s="2"/>
      <c r="I78" s="2">
        <v>88</v>
      </c>
      <c r="J78" s="2">
        <v>89</v>
      </c>
      <c r="K78" s="2">
        <v>98</v>
      </c>
      <c r="L78" s="2"/>
      <c r="M78" s="2">
        <v>95</v>
      </c>
      <c r="N78" s="2">
        <v>557</v>
      </c>
      <c r="O78" s="2">
        <v>92.83</v>
      </c>
      <c r="P78" s="8">
        <f>LARGE(E78:M78,1)</f>
        <v>99</v>
      </c>
      <c r="Q78" s="8">
        <f>LARGE(E78:M78,2)</f>
        <v>98</v>
      </c>
      <c r="R78" s="8">
        <f>LARGE(E78:M78,3)</f>
        <v>95</v>
      </c>
      <c r="S78" s="8">
        <f>LARGE(E78:M78,4)</f>
        <v>89</v>
      </c>
      <c r="T78" s="8">
        <f>LARGE(E78:M78,5)</f>
        <v>88</v>
      </c>
      <c r="U78" s="11">
        <f>SUM(LARGE(E78:M78, 1), LARGE(E78:M78, 2), LARGE(E78:M78, 3), LARGE(E78:M78, 4), LARGE(E78:M78, 5))</f>
        <v>469</v>
      </c>
      <c r="V78" s="11">
        <f>U78/5</f>
        <v>93.8</v>
      </c>
    </row>
    <row r="79" spans="1:22">
      <c r="A79" s="2">
        <v>77</v>
      </c>
      <c r="B79" s="2" t="s">
        <v>311</v>
      </c>
      <c r="C79" s="13" t="s">
        <v>646</v>
      </c>
      <c r="D79" s="2" t="s">
        <v>22</v>
      </c>
      <c r="E79" s="2">
        <v>91</v>
      </c>
      <c r="F79" s="2">
        <v>91</v>
      </c>
      <c r="G79" s="2"/>
      <c r="H79" s="2"/>
      <c r="I79" s="2"/>
      <c r="J79" s="2">
        <v>91</v>
      </c>
      <c r="K79" s="2">
        <v>98</v>
      </c>
      <c r="L79" s="2">
        <v>97</v>
      </c>
      <c r="M79" s="2">
        <v>92</v>
      </c>
      <c r="N79" s="2">
        <v>560</v>
      </c>
      <c r="O79" s="2">
        <v>93.33</v>
      </c>
      <c r="P79" s="8">
        <f>LARGE(E79:M79,1)</f>
        <v>98</v>
      </c>
      <c r="Q79" s="8">
        <f>LARGE(E79:M79,2)</f>
        <v>97</v>
      </c>
      <c r="R79" s="8">
        <f>LARGE(E79:M79,3)</f>
        <v>92</v>
      </c>
      <c r="S79" s="8">
        <f>LARGE(E79:M79,4)</f>
        <v>91</v>
      </c>
      <c r="T79" s="8">
        <f>LARGE(E79:M79,5)</f>
        <v>91</v>
      </c>
      <c r="U79" s="11">
        <f>SUM(LARGE(E79:M79, 1), LARGE(E79:M79, 2), LARGE(E79:M79, 3), LARGE(E79:M79, 4), LARGE(E79:M79, 5))</f>
        <v>469</v>
      </c>
      <c r="V79" s="11">
        <f>U79/5</f>
        <v>93.8</v>
      </c>
    </row>
    <row r="80" spans="1:22">
      <c r="A80" s="2">
        <v>78</v>
      </c>
      <c r="B80" s="2" t="s">
        <v>315</v>
      </c>
      <c r="C80" s="13" t="s">
        <v>648</v>
      </c>
      <c r="D80" s="2" t="s">
        <v>17</v>
      </c>
      <c r="E80" s="2">
        <v>80</v>
      </c>
      <c r="F80" s="2"/>
      <c r="G80" s="2"/>
      <c r="H80" s="2">
        <v>92</v>
      </c>
      <c r="I80" s="2"/>
      <c r="J80" s="2">
        <v>93</v>
      </c>
      <c r="K80" s="2">
        <v>95</v>
      </c>
      <c r="L80" s="2">
        <v>92</v>
      </c>
      <c r="M80" s="2">
        <v>97</v>
      </c>
      <c r="N80" s="2">
        <v>549</v>
      </c>
      <c r="O80" s="2">
        <v>91.5</v>
      </c>
      <c r="P80" s="8">
        <f>LARGE(E80:M80,1)</f>
        <v>97</v>
      </c>
      <c r="Q80" s="8">
        <f>LARGE(E80:M80,2)</f>
        <v>95</v>
      </c>
      <c r="R80" s="8">
        <f>LARGE(E80:M80,3)</f>
        <v>93</v>
      </c>
      <c r="S80" s="8">
        <f>LARGE(E80:M80,4)</f>
        <v>92</v>
      </c>
      <c r="T80" s="8">
        <f>LARGE(E80:M80,5)</f>
        <v>92</v>
      </c>
      <c r="U80" s="11">
        <f>SUM(LARGE(E80:M80, 1), LARGE(E80:M80, 2), LARGE(E80:M80, 3), LARGE(E80:M80, 4), LARGE(E80:M80, 5))</f>
        <v>469</v>
      </c>
      <c r="V80" s="11">
        <f>U80/5</f>
        <v>93.8</v>
      </c>
    </row>
    <row r="81" spans="1:22">
      <c r="A81" s="2">
        <v>79</v>
      </c>
      <c r="B81" s="2" t="s">
        <v>483</v>
      </c>
      <c r="C81" s="12" t="s">
        <v>732</v>
      </c>
      <c r="D81" s="2" t="s">
        <v>22</v>
      </c>
      <c r="E81" s="2">
        <v>88</v>
      </c>
      <c r="F81" s="2"/>
      <c r="G81" s="2">
        <v>95</v>
      </c>
      <c r="H81" s="2"/>
      <c r="I81" s="2">
        <v>81</v>
      </c>
      <c r="J81" s="2">
        <v>94</v>
      </c>
      <c r="K81" s="2">
        <v>96</v>
      </c>
      <c r="L81" s="2"/>
      <c r="M81" s="2">
        <v>96</v>
      </c>
      <c r="N81" s="2">
        <v>550</v>
      </c>
      <c r="O81" s="2">
        <v>91.67</v>
      </c>
      <c r="P81" s="8">
        <f>LARGE(E81:M81,1)</f>
        <v>96</v>
      </c>
      <c r="Q81" s="8">
        <f>LARGE(E81:M81,2)</f>
        <v>96</v>
      </c>
      <c r="R81" s="8">
        <f>LARGE(E81:M81,3)</f>
        <v>95</v>
      </c>
      <c r="S81" s="8">
        <f>LARGE(E81:M81,4)</f>
        <v>94</v>
      </c>
      <c r="T81" s="8">
        <f>LARGE(E81:M81,5)</f>
        <v>88</v>
      </c>
      <c r="U81" s="11">
        <f>SUM(LARGE(E81:M81, 1), LARGE(E81:M81, 2), LARGE(E81:M81, 3), LARGE(E81:M81, 4), LARGE(E81:M81, 5))</f>
        <v>469</v>
      </c>
      <c r="V81" s="11">
        <f>U81/5</f>
        <v>93.8</v>
      </c>
    </row>
    <row r="82" spans="1:22">
      <c r="A82" s="2">
        <v>80</v>
      </c>
      <c r="B82" s="2" t="s">
        <v>72</v>
      </c>
      <c r="C82" s="12" t="s">
        <v>527</v>
      </c>
      <c r="D82" s="2" t="s">
        <v>17</v>
      </c>
      <c r="E82" s="2">
        <v>92</v>
      </c>
      <c r="F82" s="2"/>
      <c r="G82" s="2">
        <v>99</v>
      </c>
      <c r="H82" s="2"/>
      <c r="I82" s="2">
        <v>88</v>
      </c>
      <c r="J82" s="2">
        <v>91</v>
      </c>
      <c r="K82" s="2">
        <v>86</v>
      </c>
      <c r="L82" s="2"/>
      <c r="M82" s="2">
        <v>98</v>
      </c>
      <c r="N82" s="2">
        <v>554</v>
      </c>
      <c r="O82" s="2">
        <v>92.33</v>
      </c>
      <c r="P82" s="8">
        <f>LARGE(E82:M82,1)</f>
        <v>99</v>
      </c>
      <c r="Q82" s="8">
        <f>LARGE(E82:M82,2)</f>
        <v>98</v>
      </c>
      <c r="R82" s="8">
        <f>LARGE(E82:M82,3)</f>
        <v>92</v>
      </c>
      <c r="S82" s="8">
        <f>LARGE(E82:M82,4)</f>
        <v>91</v>
      </c>
      <c r="T82" s="8">
        <f>LARGE(E82:M82,5)</f>
        <v>88</v>
      </c>
      <c r="U82" s="11">
        <f>SUM(LARGE(E82:M82, 1), LARGE(E82:M82, 2), LARGE(E82:M82, 3), LARGE(E82:M82, 4), LARGE(E82:M82, 5))</f>
        <v>468</v>
      </c>
      <c r="V82" s="11">
        <f>U82/5</f>
        <v>93.6</v>
      </c>
    </row>
    <row r="83" spans="1:22">
      <c r="A83" s="2">
        <v>81</v>
      </c>
      <c r="B83" s="2" t="s">
        <v>98</v>
      </c>
      <c r="C83" s="12" t="s">
        <v>540</v>
      </c>
      <c r="D83" s="2" t="s">
        <v>17</v>
      </c>
      <c r="E83" s="2">
        <v>94</v>
      </c>
      <c r="F83" s="2"/>
      <c r="G83" s="2">
        <v>96</v>
      </c>
      <c r="H83" s="2"/>
      <c r="I83" s="2">
        <v>69</v>
      </c>
      <c r="J83" s="2">
        <v>85</v>
      </c>
      <c r="K83" s="2">
        <v>95</v>
      </c>
      <c r="L83" s="2"/>
      <c r="M83" s="2">
        <v>97</v>
      </c>
      <c r="N83" s="2">
        <v>536</v>
      </c>
      <c r="O83" s="2">
        <v>89.33</v>
      </c>
      <c r="P83" s="8">
        <f>LARGE(E83:M83,1)</f>
        <v>97</v>
      </c>
      <c r="Q83" s="8">
        <f>LARGE(E83:M83,2)</f>
        <v>96</v>
      </c>
      <c r="R83" s="8">
        <f>LARGE(E83:M83,3)</f>
        <v>95</v>
      </c>
      <c r="S83" s="8">
        <f>LARGE(E83:M83,4)</f>
        <v>94</v>
      </c>
      <c r="T83" s="8">
        <f>LARGE(E83:M83,5)</f>
        <v>85</v>
      </c>
      <c r="U83" s="11">
        <f>SUM(LARGE(E83:M83, 1), LARGE(E83:M83, 2), LARGE(E83:M83, 3), LARGE(E83:M83, 4), LARGE(E83:M83, 5))</f>
        <v>467</v>
      </c>
      <c r="V83" s="11">
        <f>U83/5</f>
        <v>93.4</v>
      </c>
    </row>
    <row r="84" spans="1:22">
      <c r="A84" s="2">
        <v>82</v>
      </c>
      <c r="B84" s="2" t="s">
        <v>255</v>
      </c>
      <c r="C84" s="13" t="s">
        <v>618</v>
      </c>
      <c r="D84" s="2" t="s">
        <v>22</v>
      </c>
      <c r="E84" s="2">
        <v>92</v>
      </c>
      <c r="F84" s="2"/>
      <c r="G84" s="2">
        <v>91</v>
      </c>
      <c r="H84" s="2"/>
      <c r="I84" s="2">
        <v>84</v>
      </c>
      <c r="J84" s="2">
        <v>96</v>
      </c>
      <c r="K84" s="2">
        <v>89</v>
      </c>
      <c r="L84" s="2"/>
      <c r="M84" s="2">
        <v>99</v>
      </c>
      <c r="N84" s="2">
        <v>551</v>
      </c>
      <c r="O84" s="2">
        <v>91.83</v>
      </c>
      <c r="P84" s="8">
        <f>LARGE(E84:M84,1)</f>
        <v>99</v>
      </c>
      <c r="Q84" s="8">
        <f>LARGE(E84:M84,2)</f>
        <v>96</v>
      </c>
      <c r="R84" s="8">
        <f>LARGE(E84:M84,3)</f>
        <v>92</v>
      </c>
      <c r="S84" s="8">
        <f>LARGE(E84:M84,4)</f>
        <v>91</v>
      </c>
      <c r="T84" s="8">
        <f>LARGE(E84:M84,5)</f>
        <v>89</v>
      </c>
      <c r="U84" s="11">
        <f>SUM(LARGE(E84:M84, 1), LARGE(E84:M84, 2), LARGE(E84:M84, 3), LARGE(E84:M84, 4), LARGE(E84:M84, 5))</f>
        <v>467</v>
      </c>
      <c r="V84" s="11">
        <f>U84/5</f>
        <v>93.4</v>
      </c>
    </row>
    <row r="85" spans="1:22">
      <c r="A85" s="2">
        <v>83</v>
      </c>
      <c r="B85" s="2" t="s">
        <v>451</v>
      </c>
      <c r="C85" s="13" t="s">
        <v>716</v>
      </c>
      <c r="D85" s="2" t="s">
        <v>17</v>
      </c>
      <c r="E85" s="2">
        <v>82</v>
      </c>
      <c r="F85" s="2"/>
      <c r="G85" s="2"/>
      <c r="H85" s="2">
        <v>96</v>
      </c>
      <c r="I85" s="2">
        <v>85</v>
      </c>
      <c r="J85" s="2">
        <v>94</v>
      </c>
      <c r="K85" s="2">
        <v>94</v>
      </c>
      <c r="L85" s="2"/>
      <c r="M85" s="2">
        <v>98</v>
      </c>
      <c r="N85" s="2">
        <v>549</v>
      </c>
      <c r="O85" s="2">
        <v>91.5</v>
      </c>
      <c r="P85" s="8">
        <f>LARGE(E85:M85,1)</f>
        <v>98</v>
      </c>
      <c r="Q85" s="8">
        <f>LARGE(E85:M85,2)</f>
        <v>96</v>
      </c>
      <c r="R85" s="8">
        <f>LARGE(E85:M85,3)</f>
        <v>94</v>
      </c>
      <c r="S85" s="8">
        <f>LARGE(E85:M85,4)</f>
        <v>94</v>
      </c>
      <c r="T85" s="8">
        <f>LARGE(E85:M85,5)</f>
        <v>85</v>
      </c>
      <c r="U85" s="11">
        <f>SUM(LARGE(E85:M85, 1), LARGE(E85:M85, 2), LARGE(E85:M85, 3), LARGE(E85:M85, 4), LARGE(E85:M85, 5))</f>
        <v>467</v>
      </c>
      <c r="V85" s="11">
        <f>U85/5</f>
        <v>93.4</v>
      </c>
    </row>
    <row r="86" spans="1:22">
      <c r="A86" s="2">
        <v>84</v>
      </c>
      <c r="B86" s="2" t="s">
        <v>74</v>
      </c>
      <c r="C86" s="13" t="s">
        <v>528</v>
      </c>
      <c r="D86" s="2" t="s">
        <v>17</v>
      </c>
      <c r="E86" s="2">
        <v>97</v>
      </c>
      <c r="F86" s="2"/>
      <c r="G86" s="2">
        <v>98</v>
      </c>
      <c r="H86" s="2"/>
      <c r="I86" s="2">
        <v>92</v>
      </c>
      <c r="J86" s="2">
        <v>76</v>
      </c>
      <c r="K86" s="2">
        <v>81</v>
      </c>
      <c r="L86" s="2"/>
      <c r="M86" s="2">
        <v>98</v>
      </c>
      <c r="N86" s="2">
        <v>542</v>
      </c>
      <c r="O86" s="2">
        <v>90.33</v>
      </c>
      <c r="P86" s="8">
        <f>LARGE(E86:M86,1)</f>
        <v>98</v>
      </c>
      <c r="Q86" s="8">
        <f>LARGE(E86:M86,2)</f>
        <v>98</v>
      </c>
      <c r="R86" s="8">
        <f>LARGE(E86:M86,3)</f>
        <v>97</v>
      </c>
      <c r="S86" s="8">
        <f>LARGE(E86:M86,4)</f>
        <v>92</v>
      </c>
      <c r="T86" s="8">
        <f>LARGE(E86:M86,5)</f>
        <v>81</v>
      </c>
      <c r="U86" s="11">
        <f>SUM(LARGE(E86:M86, 1), LARGE(E86:M86, 2), LARGE(E86:M86, 3), LARGE(E86:M86, 4), LARGE(E86:M86, 5))</f>
        <v>466</v>
      </c>
      <c r="V86" s="11">
        <f>U86/5</f>
        <v>93.2</v>
      </c>
    </row>
    <row r="87" spans="1:22">
      <c r="A87" s="2">
        <v>85</v>
      </c>
      <c r="B87" s="2" t="s">
        <v>289</v>
      </c>
      <c r="C87" s="12" t="s">
        <v>635</v>
      </c>
      <c r="D87" s="2" t="s">
        <v>17</v>
      </c>
      <c r="E87" s="2">
        <v>93</v>
      </c>
      <c r="F87" s="2"/>
      <c r="G87" s="2">
        <v>98</v>
      </c>
      <c r="H87" s="2"/>
      <c r="I87" s="2">
        <v>62</v>
      </c>
      <c r="J87" s="2">
        <v>90</v>
      </c>
      <c r="K87" s="2">
        <v>90</v>
      </c>
      <c r="L87" s="2"/>
      <c r="M87" s="2">
        <v>95</v>
      </c>
      <c r="N87" s="2">
        <v>528</v>
      </c>
      <c r="O87" s="2">
        <v>88</v>
      </c>
      <c r="P87" s="8">
        <f>LARGE(E87:M87,1)</f>
        <v>98</v>
      </c>
      <c r="Q87" s="8">
        <f>LARGE(E87:M87,2)</f>
        <v>95</v>
      </c>
      <c r="R87" s="8">
        <f>LARGE(E87:M87,3)</f>
        <v>93</v>
      </c>
      <c r="S87" s="8">
        <f>LARGE(E87:M87,4)</f>
        <v>90</v>
      </c>
      <c r="T87" s="8">
        <f>LARGE(E87:M87,5)</f>
        <v>90</v>
      </c>
      <c r="U87" s="11">
        <f>SUM(LARGE(E87:M87, 1), LARGE(E87:M87, 2), LARGE(E87:M87, 3), LARGE(E87:M87, 4), LARGE(E87:M87, 5))</f>
        <v>466</v>
      </c>
      <c r="V87" s="11">
        <f>U87/5</f>
        <v>93.2</v>
      </c>
    </row>
    <row r="88" spans="1:22">
      <c r="A88" s="2">
        <v>86</v>
      </c>
      <c r="B88" s="2" t="s">
        <v>401</v>
      </c>
      <c r="C88" s="13" t="s">
        <v>691</v>
      </c>
      <c r="D88" s="2" t="s">
        <v>17</v>
      </c>
      <c r="E88" s="2">
        <v>87</v>
      </c>
      <c r="F88" s="2"/>
      <c r="G88" s="2"/>
      <c r="H88" s="2">
        <v>93</v>
      </c>
      <c r="I88" s="2">
        <v>86</v>
      </c>
      <c r="J88" s="2">
        <v>94</v>
      </c>
      <c r="K88" s="2">
        <v>94</v>
      </c>
      <c r="L88" s="2"/>
      <c r="M88" s="2">
        <v>98</v>
      </c>
      <c r="N88" s="2">
        <v>552</v>
      </c>
      <c r="O88" s="2">
        <v>92</v>
      </c>
      <c r="P88" s="8">
        <f>LARGE(E88:M88,1)</f>
        <v>98</v>
      </c>
      <c r="Q88" s="8">
        <f>LARGE(E88:M88,2)</f>
        <v>94</v>
      </c>
      <c r="R88" s="8">
        <f>LARGE(E88:M88,3)</f>
        <v>94</v>
      </c>
      <c r="S88" s="8">
        <f>LARGE(E88:M88,4)</f>
        <v>93</v>
      </c>
      <c r="T88" s="8">
        <f>LARGE(E88:M88,5)</f>
        <v>87</v>
      </c>
      <c r="U88" s="11">
        <f>SUM(LARGE(E88:M88, 1), LARGE(E88:M88, 2), LARGE(E88:M88, 3), LARGE(E88:M88, 4), LARGE(E88:M88, 5))</f>
        <v>466</v>
      </c>
      <c r="V88" s="11">
        <f>U88/5</f>
        <v>93.2</v>
      </c>
    </row>
    <row r="89" spans="1:22">
      <c r="A89" s="2">
        <v>87</v>
      </c>
      <c r="B89" s="2" t="s">
        <v>237</v>
      </c>
      <c r="C89" s="12" t="s">
        <v>609</v>
      </c>
      <c r="D89" s="2" t="s">
        <v>22</v>
      </c>
      <c r="E89" s="2">
        <v>88</v>
      </c>
      <c r="F89" s="2"/>
      <c r="G89" s="2"/>
      <c r="H89" s="2">
        <v>87</v>
      </c>
      <c r="I89" s="2">
        <v>89</v>
      </c>
      <c r="J89" s="2">
        <v>95</v>
      </c>
      <c r="K89" s="2">
        <v>96</v>
      </c>
      <c r="L89" s="2"/>
      <c r="M89" s="2">
        <v>97</v>
      </c>
      <c r="N89" s="2">
        <v>552</v>
      </c>
      <c r="O89" s="2">
        <v>92</v>
      </c>
      <c r="P89" s="8">
        <f>LARGE(E89:M89,1)</f>
        <v>97</v>
      </c>
      <c r="Q89" s="8">
        <f>LARGE(E89:M89,2)</f>
        <v>96</v>
      </c>
      <c r="R89" s="8">
        <f>LARGE(E89:M89,3)</f>
        <v>95</v>
      </c>
      <c r="S89" s="8">
        <f>LARGE(E89:M89,4)</f>
        <v>89</v>
      </c>
      <c r="T89" s="8">
        <f>LARGE(E89:M89,5)</f>
        <v>88</v>
      </c>
      <c r="U89" s="11">
        <f>SUM(LARGE(E89:M89, 1), LARGE(E89:M89, 2), LARGE(E89:M89, 3), LARGE(E89:M89, 4), LARGE(E89:M89, 5))</f>
        <v>465</v>
      </c>
      <c r="V89" s="11">
        <f>U89/5</f>
        <v>93</v>
      </c>
    </row>
    <row r="90" spans="1:22">
      <c r="A90" s="2">
        <v>88</v>
      </c>
      <c r="B90" s="2" t="s">
        <v>273</v>
      </c>
      <c r="C90" s="13" t="s">
        <v>627</v>
      </c>
      <c r="D90" s="2" t="s">
        <v>22</v>
      </c>
      <c r="E90" s="2">
        <v>93</v>
      </c>
      <c r="F90" s="2">
        <v>82</v>
      </c>
      <c r="G90" s="2"/>
      <c r="H90" s="2"/>
      <c r="I90" s="2">
        <v>89</v>
      </c>
      <c r="J90" s="2">
        <v>92</v>
      </c>
      <c r="K90" s="2">
        <v>91</v>
      </c>
      <c r="L90" s="2"/>
      <c r="M90" s="2">
        <v>100</v>
      </c>
      <c r="N90" s="2">
        <v>547</v>
      </c>
      <c r="O90" s="2">
        <v>91.17</v>
      </c>
      <c r="P90" s="8">
        <f>LARGE(E90:M90,1)</f>
        <v>100</v>
      </c>
      <c r="Q90" s="8">
        <f>LARGE(E90:M90,2)</f>
        <v>93</v>
      </c>
      <c r="R90" s="8">
        <f>LARGE(E90:M90,3)</f>
        <v>92</v>
      </c>
      <c r="S90" s="8">
        <f>LARGE(E90:M90,4)</f>
        <v>91</v>
      </c>
      <c r="T90" s="8">
        <f>LARGE(E90:M90,5)</f>
        <v>89</v>
      </c>
      <c r="U90" s="11">
        <f>SUM(LARGE(E90:M90, 1), LARGE(E90:M90, 2), LARGE(E90:M90, 3), LARGE(E90:M90, 4), LARGE(E90:M90, 5))</f>
        <v>465</v>
      </c>
      <c r="V90" s="11">
        <f>U90/5</f>
        <v>93</v>
      </c>
    </row>
    <row r="91" spans="1:22">
      <c r="A91" s="2">
        <v>89</v>
      </c>
      <c r="B91" s="2" t="s">
        <v>375</v>
      </c>
      <c r="C91" s="12" t="s">
        <v>678</v>
      </c>
      <c r="D91" s="2" t="s">
        <v>17</v>
      </c>
      <c r="E91" s="2">
        <v>94</v>
      </c>
      <c r="F91" s="2"/>
      <c r="G91" s="2">
        <v>86</v>
      </c>
      <c r="H91" s="2"/>
      <c r="I91" s="2"/>
      <c r="J91" s="2">
        <v>97</v>
      </c>
      <c r="K91" s="2">
        <v>76</v>
      </c>
      <c r="L91" s="2">
        <v>92</v>
      </c>
      <c r="M91" s="2">
        <v>96</v>
      </c>
      <c r="N91" s="2">
        <v>541</v>
      </c>
      <c r="O91" s="2">
        <v>90.17</v>
      </c>
      <c r="P91" s="8">
        <f>LARGE(E91:M91,1)</f>
        <v>97</v>
      </c>
      <c r="Q91" s="8">
        <f>LARGE(E91:M91,2)</f>
        <v>96</v>
      </c>
      <c r="R91" s="8">
        <f>LARGE(E91:M91,3)</f>
        <v>94</v>
      </c>
      <c r="S91" s="8">
        <f>LARGE(E91:M91,4)</f>
        <v>92</v>
      </c>
      <c r="T91" s="8">
        <f>LARGE(E91:M91,5)</f>
        <v>86</v>
      </c>
      <c r="U91" s="11">
        <f>SUM(LARGE(E91:M91, 1), LARGE(E91:M91, 2), LARGE(E91:M91, 3), LARGE(E91:M91, 4), LARGE(E91:M91, 5))</f>
        <v>465</v>
      </c>
      <c r="V91" s="11">
        <f>U91/5</f>
        <v>93</v>
      </c>
    </row>
    <row r="92" spans="1:22">
      <c r="A92" s="2">
        <v>90</v>
      </c>
      <c r="B92" s="2" t="s">
        <v>429</v>
      </c>
      <c r="C92" s="13" t="s">
        <v>705</v>
      </c>
      <c r="D92" s="2" t="s">
        <v>22</v>
      </c>
      <c r="E92" s="2">
        <v>86</v>
      </c>
      <c r="F92" s="2"/>
      <c r="G92" s="2"/>
      <c r="H92" s="2">
        <v>85</v>
      </c>
      <c r="I92" s="2">
        <v>98</v>
      </c>
      <c r="J92" s="2">
        <v>96</v>
      </c>
      <c r="K92" s="2">
        <v>88</v>
      </c>
      <c r="L92" s="2"/>
      <c r="M92" s="2">
        <v>97</v>
      </c>
      <c r="N92" s="2">
        <v>550</v>
      </c>
      <c r="O92" s="2">
        <v>91.67</v>
      </c>
      <c r="P92" s="8">
        <f>LARGE(E92:M92,1)</f>
        <v>98</v>
      </c>
      <c r="Q92" s="8">
        <f>LARGE(E92:M92,2)</f>
        <v>97</v>
      </c>
      <c r="R92" s="8">
        <f>LARGE(E92:M92,3)</f>
        <v>96</v>
      </c>
      <c r="S92" s="8">
        <f>LARGE(E92:M92,4)</f>
        <v>88</v>
      </c>
      <c r="T92" s="8">
        <f>LARGE(E92:M92,5)</f>
        <v>86</v>
      </c>
      <c r="U92" s="11">
        <f>SUM(LARGE(E92:M92, 1), LARGE(E92:M92, 2), LARGE(E92:M92, 3), LARGE(E92:M92, 4), LARGE(E92:M92, 5))</f>
        <v>465</v>
      </c>
      <c r="V92" s="11">
        <f>U92/5</f>
        <v>93</v>
      </c>
    </row>
    <row r="93" spans="1:22">
      <c r="A93" s="2">
        <v>91</v>
      </c>
      <c r="B93" s="2" t="s">
        <v>453</v>
      </c>
      <c r="C93" s="13" t="s">
        <v>717</v>
      </c>
      <c r="D93" s="2" t="s">
        <v>17</v>
      </c>
      <c r="E93" s="2">
        <v>87</v>
      </c>
      <c r="F93" s="2">
        <v>92</v>
      </c>
      <c r="G93" s="2"/>
      <c r="H93" s="2"/>
      <c r="I93" s="2"/>
      <c r="J93" s="2">
        <v>94</v>
      </c>
      <c r="K93" s="2">
        <v>92</v>
      </c>
      <c r="L93" s="2">
        <v>84</v>
      </c>
      <c r="M93" s="2">
        <v>100</v>
      </c>
      <c r="N93" s="2">
        <v>549</v>
      </c>
      <c r="O93" s="2">
        <v>91.5</v>
      </c>
      <c r="P93" s="8">
        <f>LARGE(E93:M93,1)</f>
        <v>100</v>
      </c>
      <c r="Q93" s="8">
        <f>LARGE(E93:M93,2)</f>
        <v>94</v>
      </c>
      <c r="R93" s="8">
        <f>LARGE(E93:M93,3)</f>
        <v>92</v>
      </c>
      <c r="S93" s="8">
        <f>LARGE(E93:M93,4)</f>
        <v>92</v>
      </c>
      <c r="T93" s="8">
        <f>LARGE(E93:M93,5)</f>
        <v>87</v>
      </c>
      <c r="U93" s="11">
        <f>SUM(LARGE(E93:M93, 1), LARGE(E93:M93, 2), LARGE(E93:M93, 3), LARGE(E93:M93, 4), LARGE(E93:M93, 5))</f>
        <v>465</v>
      </c>
      <c r="V93" s="11">
        <f>U93/5</f>
        <v>93</v>
      </c>
    </row>
    <row r="94" spans="1:22">
      <c r="A94" s="2">
        <v>92</v>
      </c>
      <c r="B94" s="2" t="s">
        <v>46</v>
      </c>
      <c r="C94" s="13" t="s">
        <v>514</v>
      </c>
      <c r="D94" s="2" t="s">
        <v>22</v>
      </c>
      <c r="E94" s="2">
        <v>89</v>
      </c>
      <c r="F94" s="2">
        <v>96</v>
      </c>
      <c r="G94" s="2"/>
      <c r="H94" s="2"/>
      <c r="I94" s="2">
        <v>81</v>
      </c>
      <c r="J94" s="2">
        <v>90</v>
      </c>
      <c r="K94" s="2">
        <v>92</v>
      </c>
      <c r="L94" s="2"/>
      <c r="M94" s="2">
        <v>96</v>
      </c>
      <c r="N94" s="2">
        <v>544</v>
      </c>
      <c r="O94" s="2">
        <v>90.67</v>
      </c>
      <c r="P94" s="8">
        <f>LARGE(E94:M94,1)</f>
        <v>96</v>
      </c>
      <c r="Q94" s="8">
        <f>LARGE(E94:M94,2)</f>
        <v>96</v>
      </c>
      <c r="R94" s="8">
        <f>LARGE(E94:M94,3)</f>
        <v>92</v>
      </c>
      <c r="S94" s="8">
        <f>LARGE(E94:M94,4)</f>
        <v>90</v>
      </c>
      <c r="T94" s="8">
        <f>LARGE(E94:M94,5)</f>
        <v>89</v>
      </c>
      <c r="U94" s="11">
        <f>SUM(LARGE(E94:M94, 1), LARGE(E94:M94, 2), LARGE(E94:M94, 3), LARGE(E94:M94, 4), LARGE(E94:M94, 5))</f>
        <v>463</v>
      </c>
      <c r="V94" s="11">
        <f>U94/5</f>
        <v>92.6</v>
      </c>
    </row>
    <row r="95" spans="1:22">
      <c r="A95" s="2">
        <v>93</v>
      </c>
      <c r="B95" s="2" t="s">
        <v>126</v>
      </c>
      <c r="C95" s="12" t="s">
        <v>554</v>
      </c>
      <c r="D95" s="2" t="s">
        <v>17</v>
      </c>
      <c r="E95" s="2">
        <v>87</v>
      </c>
      <c r="F95" s="2"/>
      <c r="G95" s="2">
        <v>92</v>
      </c>
      <c r="H95" s="2"/>
      <c r="I95" s="2"/>
      <c r="J95" s="2">
        <v>91</v>
      </c>
      <c r="K95" s="2">
        <v>92</v>
      </c>
      <c r="L95" s="2">
        <v>90</v>
      </c>
      <c r="M95" s="2">
        <v>98</v>
      </c>
      <c r="N95" s="2">
        <v>550</v>
      </c>
      <c r="O95" s="2">
        <v>91.67</v>
      </c>
      <c r="P95" s="8">
        <f>LARGE(E95:M95,1)</f>
        <v>98</v>
      </c>
      <c r="Q95" s="8">
        <f>LARGE(E95:M95,2)</f>
        <v>92</v>
      </c>
      <c r="R95" s="8">
        <f>LARGE(E95:M95,3)</f>
        <v>92</v>
      </c>
      <c r="S95" s="8">
        <f>LARGE(E95:M95,4)</f>
        <v>91</v>
      </c>
      <c r="T95" s="8">
        <f>LARGE(E95:M95,5)</f>
        <v>90</v>
      </c>
      <c r="U95" s="11">
        <f>SUM(LARGE(E95:M95, 1), LARGE(E95:M95, 2), LARGE(E95:M95, 3), LARGE(E95:M95, 4), LARGE(E95:M95, 5))</f>
        <v>463</v>
      </c>
      <c r="V95" s="11">
        <f>U95/5</f>
        <v>92.6</v>
      </c>
    </row>
    <row r="96" spans="1:22">
      <c r="A96" s="2">
        <v>94</v>
      </c>
      <c r="B96" s="2" t="s">
        <v>261</v>
      </c>
      <c r="C96" s="12" t="s">
        <v>621</v>
      </c>
      <c r="D96" s="2" t="s">
        <v>22</v>
      </c>
      <c r="E96" s="2">
        <v>76</v>
      </c>
      <c r="F96" s="2"/>
      <c r="G96" s="2">
        <v>99</v>
      </c>
      <c r="H96" s="2"/>
      <c r="I96" s="2">
        <v>84</v>
      </c>
      <c r="J96" s="2">
        <v>92</v>
      </c>
      <c r="K96" s="2">
        <v>91</v>
      </c>
      <c r="L96" s="2"/>
      <c r="M96" s="2">
        <v>97</v>
      </c>
      <c r="N96" s="2">
        <v>539</v>
      </c>
      <c r="O96" s="2">
        <v>89.83</v>
      </c>
      <c r="P96" s="8">
        <f>LARGE(E96:M96,1)</f>
        <v>99</v>
      </c>
      <c r="Q96" s="8">
        <f>LARGE(E96:M96,2)</f>
        <v>97</v>
      </c>
      <c r="R96" s="8">
        <f>LARGE(E96:M96,3)</f>
        <v>92</v>
      </c>
      <c r="S96" s="8">
        <f>LARGE(E96:M96,4)</f>
        <v>91</v>
      </c>
      <c r="T96" s="8">
        <f>LARGE(E96:M96,5)</f>
        <v>84</v>
      </c>
      <c r="U96" s="11">
        <f>SUM(LARGE(E96:M96, 1), LARGE(E96:M96, 2), LARGE(E96:M96, 3), LARGE(E96:M96, 4), LARGE(E96:M96, 5))</f>
        <v>463</v>
      </c>
      <c r="V96" s="11">
        <f>U96/5</f>
        <v>92.6</v>
      </c>
    </row>
    <row r="97" spans="1:22">
      <c r="A97" s="2">
        <v>95</v>
      </c>
      <c r="B97" s="2" t="s">
        <v>471</v>
      </c>
      <c r="C97" s="12" t="s">
        <v>726</v>
      </c>
      <c r="D97" s="2" t="s">
        <v>22</v>
      </c>
      <c r="E97" s="2">
        <v>82</v>
      </c>
      <c r="F97" s="2"/>
      <c r="G97" s="2">
        <v>89</v>
      </c>
      <c r="H97" s="2"/>
      <c r="I97" s="2">
        <v>74</v>
      </c>
      <c r="J97" s="2">
        <v>96</v>
      </c>
      <c r="K97" s="2">
        <v>96</v>
      </c>
      <c r="L97" s="2"/>
      <c r="M97" s="2">
        <v>100</v>
      </c>
      <c r="N97" s="2">
        <v>537</v>
      </c>
      <c r="O97" s="2">
        <v>89.5</v>
      </c>
      <c r="P97" s="8">
        <f>LARGE(E97:M97,1)</f>
        <v>100</v>
      </c>
      <c r="Q97" s="8">
        <f>LARGE(E97:M97,2)</f>
        <v>96</v>
      </c>
      <c r="R97" s="8">
        <f>LARGE(E97:M97,3)</f>
        <v>96</v>
      </c>
      <c r="S97" s="8">
        <f>LARGE(E97:M97,4)</f>
        <v>89</v>
      </c>
      <c r="T97" s="8">
        <f>LARGE(E97:M97,5)</f>
        <v>82</v>
      </c>
      <c r="U97" s="11">
        <f>SUM(LARGE(E97:M97, 1), LARGE(E97:M97, 2), LARGE(E97:M97, 3), LARGE(E97:M97, 4), LARGE(E97:M97, 5))</f>
        <v>463</v>
      </c>
      <c r="V97" s="11">
        <f>U97/5</f>
        <v>92.6</v>
      </c>
    </row>
    <row r="98" spans="1:22">
      <c r="A98" s="2">
        <v>96</v>
      </c>
      <c r="B98" s="2" t="s">
        <v>487</v>
      </c>
      <c r="C98" s="13" t="s">
        <v>734</v>
      </c>
      <c r="D98" s="2" t="s">
        <v>17</v>
      </c>
      <c r="E98" s="2">
        <v>88</v>
      </c>
      <c r="F98" s="2">
        <v>90</v>
      </c>
      <c r="G98" s="2"/>
      <c r="H98" s="2"/>
      <c r="I98" s="2">
        <v>65</v>
      </c>
      <c r="J98" s="2">
        <v>91</v>
      </c>
      <c r="K98" s="2">
        <v>95</v>
      </c>
      <c r="L98" s="2"/>
      <c r="M98" s="2">
        <v>99</v>
      </c>
      <c r="N98" s="2">
        <v>528</v>
      </c>
      <c r="O98" s="2">
        <v>88</v>
      </c>
      <c r="P98" s="8">
        <f>LARGE(E98:M98,1)</f>
        <v>99</v>
      </c>
      <c r="Q98" s="8">
        <f>LARGE(E98:M98,2)</f>
        <v>95</v>
      </c>
      <c r="R98" s="8">
        <f>LARGE(E98:M98,3)</f>
        <v>91</v>
      </c>
      <c r="S98" s="8">
        <f>LARGE(E98:M98,4)</f>
        <v>90</v>
      </c>
      <c r="T98" s="8">
        <f>LARGE(E98:M98,5)</f>
        <v>88</v>
      </c>
      <c r="U98" s="11">
        <f>SUM(LARGE(E98:M98, 1), LARGE(E98:M98, 2), LARGE(E98:M98, 3), LARGE(E98:M98, 4), LARGE(E98:M98, 5))</f>
        <v>463</v>
      </c>
      <c r="V98" s="11">
        <f>U98/5</f>
        <v>92.6</v>
      </c>
    </row>
    <row r="99" spans="1:22">
      <c r="A99" s="2">
        <v>97</v>
      </c>
      <c r="B99" s="2" t="s">
        <v>110</v>
      </c>
      <c r="C99" s="12" t="s">
        <v>546</v>
      </c>
      <c r="D99" s="2" t="s">
        <v>17</v>
      </c>
      <c r="E99" s="2">
        <v>92</v>
      </c>
      <c r="F99" s="2"/>
      <c r="G99" s="2">
        <v>96</v>
      </c>
      <c r="H99" s="2"/>
      <c r="I99" s="2"/>
      <c r="J99" s="2">
        <v>83</v>
      </c>
      <c r="K99" s="2">
        <v>93</v>
      </c>
      <c r="L99" s="2">
        <v>75</v>
      </c>
      <c r="M99" s="2">
        <v>98</v>
      </c>
      <c r="N99" s="2">
        <v>537</v>
      </c>
      <c r="O99" s="2">
        <v>89.5</v>
      </c>
      <c r="P99" s="8">
        <f>LARGE(E99:M99,1)</f>
        <v>98</v>
      </c>
      <c r="Q99" s="8">
        <f>LARGE(E99:M99,2)</f>
        <v>96</v>
      </c>
      <c r="R99" s="8">
        <f>LARGE(E99:M99,3)</f>
        <v>93</v>
      </c>
      <c r="S99" s="8">
        <f>LARGE(E99:M99,4)</f>
        <v>92</v>
      </c>
      <c r="T99" s="8">
        <f>LARGE(E99:M99,5)</f>
        <v>83</v>
      </c>
      <c r="U99" s="11">
        <f>SUM(LARGE(E99:M99, 1), LARGE(E99:M99, 2), LARGE(E99:M99, 3), LARGE(E99:M99, 4), LARGE(E99:M99, 5))</f>
        <v>462</v>
      </c>
      <c r="V99" s="11">
        <f>U99/5</f>
        <v>92.4</v>
      </c>
    </row>
    <row r="100" spans="1:22">
      <c r="A100" s="2">
        <v>98</v>
      </c>
      <c r="B100" s="2" t="s">
        <v>191</v>
      </c>
      <c r="C100" s="13" t="s">
        <v>586</v>
      </c>
      <c r="D100" s="2" t="s">
        <v>22</v>
      </c>
      <c r="E100" s="2">
        <v>91</v>
      </c>
      <c r="F100" s="2">
        <v>89</v>
      </c>
      <c r="G100" s="2"/>
      <c r="H100" s="2"/>
      <c r="I100" s="2"/>
      <c r="J100" s="2">
        <v>94</v>
      </c>
      <c r="K100" s="2">
        <v>83</v>
      </c>
      <c r="L100" s="2">
        <v>89</v>
      </c>
      <c r="M100" s="2">
        <v>99</v>
      </c>
      <c r="N100" s="2">
        <v>545</v>
      </c>
      <c r="O100" s="2">
        <v>90.83</v>
      </c>
      <c r="P100" s="8">
        <f>LARGE(E100:M100,1)</f>
        <v>99</v>
      </c>
      <c r="Q100" s="8">
        <f>LARGE(E100:M100,2)</f>
        <v>94</v>
      </c>
      <c r="R100" s="8">
        <f>LARGE(E100:M100,3)</f>
        <v>91</v>
      </c>
      <c r="S100" s="8">
        <f>LARGE(E100:M100,4)</f>
        <v>89</v>
      </c>
      <c r="T100" s="8">
        <f>LARGE(E100:M100,5)</f>
        <v>89</v>
      </c>
      <c r="U100" s="11">
        <f>SUM(LARGE(E100:M100, 1), LARGE(E100:M100, 2), LARGE(E100:M100, 3), LARGE(E100:M100, 4), LARGE(E100:M100, 5))</f>
        <v>462</v>
      </c>
      <c r="V100" s="11">
        <f>U100/5</f>
        <v>92.4</v>
      </c>
    </row>
    <row r="101" spans="1:22">
      <c r="A101" s="2">
        <v>99</v>
      </c>
      <c r="B101" s="2" t="s">
        <v>28</v>
      </c>
      <c r="C101" s="12" t="s">
        <v>505</v>
      </c>
      <c r="D101" s="2" t="s">
        <v>22</v>
      </c>
      <c r="E101" s="2">
        <v>87</v>
      </c>
      <c r="F101" s="2"/>
      <c r="G101" s="2"/>
      <c r="H101" s="2">
        <v>96</v>
      </c>
      <c r="I101" s="2"/>
      <c r="J101" s="2">
        <v>86</v>
      </c>
      <c r="K101" s="2">
        <v>84</v>
      </c>
      <c r="L101" s="2">
        <v>97</v>
      </c>
      <c r="M101" s="2">
        <v>95</v>
      </c>
      <c r="N101" s="2">
        <v>545</v>
      </c>
      <c r="O101" s="2">
        <v>90.83</v>
      </c>
      <c r="P101" s="8">
        <f>LARGE(E101:M101,1)</f>
        <v>97</v>
      </c>
      <c r="Q101" s="8">
        <f>LARGE(E101:M101,2)</f>
        <v>96</v>
      </c>
      <c r="R101" s="8">
        <f>LARGE(E101:M101,3)</f>
        <v>95</v>
      </c>
      <c r="S101" s="8">
        <f>LARGE(E101:M101,4)</f>
        <v>87</v>
      </c>
      <c r="T101" s="8">
        <f>LARGE(E101:M101,5)</f>
        <v>86</v>
      </c>
      <c r="U101" s="11">
        <f>SUM(LARGE(E101:M101, 1), LARGE(E101:M101, 2), LARGE(E101:M101, 3), LARGE(E101:M101, 4), LARGE(E101:M101, 5))</f>
        <v>461</v>
      </c>
      <c r="V101" s="11">
        <f>U101/5</f>
        <v>92.2</v>
      </c>
    </row>
    <row r="102" spans="1:22">
      <c r="A102" s="2">
        <v>100</v>
      </c>
      <c r="B102" s="2" t="s">
        <v>146</v>
      </c>
      <c r="C102" s="12" t="s">
        <v>564</v>
      </c>
      <c r="D102" s="2" t="s">
        <v>17</v>
      </c>
      <c r="E102" s="2">
        <v>93</v>
      </c>
      <c r="F102" s="2"/>
      <c r="G102" s="2"/>
      <c r="H102" s="2">
        <v>90</v>
      </c>
      <c r="I102" s="2">
        <v>69</v>
      </c>
      <c r="J102" s="2">
        <v>86</v>
      </c>
      <c r="K102" s="2">
        <v>92</v>
      </c>
      <c r="L102" s="2"/>
      <c r="M102" s="2">
        <v>100</v>
      </c>
      <c r="N102" s="2">
        <v>530</v>
      </c>
      <c r="O102" s="2">
        <v>88.33</v>
      </c>
      <c r="P102" s="8">
        <f>LARGE(E102:M102,1)</f>
        <v>100</v>
      </c>
      <c r="Q102" s="8">
        <f>LARGE(E102:M102,2)</f>
        <v>93</v>
      </c>
      <c r="R102" s="8">
        <f>LARGE(E102:M102,3)</f>
        <v>92</v>
      </c>
      <c r="S102" s="8">
        <f>LARGE(E102:M102,4)</f>
        <v>90</v>
      </c>
      <c r="T102" s="8">
        <f>LARGE(E102:M102,5)</f>
        <v>86</v>
      </c>
      <c r="U102" s="11">
        <f>SUM(LARGE(E102:M102, 1), LARGE(E102:M102, 2), LARGE(E102:M102, 3), LARGE(E102:M102, 4), LARGE(E102:M102, 5))</f>
        <v>461</v>
      </c>
      <c r="V102" s="11">
        <f>U102/5</f>
        <v>92.2</v>
      </c>
    </row>
    <row r="103" spans="1:22">
      <c r="A103" s="2">
        <v>101</v>
      </c>
      <c r="B103" s="2" t="s">
        <v>148</v>
      </c>
      <c r="C103" s="13" t="s">
        <v>565</v>
      </c>
      <c r="D103" s="2" t="s">
        <v>17</v>
      </c>
      <c r="E103" s="2">
        <v>94</v>
      </c>
      <c r="F103" s="2"/>
      <c r="G103" s="2"/>
      <c r="H103" s="2">
        <v>83</v>
      </c>
      <c r="I103" s="2">
        <v>85</v>
      </c>
      <c r="J103" s="2">
        <v>92</v>
      </c>
      <c r="K103" s="2">
        <v>91</v>
      </c>
      <c r="L103" s="2"/>
      <c r="M103" s="2">
        <v>99</v>
      </c>
      <c r="N103" s="2">
        <v>544</v>
      </c>
      <c r="O103" s="2">
        <v>90.67</v>
      </c>
      <c r="P103" s="8">
        <f>LARGE(E103:M103,1)</f>
        <v>99</v>
      </c>
      <c r="Q103" s="8">
        <f>LARGE(E103:M103,2)</f>
        <v>94</v>
      </c>
      <c r="R103" s="8">
        <f>LARGE(E103:M103,3)</f>
        <v>92</v>
      </c>
      <c r="S103" s="8">
        <f>LARGE(E103:M103,4)</f>
        <v>91</v>
      </c>
      <c r="T103" s="8">
        <f>LARGE(E103:M103,5)</f>
        <v>85</v>
      </c>
      <c r="U103" s="11">
        <f>SUM(LARGE(E103:M103, 1), LARGE(E103:M103, 2), LARGE(E103:M103, 3), LARGE(E103:M103, 4), LARGE(E103:M103, 5))</f>
        <v>461</v>
      </c>
      <c r="V103" s="11">
        <f>U103/5</f>
        <v>92.2</v>
      </c>
    </row>
    <row r="104" spans="1:22">
      <c r="A104" s="2">
        <v>102</v>
      </c>
      <c r="B104" s="2" t="s">
        <v>112</v>
      </c>
      <c r="C104" s="12" t="s">
        <v>547</v>
      </c>
      <c r="D104" s="2" t="s">
        <v>22</v>
      </c>
      <c r="E104" s="2">
        <v>85</v>
      </c>
      <c r="F104" s="2">
        <v>89</v>
      </c>
      <c r="G104" s="2"/>
      <c r="H104" s="2"/>
      <c r="I104" s="2">
        <v>93</v>
      </c>
      <c r="J104" s="2">
        <v>88</v>
      </c>
      <c r="K104" s="2">
        <v>91</v>
      </c>
      <c r="L104" s="2"/>
      <c r="M104" s="2">
        <v>99</v>
      </c>
      <c r="N104" s="2">
        <v>545</v>
      </c>
      <c r="O104" s="2">
        <v>90.83</v>
      </c>
      <c r="P104" s="8">
        <f>LARGE(E104:M104,1)</f>
        <v>99</v>
      </c>
      <c r="Q104" s="8">
        <f>LARGE(E104:M104,2)</f>
        <v>93</v>
      </c>
      <c r="R104" s="8">
        <f>LARGE(E104:M104,3)</f>
        <v>91</v>
      </c>
      <c r="S104" s="8">
        <f>LARGE(E104:M104,4)</f>
        <v>89</v>
      </c>
      <c r="T104" s="8">
        <f>LARGE(E104:M104,5)</f>
        <v>88</v>
      </c>
      <c r="U104" s="11">
        <f>SUM(LARGE(E104:M104, 1), LARGE(E104:M104, 2), LARGE(E104:M104, 3), LARGE(E104:M104, 4), LARGE(E104:M104, 5))</f>
        <v>460</v>
      </c>
      <c r="V104" s="11">
        <f>U104/5</f>
        <v>92</v>
      </c>
    </row>
    <row r="105" spans="1:22">
      <c r="A105" s="2">
        <v>103</v>
      </c>
      <c r="B105" s="2" t="s">
        <v>161</v>
      </c>
      <c r="C105" s="12" t="s">
        <v>571</v>
      </c>
      <c r="D105" s="2" t="s">
        <v>22</v>
      </c>
      <c r="E105" s="2">
        <v>84</v>
      </c>
      <c r="F105" s="2"/>
      <c r="G105" s="2">
        <v>94</v>
      </c>
      <c r="H105" s="2"/>
      <c r="I105" s="2"/>
      <c r="J105" s="2">
        <v>86</v>
      </c>
      <c r="K105" s="2">
        <v>99</v>
      </c>
      <c r="L105" s="2">
        <v>76</v>
      </c>
      <c r="M105" s="2">
        <v>97</v>
      </c>
      <c r="N105" s="2">
        <v>536</v>
      </c>
      <c r="O105" s="2">
        <v>89.33</v>
      </c>
      <c r="P105" s="8">
        <f>LARGE(E105:M105,1)</f>
        <v>99</v>
      </c>
      <c r="Q105" s="8">
        <f>LARGE(E105:M105,2)</f>
        <v>97</v>
      </c>
      <c r="R105" s="8">
        <f>LARGE(E105:M105,3)</f>
        <v>94</v>
      </c>
      <c r="S105" s="8">
        <f>LARGE(E105:M105,4)</f>
        <v>86</v>
      </c>
      <c r="T105" s="8">
        <f>LARGE(E105:M105,5)</f>
        <v>84</v>
      </c>
      <c r="U105" s="11">
        <f>SUM(LARGE(E105:M105, 1), LARGE(E105:M105, 2), LARGE(E105:M105, 3), LARGE(E105:M105, 4), LARGE(E105:M105, 5))</f>
        <v>460</v>
      </c>
      <c r="V105" s="11">
        <f>U105/5</f>
        <v>92</v>
      </c>
    </row>
    <row r="106" spans="1:22">
      <c r="A106" s="2">
        <v>104</v>
      </c>
      <c r="B106" s="2" t="s">
        <v>281</v>
      </c>
      <c r="C106" s="13" t="s">
        <v>631</v>
      </c>
      <c r="D106" s="2" t="s">
        <v>22</v>
      </c>
      <c r="E106" s="2">
        <v>94</v>
      </c>
      <c r="F106" s="2">
        <v>84</v>
      </c>
      <c r="G106" s="2"/>
      <c r="H106" s="2"/>
      <c r="I106" s="2"/>
      <c r="J106" s="2">
        <v>96</v>
      </c>
      <c r="K106" s="2">
        <v>86</v>
      </c>
      <c r="L106" s="2">
        <v>86</v>
      </c>
      <c r="M106" s="2">
        <v>98</v>
      </c>
      <c r="N106" s="2">
        <v>544</v>
      </c>
      <c r="O106" s="2">
        <v>90.67</v>
      </c>
      <c r="P106" s="8">
        <f>LARGE(E106:M106,1)</f>
        <v>98</v>
      </c>
      <c r="Q106" s="8">
        <f>LARGE(E106:M106,2)</f>
        <v>96</v>
      </c>
      <c r="R106" s="8">
        <f>LARGE(E106:M106,3)</f>
        <v>94</v>
      </c>
      <c r="S106" s="8">
        <f>LARGE(E106:M106,4)</f>
        <v>86</v>
      </c>
      <c r="T106" s="8">
        <f>LARGE(E106:M106,5)</f>
        <v>86</v>
      </c>
      <c r="U106" s="11">
        <f>SUM(LARGE(E106:M106, 1), LARGE(E106:M106, 2), LARGE(E106:M106, 3), LARGE(E106:M106, 4), LARGE(E106:M106, 5))</f>
        <v>460</v>
      </c>
      <c r="V106" s="11">
        <f>U106/5</f>
        <v>92</v>
      </c>
    </row>
    <row r="107" spans="1:22">
      <c r="A107" s="2">
        <v>105</v>
      </c>
      <c r="B107" s="2" t="s">
        <v>379</v>
      </c>
      <c r="C107" s="13" t="s">
        <v>680</v>
      </c>
      <c r="D107" s="2" t="s">
        <v>17</v>
      </c>
      <c r="E107" s="2">
        <v>94</v>
      </c>
      <c r="F107" s="2">
        <v>97</v>
      </c>
      <c r="G107" s="2"/>
      <c r="H107" s="2"/>
      <c r="I107" s="2"/>
      <c r="J107" s="2">
        <v>69</v>
      </c>
      <c r="K107" s="2">
        <v>96</v>
      </c>
      <c r="L107" s="2">
        <v>74</v>
      </c>
      <c r="M107" s="2">
        <v>99</v>
      </c>
      <c r="N107" s="2">
        <v>529</v>
      </c>
      <c r="O107" s="2">
        <v>88.17</v>
      </c>
      <c r="P107" s="8">
        <f>LARGE(E107:M107,1)</f>
        <v>99</v>
      </c>
      <c r="Q107" s="8">
        <f>LARGE(E107:M107,2)</f>
        <v>97</v>
      </c>
      <c r="R107" s="8">
        <f>LARGE(E107:M107,3)</f>
        <v>96</v>
      </c>
      <c r="S107" s="8">
        <f>LARGE(E107:M107,4)</f>
        <v>94</v>
      </c>
      <c r="T107" s="8">
        <f>LARGE(E107:M107,5)</f>
        <v>74</v>
      </c>
      <c r="U107" s="11">
        <f>SUM(LARGE(E107:M107, 1), LARGE(E107:M107, 2), LARGE(E107:M107, 3), LARGE(E107:M107, 4), LARGE(E107:M107, 5))</f>
        <v>460</v>
      </c>
      <c r="V107" s="11">
        <f>U107/5</f>
        <v>92</v>
      </c>
    </row>
    <row r="108" spans="1:22">
      <c r="A108" s="2">
        <v>106</v>
      </c>
      <c r="B108" s="2" t="s">
        <v>15</v>
      </c>
      <c r="C108" s="12" t="s">
        <v>501</v>
      </c>
      <c r="D108" s="2" t="s">
        <v>17</v>
      </c>
      <c r="E108" s="2">
        <v>91</v>
      </c>
      <c r="F108" s="2"/>
      <c r="G108" s="2">
        <v>97</v>
      </c>
      <c r="H108" s="2"/>
      <c r="I108" s="2"/>
      <c r="J108" s="2">
        <v>81</v>
      </c>
      <c r="K108" s="2">
        <v>92</v>
      </c>
      <c r="L108" s="2">
        <v>85</v>
      </c>
      <c r="M108" s="2">
        <v>94</v>
      </c>
      <c r="N108" s="2">
        <v>540</v>
      </c>
      <c r="O108" s="2">
        <v>90</v>
      </c>
      <c r="P108" s="8">
        <f>LARGE(E108:M108,1)</f>
        <v>97</v>
      </c>
      <c r="Q108" s="8">
        <f>LARGE(E108:M108,2)</f>
        <v>94</v>
      </c>
      <c r="R108" s="8">
        <f>LARGE(E108:M108,3)</f>
        <v>92</v>
      </c>
      <c r="S108" s="8">
        <f>LARGE(E108:M108,4)</f>
        <v>91</v>
      </c>
      <c r="T108" s="8">
        <f>LARGE(E108:M108,5)</f>
        <v>85</v>
      </c>
      <c r="U108" s="11">
        <f>SUM(LARGE(E108:M108, 1), LARGE(E108:M108, 2), LARGE(E108:M108, 3), LARGE(E108:M108, 4), LARGE(E108:M108, 5))</f>
        <v>459</v>
      </c>
      <c r="V108" s="11">
        <f>U108/5</f>
        <v>91.8</v>
      </c>
    </row>
    <row r="109" spans="1:22">
      <c r="A109" s="2">
        <v>107</v>
      </c>
      <c r="B109" s="2" t="s">
        <v>167</v>
      </c>
      <c r="C109" s="12" t="s">
        <v>574</v>
      </c>
      <c r="D109" s="2" t="s">
        <v>17</v>
      </c>
      <c r="E109" s="2">
        <v>90</v>
      </c>
      <c r="F109" s="2">
        <v>90</v>
      </c>
      <c r="G109" s="2"/>
      <c r="H109" s="2"/>
      <c r="I109" s="2"/>
      <c r="J109" s="2">
        <v>92</v>
      </c>
      <c r="K109" s="2">
        <v>85</v>
      </c>
      <c r="L109" s="2">
        <v>89</v>
      </c>
      <c r="M109" s="2">
        <v>98</v>
      </c>
      <c r="N109" s="2">
        <v>544</v>
      </c>
      <c r="O109" s="2">
        <v>90.67</v>
      </c>
      <c r="P109" s="8">
        <f>LARGE(E109:M109,1)</f>
        <v>98</v>
      </c>
      <c r="Q109" s="8">
        <f>LARGE(E109:M109,2)</f>
        <v>92</v>
      </c>
      <c r="R109" s="8">
        <f>LARGE(E109:M109,3)</f>
        <v>90</v>
      </c>
      <c r="S109" s="8">
        <f>LARGE(E109:M109,4)</f>
        <v>90</v>
      </c>
      <c r="T109" s="8">
        <f>LARGE(E109:M109,5)</f>
        <v>89</v>
      </c>
      <c r="U109" s="11">
        <f>SUM(LARGE(E109:M109, 1), LARGE(E109:M109, 2), LARGE(E109:M109, 3), LARGE(E109:M109, 4), LARGE(E109:M109, 5))</f>
        <v>459</v>
      </c>
      <c r="V109" s="11">
        <f>U109/5</f>
        <v>91.8</v>
      </c>
    </row>
    <row r="110" spans="1:22">
      <c r="A110" s="2">
        <v>108</v>
      </c>
      <c r="B110" s="2" t="s">
        <v>189</v>
      </c>
      <c r="C110" s="13" t="s">
        <v>585</v>
      </c>
      <c r="D110" s="2" t="s">
        <v>22</v>
      </c>
      <c r="E110" s="2">
        <v>87</v>
      </c>
      <c r="F110" s="2">
        <v>90</v>
      </c>
      <c r="G110" s="2"/>
      <c r="H110" s="2"/>
      <c r="I110" s="2">
        <v>94</v>
      </c>
      <c r="J110" s="2">
        <v>81</v>
      </c>
      <c r="K110" s="2">
        <v>91</v>
      </c>
      <c r="L110" s="2"/>
      <c r="M110" s="2">
        <v>97</v>
      </c>
      <c r="N110" s="2">
        <v>540</v>
      </c>
      <c r="O110" s="2">
        <v>90</v>
      </c>
      <c r="P110" s="8">
        <f>LARGE(E110:M110,1)</f>
        <v>97</v>
      </c>
      <c r="Q110" s="8">
        <f>LARGE(E110:M110,2)</f>
        <v>94</v>
      </c>
      <c r="R110" s="8">
        <f>LARGE(E110:M110,3)</f>
        <v>91</v>
      </c>
      <c r="S110" s="8">
        <f>LARGE(E110:M110,4)</f>
        <v>90</v>
      </c>
      <c r="T110" s="8">
        <f>LARGE(E110:M110,5)</f>
        <v>87</v>
      </c>
      <c r="U110" s="11">
        <f>SUM(LARGE(E110:M110, 1), LARGE(E110:M110, 2), LARGE(E110:M110, 3), LARGE(E110:M110, 4), LARGE(E110:M110, 5))</f>
        <v>459</v>
      </c>
      <c r="V110" s="11">
        <f>U110/5</f>
        <v>91.8</v>
      </c>
    </row>
    <row r="111" spans="1:22">
      <c r="A111" s="2">
        <v>109</v>
      </c>
      <c r="B111" s="2" t="s">
        <v>199</v>
      </c>
      <c r="C111" s="13" t="s">
        <v>590</v>
      </c>
      <c r="D111" s="2" t="s">
        <v>22</v>
      </c>
      <c r="E111" s="2">
        <v>92</v>
      </c>
      <c r="F111" s="2">
        <v>76</v>
      </c>
      <c r="G111" s="2"/>
      <c r="H111" s="2"/>
      <c r="I111" s="2"/>
      <c r="J111" s="2">
        <v>89</v>
      </c>
      <c r="K111" s="2">
        <v>92</v>
      </c>
      <c r="L111" s="2">
        <v>88</v>
      </c>
      <c r="M111" s="2">
        <v>98</v>
      </c>
      <c r="N111" s="2">
        <v>535</v>
      </c>
      <c r="O111" s="2">
        <v>89.17</v>
      </c>
      <c r="P111" s="8">
        <f>LARGE(E111:M111,1)</f>
        <v>98</v>
      </c>
      <c r="Q111" s="8">
        <f>LARGE(E111:M111,2)</f>
        <v>92</v>
      </c>
      <c r="R111" s="8">
        <f>LARGE(E111:M111,3)</f>
        <v>92</v>
      </c>
      <c r="S111" s="8">
        <f>LARGE(E111:M111,4)</f>
        <v>89</v>
      </c>
      <c r="T111" s="8">
        <f>LARGE(E111:M111,5)</f>
        <v>88</v>
      </c>
      <c r="U111" s="11">
        <f>SUM(LARGE(E111:M111, 1), LARGE(E111:M111, 2), LARGE(E111:M111, 3), LARGE(E111:M111, 4), LARGE(E111:M111, 5))</f>
        <v>459</v>
      </c>
      <c r="V111" s="11">
        <f>U111/5</f>
        <v>91.8</v>
      </c>
    </row>
    <row r="112" spans="1:22">
      <c r="A112" s="2">
        <v>110</v>
      </c>
      <c r="B112" s="2" t="s">
        <v>213</v>
      </c>
      <c r="C112" s="13" t="s">
        <v>597</v>
      </c>
      <c r="D112" s="2" t="s">
        <v>22</v>
      </c>
      <c r="E112" s="2">
        <v>85</v>
      </c>
      <c r="F112" s="2">
        <v>93</v>
      </c>
      <c r="G112" s="2"/>
      <c r="H112" s="2"/>
      <c r="I112" s="2">
        <v>64</v>
      </c>
      <c r="J112" s="2">
        <v>88</v>
      </c>
      <c r="K112" s="2">
        <v>95</v>
      </c>
      <c r="L112" s="2"/>
      <c r="M112" s="2">
        <v>98</v>
      </c>
      <c r="N112" s="2">
        <v>523</v>
      </c>
      <c r="O112" s="2">
        <v>87.17</v>
      </c>
      <c r="P112" s="8">
        <f>LARGE(E112:M112,1)</f>
        <v>98</v>
      </c>
      <c r="Q112" s="8">
        <f>LARGE(E112:M112,2)</f>
        <v>95</v>
      </c>
      <c r="R112" s="8">
        <f>LARGE(E112:M112,3)</f>
        <v>93</v>
      </c>
      <c r="S112" s="8">
        <f>LARGE(E112:M112,4)</f>
        <v>88</v>
      </c>
      <c r="T112" s="8">
        <f>LARGE(E112:M112,5)</f>
        <v>85</v>
      </c>
      <c r="U112" s="11">
        <f>SUM(LARGE(E112:M112, 1), LARGE(E112:M112, 2), LARGE(E112:M112, 3), LARGE(E112:M112, 4), LARGE(E112:M112, 5))</f>
        <v>459</v>
      </c>
      <c r="V112" s="11">
        <f>U112/5</f>
        <v>91.8</v>
      </c>
    </row>
    <row r="113" spans="1:22">
      <c r="A113" s="2">
        <v>111</v>
      </c>
      <c r="B113" s="2" t="s">
        <v>44</v>
      </c>
      <c r="C113" s="13" t="s">
        <v>513</v>
      </c>
      <c r="D113" s="2" t="s">
        <v>22</v>
      </c>
      <c r="E113" s="2">
        <v>94</v>
      </c>
      <c r="F113" s="2">
        <v>95</v>
      </c>
      <c r="G113" s="2"/>
      <c r="H113" s="2"/>
      <c r="I113" s="2"/>
      <c r="J113" s="2">
        <v>74</v>
      </c>
      <c r="K113" s="2">
        <v>98</v>
      </c>
      <c r="L113" s="2">
        <v>69</v>
      </c>
      <c r="M113" s="2">
        <v>97</v>
      </c>
      <c r="N113" s="2">
        <v>527</v>
      </c>
      <c r="O113" s="2">
        <v>87.83</v>
      </c>
      <c r="P113" s="8">
        <f>LARGE(E113:M113,1)</f>
        <v>98</v>
      </c>
      <c r="Q113" s="8">
        <f>LARGE(E113:M113,2)</f>
        <v>97</v>
      </c>
      <c r="R113" s="8">
        <f>LARGE(E113:M113,3)</f>
        <v>95</v>
      </c>
      <c r="S113" s="8">
        <f>LARGE(E113:M113,4)</f>
        <v>94</v>
      </c>
      <c r="T113" s="8">
        <f>LARGE(E113:M113,5)</f>
        <v>74</v>
      </c>
      <c r="U113" s="11">
        <f>SUM(LARGE(E113:M113, 1), LARGE(E113:M113, 2), LARGE(E113:M113, 3), LARGE(E113:M113, 4), LARGE(E113:M113, 5))</f>
        <v>458</v>
      </c>
      <c r="V113" s="11">
        <f>U113/5</f>
        <v>91.6</v>
      </c>
    </row>
    <row r="114" spans="1:22">
      <c r="A114" s="2">
        <v>112</v>
      </c>
      <c r="B114" s="2" t="s">
        <v>301</v>
      </c>
      <c r="C114" s="13" t="s">
        <v>641</v>
      </c>
      <c r="D114" s="2" t="s">
        <v>22</v>
      </c>
      <c r="E114" s="2">
        <v>98</v>
      </c>
      <c r="F114" s="2"/>
      <c r="G114" s="2">
        <v>90</v>
      </c>
      <c r="H114" s="2"/>
      <c r="I114" s="2">
        <v>89</v>
      </c>
      <c r="J114" s="2">
        <v>79</v>
      </c>
      <c r="K114" s="2">
        <v>82</v>
      </c>
      <c r="L114" s="2"/>
      <c r="M114" s="2">
        <v>99</v>
      </c>
      <c r="N114" s="2">
        <v>537</v>
      </c>
      <c r="O114" s="2">
        <v>89.5</v>
      </c>
      <c r="P114" s="8">
        <f>LARGE(E114:M114,1)</f>
        <v>99</v>
      </c>
      <c r="Q114" s="8">
        <f>LARGE(E114:M114,2)</f>
        <v>98</v>
      </c>
      <c r="R114" s="8">
        <f>LARGE(E114:M114,3)</f>
        <v>90</v>
      </c>
      <c r="S114" s="8">
        <f>LARGE(E114:M114,4)</f>
        <v>89</v>
      </c>
      <c r="T114" s="8">
        <f>LARGE(E114:M114,5)</f>
        <v>82</v>
      </c>
      <c r="U114" s="11">
        <f>SUM(LARGE(E114:M114, 1), LARGE(E114:M114, 2), LARGE(E114:M114, 3), LARGE(E114:M114, 4), LARGE(E114:M114, 5))</f>
        <v>458</v>
      </c>
      <c r="V114" s="11">
        <f>U114/5</f>
        <v>91.6</v>
      </c>
    </row>
    <row r="115" spans="1:22">
      <c r="A115" s="2">
        <v>113</v>
      </c>
      <c r="B115" s="2" t="s">
        <v>50</v>
      </c>
      <c r="C115" s="12" t="s">
        <v>516</v>
      </c>
      <c r="D115" s="2" t="s">
        <v>17</v>
      </c>
      <c r="E115" s="2">
        <v>94</v>
      </c>
      <c r="F115" s="2"/>
      <c r="G115" s="2">
        <v>99</v>
      </c>
      <c r="H115" s="2"/>
      <c r="I115" s="2"/>
      <c r="J115" s="2">
        <v>76</v>
      </c>
      <c r="K115" s="2">
        <v>88</v>
      </c>
      <c r="L115" s="2">
        <v>72</v>
      </c>
      <c r="M115" s="2">
        <v>99</v>
      </c>
      <c r="N115" s="2">
        <v>528</v>
      </c>
      <c r="O115" s="2">
        <v>88</v>
      </c>
      <c r="P115" s="8">
        <f>LARGE(E115:M115,1)</f>
        <v>99</v>
      </c>
      <c r="Q115" s="8">
        <f>LARGE(E115:M115,2)</f>
        <v>99</v>
      </c>
      <c r="R115" s="8">
        <f>LARGE(E115:M115,3)</f>
        <v>94</v>
      </c>
      <c r="S115" s="8">
        <f>LARGE(E115:M115,4)</f>
        <v>88</v>
      </c>
      <c r="T115" s="8">
        <f>LARGE(E115:M115,5)</f>
        <v>76</v>
      </c>
      <c r="U115" s="11">
        <f>SUM(LARGE(E115:M115, 1), LARGE(E115:M115, 2), LARGE(E115:M115, 3), LARGE(E115:M115, 4), LARGE(E115:M115, 5))</f>
        <v>456</v>
      </c>
      <c r="V115" s="11">
        <f>U115/5</f>
        <v>91.2</v>
      </c>
    </row>
    <row r="116" spans="1:22">
      <c r="A116" s="2">
        <v>114</v>
      </c>
      <c r="B116" s="2" t="s">
        <v>299</v>
      </c>
      <c r="C116" s="13" t="s">
        <v>640</v>
      </c>
      <c r="D116" s="2" t="s">
        <v>22</v>
      </c>
      <c r="E116" s="2">
        <v>85</v>
      </c>
      <c r="F116" s="2">
        <v>76</v>
      </c>
      <c r="G116" s="2"/>
      <c r="H116" s="2"/>
      <c r="I116" s="2">
        <v>94</v>
      </c>
      <c r="J116" s="2">
        <v>95</v>
      </c>
      <c r="K116" s="2">
        <v>85</v>
      </c>
      <c r="L116" s="2"/>
      <c r="M116" s="2">
        <v>97</v>
      </c>
      <c r="N116" s="2">
        <v>532</v>
      </c>
      <c r="O116" s="2">
        <v>88.67</v>
      </c>
      <c r="P116" s="8">
        <f>LARGE(E116:M116,1)</f>
        <v>97</v>
      </c>
      <c r="Q116" s="8">
        <f>LARGE(E116:M116,2)</f>
        <v>95</v>
      </c>
      <c r="R116" s="8">
        <f>LARGE(E116:M116,3)</f>
        <v>94</v>
      </c>
      <c r="S116" s="8">
        <f>LARGE(E116:M116,4)</f>
        <v>85</v>
      </c>
      <c r="T116" s="8">
        <f>LARGE(E116:M116,5)</f>
        <v>85</v>
      </c>
      <c r="U116" s="11">
        <f>SUM(LARGE(E116:M116, 1), LARGE(E116:M116, 2), LARGE(E116:M116, 3), LARGE(E116:M116, 4), LARGE(E116:M116, 5))</f>
        <v>456</v>
      </c>
      <c r="V116" s="11">
        <f>U116/5</f>
        <v>91.2</v>
      </c>
    </row>
    <row r="117" spans="1:22">
      <c r="A117" s="2">
        <v>115</v>
      </c>
      <c r="B117" s="2" t="s">
        <v>463</v>
      </c>
      <c r="C117" s="12" t="s">
        <v>722</v>
      </c>
      <c r="D117" s="2" t="s">
        <v>22</v>
      </c>
      <c r="E117" s="2">
        <v>82</v>
      </c>
      <c r="F117" s="2">
        <v>85</v>
      </c>
      <c r="G117" s="2"/>
      <c r="H117" s="2"/>
      <c r="I117" s="2">
        <v>75</v>
      </c>
      <c r="J117" s="2">
        <v>91</v>
      </c>
      <c r="K117" s="2">
        <v>98</v>
      </c>
      <c r="L117" s="2"/>
      <c r="M117" s="2">
        <v>100</v>
      </c>
      <c r="N117" s="2">
        <v>531</v>
      </c>
      <c r="O117" s="2">
        <v>88.5</v>
      </c>
      <c r="P117" s="8">
        <f>LARGE(E117:M117,1)</f>
        <v>100</v>
      </c>
      <c r="Q117" s="8">
        <f>LARGE(E117:M117,2)</f>
        <v>98</v>
      </c>
      <c r="R117" s="8">
        <f>LARGE(E117:M117,3)</f>
        <v>91</v>
      </c>
      <c r="S117" s="8">
        <f>LARGE(E117:M117,4)</f>
        <v>85</v>
      </c>
      <c r="T117" s="8">
        <f>LARGE(E117:M117,5)</f>
        <v>82</v>
      </c>
      <c r="U117" s="11">
        <f>SUM(LARGE(E117:M117, 1), LARGE(E117:M117, 2), LARGE(E117:M117, 3), LARGE(E117:M117, 4), LARGE(E117:M117, 5))</f>
        <v>456</v>
      </c>
      <c r="V117" s="11">
        <f>U117/5</f>
        <v>91.2</v>
      </c>
    </row>
    <row r="118" spans="1:22">
      <c r="A118" s="2">
        <v>116</v>
      </c>
      <c r="B118" s="2" t="s">
        <v>76</v>
      </c>
      <c r="C118" s="13" t="s">
        <v>529</v>
      </c>
      <c r="D118" s="2" t="s">
        <v>22</v>
      </c>
      <c r="E118" s="2">
        <v>95</v>
      </c>
      <c r="F118" s="2"/>
      <c r="G118" s="2">
        <v>87</v>
      </c>
      <c r="H118" s="2"/>
      <c r="I118" s="2">
        <v>89</v>
      </c>
      <c r="J118" s="2">
        <v>84</v>
      </c>
      <c r="K118" s="2">
        <v>75</v>
      </c>
      <c r="L118" s="2"/>
      <c r="M118" s="2">
        <v>99</v>
      </c>
      <c r="N118" s="2">
        <v>529</v>
      </c>
      <c r="O118" s="2">
        <v>88.17</v>
      </c>
      <c r="P118" s="8">
        <f>LARGE(E118:M118,1)</f>
        <v>99</v>
      </c>
      <c r="Q118" s="8">
        <f>LARGE(E118:M118,2)</f>
        <v>95</v>
      </c>
      <c r="R118" s="8">
        <f>LARGE(E118:M118,3)</f>
        <v>89</v>
      </c>
      <c r="S118" s="8">
        <f>LARGE(E118:M118,4)</f>
        <v>87</v>
      </c>
      <c r="T118" s="8">
        <f>LARGE(E118:M118,5)</f>
        <v>84</v>
      </c>
      <c r="U118" s="11">
        <f>SUM(LARGE(E118:M118, 1), LARGE(E118:M118, 2), LARGE(E118:M118, 3), LARGE(E118:M118, 4), LARGE(E118:M118, 5))</f>
        <v>454</v>
      </c>
      <c r="V118" s="11">
        <f>U118/5</f>
        <v>90.8</v>
      </c>
    </row>
    <row r="119" spans="1:22">
      <c r="A119" s="2">
        <v>117</v>
      </c>
      <c r="B119" s="2" t="s">
        <v>136</v>
      </c>
      <c r="C119" s="13" t="s">
        <v>559</v>
      </c>
      <c r="D119" s="2" t="s">
        <v>22</v>
      </c>
      <c r="E119" s="2">
        <v>83</v>
      </c>
      <c r="F119" s="2"/>
      <c r="G119" s="2">
        <v>92</v>
      </c>
      <c r="H119" s="2"/>
      <c r="I119" s="2">
        <v>95</v>
      </c>
      <c r="J119" s="2">
        <v>82</v>
      </c>
      <c r="K119" s="2">
        <v>86</v>
      </c>
      <c r="L119" s="2"/>
      <c r="M119" s="2">
        <v>98</v>
      </c>
      <c r="N119" s="2">
        <v>536</v>
      </c>
      <c r="O119" s="2">
        <v>89.33</v>
      </c>
      <c r="P119" s="8">
        <f>LARGE(E119:M119,1)</f>
        <v>98</v>
      </c>
      <c r="Q119" s="8">
        <f>LARGE(E119:M119,2)</f>
        <v>95</v>
      </c>
      <c r="R119" s="8">
        <f>LARGE(E119:M119,3)</f>
        <v>92</v>
      </c>
      <c r="S119" s="8">
        <f>LARGE(E119:M119,4)</f>
        <v>86</v>
      </c>
      <c r="T119" s="8">
        <f>LARGE(E119:M119,5)</f>
        <v>83</v>
      </c>
      <c r="U119" s="11">
        <f>SUM(LARGE(E119:M119, 1), LARGE(E119:M119, 2), LARGE(E119:M119, 3), LARGE(E119:M119, 4), LARGE(E119:M119, 5))</f>
        <v>454</v>
      </c>
      <c r="V119" s="11">
        <f>U119/5</f>
        <v>90.8</v>
      </c>
    </row>
    <row r="120" spans="1:22">
      <c r="A120" s="2">
        <v>118</v>
      </c>
      <c r="B120" s="2" t="s">
        <v>140</v>
      </c>
      <c r="C120" s="12" t="s">
        <v>561</v>
      </c>
      <c r="D120" s="2" t="s">
        <v>22</v>
      </c>
      <c r="E120" s="2">
        <v>88</v>
      </c>
      <c r="F120" s="2"/>
      <c r="G120" s="2"/>
      <c r="H120" s="2">
        <v>68</v>
      </c>
      <c r="I120" s="2"/>
      <c r="J120" s="2">
        <v>83</v>
      </c>
      <c r="K120" s="2">
        <v>95</v>
      </c>
      <c r="L120" s="2">
        <v>91</v>
      </c>
      <c r="M120" s="2">
        <v>95</v>
      </c>
      <c r="N120" s="2">
        <v>520</v>
      </c>
      <c r="O120" s="2">
        <v>86.67</v>
      </c>
      <c r="P120" s="8">
        <f>LARGE(E120:M120,1)</f>
        <v>95</v>
      </c>
      <c r="Q120" s="8">
        <f>LARGE(E120:M120,2)</f>
        <v>95</v>
      </c>
      <c r="R120" s="8">
        <f>LARGE(E120:M120,3)</f>
        <v>91</v>
      </c>
      <c r="S120" s="8">
        <f>LARGE(E120:M120,4)</f>
        <v>88</v>
      </c>
      <c r="T120" s="8">
        <f>LARGE(E120:M120,5)</f>
        <v>83</v>
      </c>
      <c r="U120" s="11">
        <f>SUM(LARGE(E120:M120, 1), LARGE(E120:M120, 2), LARGE(E120:M120, 3), LARGE(E120:M120, 4), LARGE(E120:M120, 5))</f>
        <v>452</v>
      </c>
      <c r="V120" s="11">
        <f>U120/5</f>
        <v>90.4</v>
      </c>
    </row>
    <row r="121" spans="1:22">
      <c r="A121" s="2">
        <v>119</v>
      </c>
      <c r="B121" s="2" t="s">
        <v>403</v>
      </c>
      <c r="C121" s="12" t="s">
        <v>692</v>
      </c>
      <c r="D121" s="2" t="s">
        <v>22</v>
      </c>
      <c r="E121" s="2">
        <v>96</v>
      </c>
      <c r="F121" s="2"/>
      <c r="G121" s="2">
        <v>90</v>
      </c>
      <c r="H121" s="2"/>
      <c r="I121" s="2">
        <v>64</v>
      </c>
      <c r="J121" s="2">
        <v>80</v>
      </c>
      <c r="K121" s="2">
        <v>94</v>
      </c>
      <c r="L121" s="2"/>
      <c r="M121" s="2">
        <v>92</v>
      </c>
      <c r="N121" s="2">
        <v>516</v>
      </c>
      <c r="O121" s="2">
        <v>86</v>
      </c>
      <c r="P121" s="8">
        <f>LARGE(E121:M121,1)</f>
        <v>96</v>
      </c>
      <c r="Q121" s="8">
        <f>LARGE(E121:M121,2)</f>
        <v>94</v>
      </c>
      <c r="R121" s="8">
        <f>LARGE(E121:M121,3)</f>
        <v>92</v>
      </c>
      <c r="S121" s="8">
        <f>LARGE(E121:M121,4)</f>
        <v>90</v>
      </c>
      <c r="T121" s="8">
        <f>LARGE(E121:M121,5)</f>
        <v>80</v>
      </c>
      <c r="U121" s="11">
        <f>SUM(LARGE(E121:M121, 1), LARGE(E121:M121, 2), LARGE(E121:M121, 3), LARGE(E121:M121, 4), LARGE(E121:M121, 5))</f>
        <v>452</v>
      </c>
      <c r="V121" s="11">
        <f>U121/5</f>
        <v>90.4</v>
      </c>
    </row>
    <row r="122" spans="1:22">
      <c r="A122" s="2">
        <v>120</v>
      </c>
      <c r="B122" s="2" t="s">
        <v>309</v>
      </c>
      <c r="C122" s="12" t="s">
        <v>645</v>
      </c>
      <c r="D122" s="2" t="s">
        <v>17</v>
      </c>
      <c r="E122" s="2">
        <v>85</v>
      </c>
      <c r="F122" s="2"/>
      <c r="G122" s="2">
        <v>89</v>
      </c>
      <c r="H122" s="2"/>
      <c r="I122" s="2">
        <v>80</v>
      </c>
      <c r="J122" s="2">
        <v>89</v>
      </c>
      <c r="K122" s="2">
        <v>92</v>
      </c>
      <c r="L122" s="2"/>
      <c r="M122" s="2">
        <v>96</v>
      </c>
      <c r="N122" s="2">
        <v>531</v>
      </c>
      <c r="O122" s="2">
        <v>88.5</v>
      </c>
      <c r="P122" s="8">
        <f>LARGE(E122:M122,1)</f>
        <v>96</v>
      </c>
      <c r="Q122" s="8">
        <f>LARGE(E122:M122,2)</f>
        <v>92</v>
      </c>
      <c r="R122" s="8">
        <f>LARGE(E122:M122,3)</f>
        <v>89</v>
      </c>
      <c r="S122" s="8">
        <f>LARGE(E122:M122,4)</f>
        <v>89</v>
      </c>
      <c r="T122" s="8">
        <f>LARGE(E122:M122,5)</f>
        <v>85</v>
      </c>
      <c r="U122" s="11">
        <f>SUM(LARGE(E122:M122, 1), LARGE(E122:M122, 2), LARGE(E122:M122, 3), LARGE(E122:M122, 4), LARGE(E122:M122, 5))</f>
        <v>451</v>
      </c>
      <c r="V122" s="11">
        <f>U122/5</f>
        <v>90.2</v>
      </c>
    </row>
    <row r="123" spans="1:22">
      <c r="A123" s="2">
        <v>121</v>
      </c>
      <c r="B123" s="2" t="s">
        <v>435</v>
      </c>
      <c r="C123" s="12" t="s">
        <v>708</v>
      </c>
      <c r="D123" s="2" t="s">
        <v>22</v>
      </c>
      <c r="E123" s="2">
        <v>85</v>
      </c>
      <c r="F123" s="2"/>
      <c r="G123" s="2">
        <v>85</v>
      </c>
      <c r="H123" s="2"/>
      <c r="I123" s="2">
        <v>64</v>
      </c>
      <c r="J123" s="2">
        <v>90</v>
      </c>
      <c r="K123" s="2">
        <v>91</v>
      </c>
      <c r="L123" s="2"/>
      <c r="M123" s="2">
        <v>100</v>
      </c>
      <c r="N123" s="2">
        <v>515</v>
      </c>
      <c r="O123" s="2">
        <v>85.83</v>
      </c>
      <c r="P123" s="8">
        <f>LARGE(E123:M123,1)</f>
        <v>100</v>
      </c>
      <c r="Q123" s="8">
        <f>LARGE(E123:M123,2)</f>
        <v>91</v>
      </c>
      <c r="R123" s="8">
        <f>LARGE(E123:M123,3)</f>
        <v>90</v>
      </c>
      <c r="S123" s="8">
        <f>LARGE(E123:M123,4)</f>
        <v>85</v>
      </c>
      <c r="T123" s="8">
        <f>LARGE(E123:M123,5)</f>
        <v>85</v>
      </c>
      <c r="U123" s="11">
        <f>SUM(LARGE(E123:M123, 1), LARGE(E123:M123, 2), LARGE(E123:M123, 3), LARGE(E123:M123, 4), LARGE(E123:M123, 5))</f>
        <v>451</v>
      </c>
      <c r="V123" s="11">
        <f>U123/5</f>
        <v>90.2</v>
      </c>
    </row>
    <row r="124" spans="1:22">
      <c r="A124" s="2">
        <v>122</v>
      </c>
      <c r="B124" s="2" t="s">
        <v>179</v>
      </c>
      <c r="C124" s="12" t="s">
        <v>580</v>
      </c>
      <c r="D124" s="2" t="s">
        <v>17</v>
      </c>
      <c r="E124" s="2">
        <v>97</v>
      </c>
      <c r="F124" s="2"/>
      <c r="G124" s="2">
        <v>94</v>
      </c>
      <c r="H124" s="2"/>
      <c r="I124" s="2">
        <v>63</v>
      </c>
      <c r="J124" s="2">
        <v>70</v>
      </c>
      <c r="K124" s="2">
        <v>93</v>
      </c>
      <c r="L124" s="2"/>
      <c r="M124" s="2">
        <v>96</v>
      </c>
      <c r="N124" s="2">
        <v>513</v>
      </c>
      <c r="O124" s="2">
        <v>85.5</v>
      </c>
      <c r="P124" s="8">
        <f>LARGE(E124:M124,1)</f>
        <v>97</v>
      </c>
      <c r="Q124" s="8">
        <f>LARGE(E124:M124,2)</f>
        <v>96</v>
      </c>
      <c r="R124" s="8">
        <f>LARGE(E124:M124,3)</f>
        <v>94</v>
      </c>
      <c r="S124" s="8">
        <f>LARGE(E124:M124,4)</f>
        <v>93</v>
      </c>
      <c r="T124" s="8">
        <f>LARGE(E124:M124,5)</f>
        <v>70</v>
      </c>
      <c r="U124" s="11">
        <f>SUM(LARGE(E124:M124, 1), LARGE(E124:M124, 2), LARGE(E124:M124, 3), LARGE(E124:M124, 4), LARGE(E124:M124, 5))</f>
        <v>450</v>
      </c>
      <c r="V124" s="11">
        <f>U124/5</f>
        <v>90</v>
      </c>
    </row>
    <row r="125" spans="1:22">
      <c r="A125" s="2">
        <v>123</v>
      </c>
      <c r="B125" s="2" t="s">
        <v>235</v>
      </c>
      <c r="C125" s="13" t="s">
        <v>608</v>
      </c>
      <c r="D125" s="2" t="s">
        <v>22</v>
      </c>
      <c r="E125" s="2">
        <v>90</v>
      </c>
      <c r="F125" s="2">
        <v>90</v>
      </c>
      <c r="G125" s="2"/>
      <c r="H125" s="2"/>
      <c r="I125" s="2">
        <v>96</v>
      </c>
      <c r="J125" s="2">
        <v>71</v>
      </c>
      <c r="K125" s="2">
        <v>81</v>
      </c>
      <c r="L125" s="2"/>
      <c r="M125" s="2">
        <v>93</v>
      </c>
      <c r="N125" s="2">
        <v>521</v>
      </c>
      <c r="O125" s="2">
        <v>86.83</v>
      </c>
      <c r="P125" s="8">
        <f>LARGE(E125:M125,1)</f>
        <v>96</v>
      </c>
      <c r="Q125" s="8">
        <f>LARGE(E125:M125,2)</f>
        <v>93</v>
      </c>
      <c r="R125" s="8">
        <f>LARGE(E125:M125,3)</f>
        <v>90</v>
      </c>
      <c r="S125" s="8">
        <f>LARGE(E125:M125,4)</f>
        <v>90</v>
      </c>
      <c r="T125" s="8">
        <f>LARGE(E125:M125,5)</f>
        <v>81</v>
      </c>
      <c r="U125" s="11">
        <f>SUM(LARGE(E125:M125, 1), LARGE(E125:M125, 2), LARGE(E125:M125, 3), LARGE(E125:M125, 4), LARGE(E125:M125, 5))</f>
        <v>450</v>
      </c>
      <c r="V125" s="11">
        <f>U125/5</f>
        <v>90</v>
      </c>
    </row>
    <row r="126" spans="1:22">
      <c r="A126" s="2">
        <v>124</v>
      </c>
      <c r="B126" s="2" t="s">
        <v>385</v>
      </c>
      <c r="C126" s="12" t="s">
        <v>683</v>
      </c>
      <c r="D126" s="2" t="s">
        <v>17</v>
      </c>
      <c r="E126" s="2">
        <v>92</v>
      </c>
      <c r="F126" s="2"/>
      <c r="G126" s="2"/>
      <c r="H126" s="2">
        <v>92</v>
      </c>
      <c r="I126" s="2">
        <v>72</v>
      </c>
      <c r="J126" s="2">
        <v>85</v>
      </c>
      <c r="K126" s="2">
        <v>84</v>
      </c>
      <c r="L126" s="2"/>
      <c r="M126" s="2">
        <v>97</v>
      </c>
      <c r="N126" s="2">
        <v>522</v>
      </c>
      <c r="O126" s="2">
        <v>87</v>
      </c>
      <c r="P126" s="8">
        <f>LARGE(E126:M126,1)</f>
        <v>97</v>
      </c>
      <c r="Q126" s="8">
        <f>LARGE(E126:M126,2)</f>
        <v>92</v>
      </c>
      <c r="R126" s="8">
        <f>LARGE(E126:M126,3)</f>
        <v>92</v>
      </c>
      <c r="S126" s="8">
        <f>LARGE(E126:M126,4)</f>
        <v>85</v>
      </c>
      <c r="T126" s="8">
        <f>LARGE(E126:M126,5)</f>
        <v>84</v>
      </c>
      <c r="U126" s="11">
        <f>SUM(LARGE(E126:M126, 1), LARGE(E126:M126, 2), LARGE(E126:M126, 3), LARGE(E126:M126, 4), LARGE(E126:M126, 5))</f>
        <v>450</v>
      </c>
      <c r="V126" s="11">
        <f>U126/5</f>
        <v>90</v>
      </c>
    </row>
    <row r="127" spans="1:22">
      <c r="A127" s="2">
        <v>125</v>
      </c>
      <c r="B127" s="2" t="s">
        <v>90</v>
      </c>
      <c r="C127" s="12" t="s">
        <v>536</v>
      </c>
      <c r="D127" s="2" t="s">
        <v>17</v>
      </c>
      <c r="E127" s="2">
        <v>89</v>
      </c>
      <c r="F127" s="2"/>
      <c r="G127" s="2">
        <v>92</v>
      </c>
      <c r="H127" s="2"/>
      <c r="I127" s="2">
        <v>78</v>
      </c>
      <c r="J127" s="2">
        <v>70</v>
      </c>
      <c r="K127" s="2">
        <v>92</v>
      </c>
      <c r="L127" s="2"/>
      <c r="M127" s="2">
        <v>98</v>
      </c>
      <c r="N127" s="2">
        <v>519</v>
      </c>
      <c r="O127" s="2">
        <v>86.5</v>
      </c>
      <c r="P127" s="8">
        <f>LARGE(E127:M127,1)</f>
        <v>98</v>
      </c>
      <c r="Q127" s="8">
        <f>LARGE(E127:M127,2)</f>
        <v>92</v>
      </c>
      <c r="R127" s="8">
        <f>LARGE(E127:M127,3)</f>
        <v>92</v>
      </c>
      <c r="S127" s="8">
        <f>LARGE(E127:M127,4)</f>
        <v>89</v>
      </c>
      <c r="T127" s="8">
        <f>LARGE(E127:M127,5)</f>
        <v>78</v>
      </c>
      <c r="U127" s="11">
        <f>SUM(LARGE(E127:M127, 1), LARGE(E127:M127, 2), LARGE(E127:M127, 3), LARGE(E127:M127, 4), LARGE(E127:M127, 5))</f>
        <v>449</v>
      </c>
      <c r="V127" s="11">
        <f>U127/5</f>
        <v>89.8</v>
      </c>
    </row>
    <row r="128" spans="1:22">
      <c r="A128" s="2">
        <v>126</v>
      </c>
      <c r="B128" s="2" t="s">
        <v>303</v>
      </c>
      <c r="C128" s="12" t="s">
        <v>642</v>
      </c>
      <c r="D128" s="2" t="s">
        <v>22</v>
      </c>
      <c r="E128" s="2">
        <v>85</v>
      </c>
      <c r="F128" s="2"/>
      <c r="G128" s="2">
        <v>88</v>
      </c>
      <c r="H128" s="2"/>
      <c r="I128" s="2">
        <v>75</v>
      </c>
      <c r="J128" s="2">
        <v>90</v>
      </c>
      <c r="K128" s="2">
        <v>90</v>
      </c>
      <c r="L128" s="2"/>
      <c r="M128" s="2">
        <v>96</v>
      </c>
      <c r="N128" s="2">
        <v>524</v>
      </c>
      <c r="O128" s="2">
        <v>87.33</v>
      </c>
      <c r="P128" s="8">
        <f>LARGE(E128:M128,1)</f>
        <v>96</v>
      </c>
      <c r="Q128" s="8">
        <f>LARGE(E128:M128,2)</f>
        <v>90</v>
      </c>
      <c r="R128" s="8">
        <f>LARGE(E128:M128,3)</f>
        <v>90</v>
      </c>
      <c r="S128" s="8">
        <f>LARGE(E128:M128,4)</f>
        <v>88</v>
      </c>
      <c r="T128" s="8">
        <f>LARGE(E128:M128,5)</f>
        <v>85</v>
      </c>
      <c r="U128" s="11">
        <f>SUM(LARGE(E128:M128, 1), LARGE(E128:M128, 2), LARGE(E128:M128, 3), LARGE(E128:M128, 4), LARGE(E128:M128, 5))</f>
        <v>449</v>
      </c>
      <c r="V128" s="11">
        <f>U128/5</f>
        <v>89.8</v>
      </c>
    </row>
    <row r="129" spans="1:22">
      <c r="A129" s="2">
        <v>127</v>
      </c>
      <c r="B129" s="2" t="s">
        <v>359</v>
      </c>
      <c r="C129" s="12" t="s">
        <v>670</v>
      </c>
      <c r="D129" s="2" t="s">
        <v>17</v>
      </c>
      <c r="E129" s="2">
        <v>90</v>
      </c>
      <c r="F129" s="2"/>
      <c r="G129" s="2">
        <v>82</v>
      </c>
      <c r="H129" s="2"/>
      <c r="I129" s="2">
        <v>74</v>
      </c>
      <c r="J129" s="2">
        <v>90</v>
      </c>
      <c r="K129" s="2">
        <v>88</v>
      </c>
      <c r="L129" s="2"/>
      <c r="M129" s="2">
        <v>99</v>
      </c>
      <c r="N129" s="2">
        <v>523</v>
      </c>
      <c r="O129" s="2">
        <v>87.17</v>
      </c>
      <c r="P129" s="8">
        <f>LARGE(E129:M129,1)</f>
        <v>99</v>
      </c>
      <c r="Q129" s="8">
        <f>LARGE(E129:M129,2)</f>
        <v>90</v>
      </c>
      <c r="R129" s="8">
        <f>LARGE(E129:M129,3)</f>
        <v>90</v>
      </c>
      <c r="S129" s="8">
        <f>LARGE(E129:M129,4)</f>
        <v>88</v>
      </c>
      <c r="T129" s="8">
        <f>LARGE(E129:M129,5)</f>
        <v>82</v>
      </c>
      <c r="U129" s="11">
        <f>SUM(LARGE(E129:M129, 1), LARGE(E129:M129, 2), LARGE(E129:M129, 3), LARGE(E129:M129, 4), LARGE(E129:M129, 5))</f>
        <v>449</v>
      </c>
      <c r="V129" s="11">
        <f>U129/5</f>
        <v>89.8</v>
      </c>
    </row>
    <row r="130" spans="1:22">
      <c r="A130" s="2">
        <v>128</v>
      </c>
      <c r="B130" s="2" t="s">
        <v>201</v>
      </c>
      <c r="C130" s="12" t="s">
        <v>591</v>
      </c>
      <c r="D130" s="2" t="s">
        <v>22</v>
      </c>
      <c r="E130" s="2">
        <v>82</v>
      </c>
      <c r="F130" s="2">
        <v>92</v>
      </c>
      <c r="G130" s="2"/>
      <c r="H130" s="2"/>
      <c r="I130" s="2">
        <v>66</v>
      </c>
      <c r="J130" s="2">
        <v>87</v>
      </c>
      <c r="K130" s="2">
        <v>90</v>
      </c>
      <c r="L130" s="2"/>
      <c r="M130" s="2">
        <v>96</v>
      </c>
      <c r="N130" s="2">
        <v>513</v>
      </c>
      <c r="O130" s="2">
        <v>85.5</v>
      </c>
      <c r="P130" s="8">
        <f>LARGE(E130:M130,1)</f>
        <v>96</v>
      </c>
      <c r="Q130" s="8">
        <f>LARGE(E130:M130,2)</f>
        <v>92</v>
      </c>
      <c r="R130" s="8">
        <f>LARGE(E130:M130,3)</f>
        <v>90</v>
      </c>
      <c r="S130" s="8">
        <f>LARGE(E130:M130,4)</f>
        <v>87</v>
      </c>
      <c r="T130" s="8">
        <f>LARGE(E130:M130,5)</f>
        <v>82</v>
      </c>
      <c r="U130" s="11">
        <f>SUM(LARGE(E130:M130, 1), LARGE(E130:M130, 2), LARGE(E130:M130, 3), LARGE(E130:M130, 4), LARGE(E130:M130, 5))</f>
        <v>447</v>
      </c>
      <c r="V130" s="11">
        <f>U130/5</f>
        <v>89.4</v>
      </c>
    </row>
    <row r="131" spans="1:22">
      <c r="A131" s="2">
        <v>129</v>
      </c>
      <c r="B131" s="2" t="s">
        <v>223</v>
      </c>
      <c r="C131" s="12" t="s">
        <v>602</v>
      </c>
      <c r="D131" s="2" t="s">
        <v>22</v>
      </c>
      <c r="E131" s="2">
        <v>92</v>
      </c>
      <c r="F131" s="2">
        <v>94</v>
      </c>
      <c r="G131" s="2"/>
      <c r="H131" s="2"/>
      <c r="I131" s="2"/>
      <c r="J131" s="2">
        <v>80</v>
      </c>
      <c r="K131" s="2">
        <v>85</v>
      </c>
      <c r="L131" s="2">
        <v>66</v>
      </c>
      <c r="M131" s="2">
        <v>96</v>
      </c>
      <c r="N131" s="2">
        <v>513</v>
      </c>
      <c r="O131" s="2">
        <v>85.5</v>
      </c>
      <c r="P131" s="8">
        <f>LARGE(E131:M131,1)</f>
        <v>96</v>
      </c>
      <c r="Q131" s="8">
        <f>LARGE(E131:M131,2)</f>
        <v>94</v>
      </c>
      <c r="R131" s="8">
        <f>LARGE(E131:M131,3)</f>
        <v>92</v>
      </c>
      <c r="S131" s="8">
        <f>LARGE(E131:M131,4)</f>
        <v>85</v>
      </c>
      <c r="T131" s="8">
        <f>LARGE(E131:M131,5)</f>
        <v>80</v>
      </c>
      <c r="U131" s="11">
        <f>SUM(LARGE(E131:M131, 1), LARGE(E131:M131, 2), LARGE(E131:M131, 3), LARGE(E131:M131, 4), LARGE(E131:M131, 5))</f>
        <v>447</v>
      </c>
      <c r="V131" s="11">
        <f>U131/5</f>
        <v>89.4</v>
      </c>
    </row>
    <row r="132" spans="1:22">
      <c r="A132" s="2">
        <v>130</v>
      </c>
      <c r="B132" s="2" t="s">
        <v>52</v>
      </c>
      <c r="C132" s="12" t="s">
        <v>517</v>
      </c>
      <c r="D132" s="2" t="s">
        <v>22</v>
      </c>
      <c r="E132" s="2">
        <v>90</v>
      </c>
      <c r="F132" s="2"/>
      <c r="G132" s="2"/>
      <c r="H132" s="2">
        <v>75</v>
      </c>
      <c r="I132" s="2">
        <v>72</v>
      </c>
      <c r="J132" s="2">
        <v>90</v>
      </c>
      <c r="K132" s="2">
        <v>93</v>
      </c>
      <c r="L132" s="2"/>
      <c r="M132" s="2">
        <v>98</v>
      </c>
      <c r="N132" s="2">
        <v>518</v>
      </c>
      <c r="O132" s="2">
        <v>86.33</v>
      </c>
      <c r="P132" s="8">
        <f>LARGE(E132:M132,1)</f>
        <v>98</v>
      </c>
      <c r="Q132" s="8">
        <f>LARGE(E132:M132,2)</f>
        <v>93</v>
      </c>
      <c r="R132" s="8">
        <f>LARGE(E132:M132,3)</f>
        <v>90</v>
      </c>
      <c r="S132" s="8">
        <f>LARGE(E132:M132,4)</f>
        <v>90</v>
      </c>
      <c r="T132" s="8">
        <f>LARGE(E132:M132,5)</f>
        <v>75</v>
      </c>
      <c r="U132" s="11">
        <f>SUM(LARGE(E132:M132, 1), LARGE(E132:M132, 2), LARGE(E132:M132, 3), LARGE(E132:M132, 4), LARGE(E132:M132, 5))</f>
        <v>446</v>
      </c>
      <c r="V132" s="11">
        <f>U132/5</f>
        <v>89.2</v>
      </c>
    </row>
    <row r="133" spans="1:22">
      <c r="A133" s="2">
        <v>131</v>
      </c>
      <c r="B133" s="2" t="s">
        <v>160</v>
      </c>
      <c r="C133" s="13" t="s">
        <v>570</v>
      </c>
      <c r="D133" s="2" t="s">
        <v>22</v>
      </c>
      <c r="E133" s="2">
        <v>88</v>
      </c>
      <c r="F133" s="2"/>
      <c r="G133" s="2">
        <v>94</v>
      </c>
      <c r="H133" s="2"/>
      <c r="I133" s="2">
        <v>81</v>
      </c>
      <c r="J133" s="2">
        <v>76</v>
      </c>
      <c r="K133" s="2">
        <v>87</v>
      </c>
      <c r="L133" s="2"/>
      <c r="M133" s="2">
        <v>96</v>
      </c>
      <c r="N133" s="2">
        <v>522</v>
      </c>
      <c r="O133" s="2">
        <v>87</v>
      </c>
      <c r="P133" s="8">
        <f>LARGE(E133:M133,1)</f>
        <v>96</v>
      </c>
      <c r="Q133" s="8">
        <f>LARGE(E133:M133,2)</f>
        <v>94</v>
      </c>
      <c r="R133" s="8">
        <f>LARGE(E133:M133,3)</f>
        <v>88</v>
      </c>
      <c r="S133" s="8">
        <f>LARGE(E133:M133,4)</f>
        <v>87</v>
      </c>
      <c r="T133" s="8">
        <f>LARGE(E133:M133,5)</f>
        <v>81</v>
      </c>
      <c r="U133" s="11">
        <f>SUM(LARGE(E133:M133, 1), LARGE(E133:M133, 2), LARGE(E133:M133, 3), LARGE(E133:M133, 4), LARGE(E133:M133, 5))</f>
        <v>446</v>
      </c>
      <c r="V133" s="11">
        <f>U133/5</f>
        <v>89.2</v>
      </c>
    </row>
    <row r="134" spans="1:22">
      <c r="A134" s="2">
        <v>132</v>
      </c>
      <c r="B134" s="2" t="s">
        <v>321</v>
      </c>
      <c r="C134" s="12" t="s">
        <v>651</v>
      </c>
      <c r="D134" s="2" t="s">
        <v>22</v>
      </c>
      <c r="E134" s="2">
        <v>86</v>
      </c>
      <c r="F134" s="2"/>
      <c r="G134" s="2">
        <v>93</v>
      </c>
      <c r="H134" s="2"/>
      <c r="I134" s="2">
        <v>69</v>
      </c>
      <c r="J134" s="2">
        <v>89</v>
      </c>
      <c r="K134" s="2">
        <v>88</v>
      </c>
      <c r="L134" s="2"/>
      <c r="M134" s="2">
        <v>90</v>
      </c>
      <c r="N134" s="2">
        <v>515</v>
      </c>
      <c r="O134" s="2">
        <v>85.83</v>
      </c>
      <c r="P134" s="8">
        <f>LARGE(E134:M134,1)</f>
        <v>93</v>
      </c>
      <c r="Q134" s="8">
        <f>LARGE(E134:M134,2)</f>
        <v>90</v>
      </c>
      <c r="R134" s="8">
        <f>LARGE(E134:M134,3)</f>
        <v>89</v>
      </c>
      <c r="S134" s="8">
        <f>LARGE(E134:M134,4)</f>
        <v>88</v>
      </c>
      <c r="T134" s="8">
        <f>LARGE(E134:M134,5)</f>
        <v>86</v>
      </c>
      <c r="U134" s="11">
        <f>SUM(LARGE(E134:M134, 1), LARGE(E134:M134, 2), LARGE(E134:M134, 3), LARGE(E134:M134, 4), LARGE(E134:M134, 5))</f>
        <v>446</v>
      </c>
      <c r="V134" s="11">
        <f>U134/5</f>
        <v>89.2</v>
      </c>
    </row>
    <row r="135" spans="1:22">
      <c r="A135" s="2">
        <v>133</v>
      </c>
      <c r="B135" s="2" t="s">
        <v>331</v>
      </c>
      <c r="C135" s="12" t="s">
        <v>656</v>
      </c>
      <c r="D135" s="2" t="s">
        <v>22</v>
      </c>
      <c r="E135" s="2">
        <v>90</v>
      </c>
      <c r="F135" s="2"/>
      <c r="G135" s="2">
        <v>96</v>
      </c>
      <c r="H135" s="2"/>
      <c r="I135" s="2">
        <v>70</v>
      </c>
      <c r="J135" s="2">
        <v>80</v>
      </c>
      <c r="K135" s="2">
        <v>84</v>
      </c>
      <c r="L135" s="2"/>
      <c r="M135" s="2">
        <v>96</v>
      </c>
      <c r="N135" s="2">
        <v>516</v>
      </c>
      <c r="O135" s="2">
        <v>86</v>
      </c>
      <c r="P135" s="8">
        <f>LARGE(E135:M135,1)</f>
        <v>96</v>
      </c>
      <c r="Q135" s="8">
        <f>LARGE(E135:M135,2)</f>
        <v>96</v>
      </c>
      <c r="R135" s="8">
        <f>LARGE(E135:M135,3)</f>
        <v>90</v>
      </c>
      <c r="S135" s="8">
        <f>LARGE(E135:M135,4)</f>
        <v>84</v>
      </c>
      <c r="T135" s="8">
        <f>LARGE(E135:M135,5)</f>
        <v>80</v>
      </c>
      <c r="U135" s="11">
        <f>SUM(LARGE(E135:M135, 1), LARGE(E135:M135, 2), LARGE(E135:M135, 3), LARGE(E135:M135, 4), LARGE(E135:M135, 5))</f>
        <v>446</v>
      </c>
      <c r="V135" s="11">
        <f>U135/5</f>
        <v>89.2</v>
      </c>
    </row>
    <row r="136" spans="1:22">
      <c r="A136" s="2">
        <v>134</v>
      </c>
      <c r="B136" s="2" t="s">
        <v>383</v>
      </c>
      <c r="C136" s="12" t="s">
        <v>682</v>
      </c>
      <c r="D136" s="2" t="s">
        <v>22</v>
      </c>
      <c r="E136" s="2">
        <v>79</v>
      </c>
      <c r="F136" s="2"/>
      <c r="G136" s="2">
        <v>95</v>
      </c>
      <c r="H136" s="2"/>
      <c r="I136" s="2">
        <v>75</v>
      </c>
      <c r="J136" s="2">
        <v>84</v>
      </c>
      <c r="K136" s="2">
        <v>92</v>
      </c>
      <c r="L136" s="2"/>
      <c r="M136" s="2">
        <v>96</v>
      </c>
      <c r="N136" s="2">
        <v>521</v>
      </c>
      <c r="O136" s="2">
        <v>86.83</v>
      </c>
      <c r="P136" s="8">
        <f>LARGE(E136:M136,1)</f>
        <v>96</v>
      </c>
      <c r="Q136" s="8">
        <f>LARGE(E136:M136,2)</f>
        <v>95</v>
      </c>
      <c r="R136" s="8">
        <f>LARGE(E136:M136,3)</f>
        <v>92</v>
      </c>
      <c r="S136" s="8">
        <f>LARGE(E136:M136,4)</f>
        <v>84</v>
      </c>
      <c r="T136" s="8">
        <f>LARGE(E136:M136,5)</f>
        <v>79</v>
      </c>
      <c r="U136" s="11">
        <f>SUM(LARGE(E136:M136, 1), LARGE(E136:M136, 2), LARGE(E136:M136, 3), LARGE(E136:M136, 4), LARGE(E136:M136, 5))</f>
        <v>446</v>
      </c>
      <c r="V136" s="11">
        <f>U136/5</f>
        <v>89.2</v>
      </c>
    </row>
    <row r="137" spans="1:22">
      <c r="A137" s="2">
        <v>135</v>
      </c>
      <c r="B137" s="2" t="s">
        <v>431</v>
      </c>
      <c r="C137" s="13" t="s">
        <v>706</v>
      </c>
      <c r="D137" s="2" t="s">
        <v>22</v>
      </c>
      <c r="E137" s="2">
        <v>92</v>
      </c>
      <c r="F137" s="2">
        <v>86</v>
      </c>
      <c r="G137" s="2"/>
      <c r="H137" s="2"/>
      <c r="I137" s="2">
        <v>86</v>
      </c>
      <c r="J137" s="2">
        <v>88</v>
      </c>
      <c r="K137" s="2">
        <v>75</v>
      </c>
      <c r="L137" s="2"/>
      <c r="M137" s="2">
        <v>93</v>
      </c>
      <c r="N137" s="2">
        <v>520</v>
      </c>
      <c r="O137" s="2">
        <v>86.67</v>
      </c>
      <c r="P137" s="8">
        <f>LARGE(E137:M137,1)</f>
        <v>93</v>
      </c>
      <c r="Q137" s="8">
        <f>LARGE(E137:M137,2)</f>
        <v>92</v>
      </c>
      <c r="R137" s="8">
        <f>LARGE(E137:M137,3)</f>
        <v>88</v>
      </c>
      <c r="S137" s="8">
        <f>LARGE(E137:M137,4)</f>
        <v>86</v>
      </c>
      <c r="T137" s="8">
        <f>LARGE(E137:M137,5)</f>
        <v>86</v>
      </c>
      <c r="U137" s="11">
        <f>SUM(LARGE(E137:M137, 1), LARGE(E137:M137, 2), LARGE(E137:M137, 3), LARGE(E137:M137, 4), LARGE(E137:M137, 5))</f>
        <v>445</v>
      </c>
      <c r="V137" s="11">
        <f>U137/5</f>
        <v>89</v>
      </c>
    </row>
    <row r="138" spans="1:22">
      <c r="A138" s="2">
        <v>136</v>
      </c>
      <c r="B138" s="2" t="s">
        <v>152</v>
      </c>
      <c r="C138" s="12" t="s">
        <v>567</v>
      </c>
      <c r="D138" s="2" t="s">
        <v>17</v>
      </c>
      <c r="E138" s="2">
        <v>95</v>
      </c>
      <c r="F138" s="2"/>
      <c r="G138" s="2">
        <v>96</v>
      </c>
      <c r="H138" s="2"/>
      <c r="I138" s="2">
        <v>61</v>
      </c>
      <c r="J138" s="2">
        <v>64</v>
      </c>
      <c r="K138" s="2">
        <v>91</v>
      </c>
      <c r="L138" s="2"/>
      <c r="M138" s="2">
        <v>98</v>
      </c>
      <c r="N138" s="2">
        <v>505</v>
      </c>
      <c r="O138" s="2">
        <v>84.17</v>
      </c>
      <c r="P138" s="8">
        <f>LARGE(E138:M138,1)</f>
        <v>98</v>
      </c>
      <c r="Q138" s="8">
        <f>LARGE(E138:M138,2)</f>
        <v>96</v>
      </c>
      <c r="R138" s="8">
        <f>LARGE(E138:M138,3)</f>
        <v>95</v>
      </c>
      <c r="S138" s="8">
        <f>LARGE(E138:M138,4)</f>
        <v>91</v>
      </c>
      <c r="T138" s="8">
        <f>LARGE(E138:M138,5)</f>
        <v>64</v>
      </c>
      <c r="U138" s="11">
        <f>SUM(LARGE(E138:M138, 1), LARGE(E138:M138, 2), LARGE(E138:M138, 3), LARGE(E138:M138, 4), LARGE(E138:M138, 5))</f>
        <v>444</v>
      </c>
      <c r="V138" s="11">
        <f>U138/5</f>
        <v>88.8</v>
      </c>
    </row>
    <row r="139" spans="1:22">
      <c r="A139" s="2">
        <v>137</v>
      </c>
      <c r="B139" s="2" t="s">
        <v>275</v>
      </c>
      <c r="C139" s="13" t="s">
        <v>628</v>
      </c>
      <c r="D139" s="2" t="s">
        <v>22</v>
      </c>
      <c r="E139" s="2">
        <v>81</v>
      </c>
      <c r="F139" s="2">
        <v>86</v>
      </c>
      <c r="G139" s="2"/>
      <c r="H139" s="2"/>
      <c r="I139" s="2"/>
      <c r="J139" s="2">
        <v>80</v>
      </c>
      <c r="K139" s="2">
        <v>88</v>
      </c>
      <c r="L139" s="2">
        <v>94</v>
      </c>
      <c r="M139" s="2">
        <v>95</v>
      </c>
      <c r="N139" s="2">
        <v>524</v>
      </c>
      <c r="O139" s="2">
        <v>87.33</v>
      </c>
      <c r="P139" s="8">
        <f>LARGE(E139:M139,1)</f>
        <v>95</v>
      </c>
      <c r="Q139" s="8">
        <f>LARGE(E139:M139,2)</f>
        <v>94</v>
      </c>
      <c r="R139" s="8">
        <f>LARGE(E139:M139,3)</f>
        <v>88</v>
      </c>
      <c r="S139" s="8">
        <f>LARGE(E139:M139,4)</f>
        <v>86</v>
      </c>
      <c r="T139" s="8">
        <f>LARGE(E139:M139,5)</f>
        <v>81</v>
      </c>
      <c r="U139" s="11">
        <f>SUM(LARGE(E139:M139, 1), LARGE(E139:M139, 2), LARGE(E139:M139, 3), LARGE(E139:M139, 4), LARGE(E139:M139, 5))</f>
        <v>444</v>
      </c>
      <c r="V139" s="11">
        <f>U139/5</f>
        <v>88.8</v>
      </c>
    </row>
    <row r="140" spans="1:22">
      <c r="A140" s="2">
        <v>138</v>
      </c>
      <c r="B140" s="2" t="s">
        <v>423</v>
      </c>
      <c r="C140" s="12" t="s">
        <v>702</v>
      </c>
      <c r="D140" s="2" t="s">
        <v>17</v>
      </c>
      <c r="E140" s="2">
        <v>83</v>
      </c>
      <c r="F140" s="2"/>
      <c r="G140" s="2"/>
      <c r="H140" s="2">
        <v>91</v>
      </c>
      <c r="I140" s="2">
        <v>85</v>
      </c>
      <c r="J140" s="2">
        <v>87</v>
      </c>
      <c r="K140" s="2">
        <v>84</v>
      </c>
      <c r="L140" s="2"/>
      <c r="M140" s="2">
        <v>97</v>
      </c>
      <c r="N140" s="2">
        <v>527</v>
      </c>
      <c r="O140" s="2">
        <v>87.83</v>
      </c>
      <c r="P140" s="8">
        <f>LARGE(E140:M140,1)</f>
        <v>97</v>
      </c>
      <c r="Q140" s="8">
        <f>LARGE(E140:M140,2)</f>
        <v>91</v>
      </c>
      <c r="R140" s="8">
        <f>LARGE(E140:M140,3)</f>
        <v>87</v>
      </c>
      <c r="S140" s="8">
        <f>LARGE(E140:M140,4)</f>
        <v>85</v>
      </c>
      <c r="T140" s="8">
        <f>LARGE(E140:M140,5)</f>
        <v>84</v>
      </c>
      <c r="U140" s="11">
        <f>SUM(LARGE(E140:M140, 1), LARGE(E140:M140, 2), LARGE(E140:M140, 3), LARGE(E140:M140, 4), LARGE(E140:M140, 5))</f>
        <v>444</v>
      </c>
      <c r="V140" s="11">
        <f>U140/5</f>
        <v>88.8</v>
      </c>
    </row>
    <row r="141" spans="1:22">
      <c r="A141" s="2">
        <v>139</v>
      </c>
      <c r="B141" s="2" t="s">
        <v>94</v>
      </c>
      <c r="C141" s="13" t="s">
        <v>538</v>
      </c>
      <c r="D141" s="2" t="s">
        <v>22</v>
      </c>
      <c r="E141" s="2">
        <v>87</v>
      </c>
      <c r="F141" s="2">
        <v>76</v>
      </c>
      <c r="G141" s="2"/>
      <c r="H141" s="2"/>
      <c r="I141" s="2">
        <v>82</v>
      </c>
      <c r="J141" s="2">
        <v>85</v>
      </c>
      <c r="K141" s="2">
        <v>92</v>
      </c>
      <c r="L141" s="2"/>
      <c r="M141" s="2">
        <v>96</v>
      </c>
      <c r="N141" s="2">
        <v>518</v>
      </c>
      <c r="O141" s="2">
        <v>86.33</v>
      </c>
      <c r="P141" s="8">
        <f>LARGE(E141:M141,1)</f>
        <v>96</v>
      </c>
      <c r="Q141" s="8">
        <f>LARGE(E141:M141,2)</f>
        <v>92</v>
      </c>
      <c r="R141" s="8">
        <f>LARGE(E141:M141,3)</f>
        <v>87</v>
      </c>
      <c r="S141" s="8">
        <f>LARGE(E141:M141,4)</f>
        <v>85</v>
      </c>
      <c r="T141" s="8">
        <f>LARGE(E141:M141,5)</f>
        <v>82</v>
      </c>
      <c r="U141" s="11">
        <f>SUM(LARGE(E141:M141, 1), LARGE(E141:M141, 2), LARGE(E141:M141, 3), LARGE(E141:M141, 4), LARGE(E141:M141, 5))</f>
        <v>442</v>
      </c>
      <c r="V141" s="11">
        <f>U141/5</f>
        <v>88.4</v>
      </c>
    </row>
    <row r="142" spans="1:22">
      <c r="A142" s="2">
        <v>140</v>
      </c>
      <c r="B142" s="2" t="s">
        <v>461</v>
      </c>
      <c r="C142" s="12" t="s">
        <v>721</v>
      </c>
      <c r="D142" s="2" t="s">
        <v>22</v>
      </c>
      <c r="E142" s="2">
        <v>77</v>
      </c>
      <c r="F142" s="2">
        <v>90</v>
      </c>
      <c r="G142" s="2"/>
      <c r="H142" s="2"/>
      <c r="I142" s="2"/>
      <c r="J142" s="2">
        <v>84</v>
      </c>
      <c r="K142" s="2">
        <v>83</v>
      </c>
      <c r="L142" s="2">
        <v>87</v>
      </c>
      <c r="M142" s="2">
        <v>98</v>
      </c>
      <c r="N142" s="2">
        <v>519</v>
      </c>
      <c r="O142" s="2">
        <v>86.5</v>
      </c>
      <c r="P142" s="8">
        <f>LARGE(E142:M142,1)</f>
        <v>98</v>
      </c>
      <c r="Q142" s="8">
        <f>LARGE(E142:M142,2)</f>
        <v>90</v>
      </c>
      <c r="R142" s="8">
        <f>LARGE(E142:M142,3)</f>
        <v>87</v>
      </c>
      <c r="S142" s="8">
        <f>LARGE(E142:M142,4)</f>
        <v>84</v>
      </c>
      <c r="T142" s="8">
        <f>LARGE(E142:M142,5)</f>
        <v>83</v>
      </c>
      <c r="U142" s="11">
        <f>SUM(LARGE(E142:M142, 1), LARGE(E142:M142, 2), LARGE(E142:M142, 3), LARGE(E142:M142, 4), LARGE(E142:M142, 5))</f>
        <v>442</v>
      </c>
      <c r="V142" s="11">
        <f>U142/5</f>
        <v>88.4</v>
      </c>
    </row>
    <row r="143" spans="1:22">
      <c r="A143" s="2">
        <v>141</v>
      </c>
      <c r="B143" s="2" t="s">
        <v>100</v>
      </c>
      <c r="C143" s="12" t="s">
        <v>541</v>
      </c>
      <c r="D143" s="2" t="s">
        <v>22</v>
      </c>
      <c r="E143" s="2">
        <v>86</v>
      </c>
      <c r="F143" s="2"/>
      <c r="G143" s="2">
        <v>98</v>
      </c>
      <c r="H143" s="2"/>
      <c r="I143" s="2">
        <v>83</v>
      </c>
      <c r="J143" s="2">
        <v>70</v>
      </c>
      <c r="K143" s="2">
        <v>77</v>
      </c>
      <c r="L143" s="2"/>
      <c r="M143" s="2">
        <v>97</v>
      </c>
      <c r="N143" s="2">
        <v>511</v>
      </c>
      <c r="O143" s="2">
        <v>85.17</v>
      </c>
      <c r="P143" s="8">
        <f>LARGE(E143:M143,1)</f>
        <v>98</v>
      </c>
      <c r="Q143" s="8">
        <f>LARGE(E143:M143,2)</f>
        <v>97</v>
      </c>
      <c r="R143" s="8">
        <f>LARGE(E143:M143,3)</f>
        <v>86</v>
      </c>
      <c r="S143" s="8">
        <f>LARGE(E143:M143,4)</f>
        <v>83</v>
      </c>
      <c r="T143" s="8">
        <f>LARGE(E143:M143,5)</f>
        <v>77</v>
      </c>
      <c r="U143" s="11">
        <f>SUM(LARGE(E143:M143, 1), LARGE(E143:M143, 2), LARGE(E143:M143, 3), LARGE(E143:M143, 4), LARGE(E143:M143, 5))</f>
        <v>441</v>
      </c>
      <c r="V143" s="11">
        <f>U143/5</f>
        <v>88.2</v>
      </c>
    </row>
    <row r="144" spans="1:22">
      <c r="A144" s="2">
        <v>142</v>
      </c>
      <c r="B144" s="2" t="s">
        <v>120</v>
      </c>
      <c r="C144" s="12" t="s">
        <v>551</v>
      </c>
      <c r="D144" s="2" t="s">
        <v>22</v>
      </c>
      <c r="E144" s="2">
        <v>88</v>
      </c>
      <c r="F144" s="2"/>
      <c r="G144" s="2">
        <v>87</v>
      </c>
      <c r="H144" s="2"/>
      <c r="I144" s="2"/>
      <c r="J144" s="2">
        <v>75</v>
      </c>
      <c r="K144" s="2">
        <v>84</v>
      </c>
      <c r="L144" s="2">
        <v>90</v>
      </c>
      <c r="M144" s="2">
        <v>92</v>
      </c>
      <c r="N144" s="2">
        <v>516</v>
      </c>
      <c r="O144" s="2">
        <v>86</v>
      </c>
      <c r="P144" s="8">
        <f>LARGE(E144:M144,1)</f>
        <v>92</v>
      </c>
      <c r="Q144" s="8">
        <f>LARGE(E144:M144,2)</f>
        <v>90</v>
      </c>
      <c r="R144" s="8">
        <f>LARGE(E144:M144,3)</f>
        <v>88</v>
      </c>
      <c r="S144" s="8">
        <f>LARGE(E144:M144,4)</f>
        <v>87</v>
      </c>
      <c r="T144" s="8">
        <f>LARGE(E144:M144,5)</f>
        <v>84</v>
      </c>
      <c r="U144" s="11">
        <f>SUM(LARGE(E144:M144, 1), LARGE(E144:M144, 2), LARGE(E144:M144, 3), LARGE(E144:M144, 4), LARGE(E144:M144, 5))</f>
        <v>441</v>
      </c>
      <c r="V144" s="11">
        <f>U144/5</f>
        <v>88.2</v>
      </c>
    </row>
    <row r="145" spans="1:22">
      <c r="A145" s="2">
        <v>143</v>
      </c>
      <c r="B145" s="2" t="s">
        <v>333</v>
      </c>
      <c r="C145" s="13" t="s">
        <v>657</v>
      </c>
      <c r="D145" s="2" t="s">
        <v>22</v>
      </c>
      <c r="E145" s="2">
        <v>88</v>
      </c>
      <c r="F145" s="2">
        <v>83</v>
      </c>
      <c r="G145" s="2"/>
      <c r="H145" s="2"/>
      <c r="I145" s="2">
        <v>77</v>
      </c>
      <c r="J145" s="2">
        <v>79</v>
      </c>
      <c r="K145" s="2">
        <v>98</v>
      </c>
      <c r="L145" s="2"/>
      <c r="M145" s="2">
        <v>93</v>
      </c>
      <c r="N145" s="2">
        <v>518</v>
      </c>
      <c r="O145" s="2">
        <v>86.33</v>
      </c>
      <c r="P145" s="8">
        <f>LARGE(E145:M145,1)</f>
        <v>98</v>
      </c>
      <c r="Q145" s="8">
        <f>LARGE(E145:M145,2)</f>
        <v>93</v>
      </c>
      <c r="R145" s="8">
        <f>LARGE(E145:M145,3)</f>
        <v>88</v>
      </c>
      <c r="S145" s="8">
        <f>LARGE(E145:M145,4)</f>
        <v>83</v>
      </c>
      <c r="T145" s="8">
        <f>LARGE(E145:M145,5)</f>
        <v>79</v>
      </c>
      <c r="U145" s="11">
        <f>SUM(LARGE(E145:M145, 1), LARGE(E145:M145, 2), LARGE(E145:M145, 3), LARGE(E145:M145, 4), LARGE(E145:M145, 5))</f>
        <v>441</v>
      </c>
      <c r="V145" s="11">
        <f>U145/5</f>
        <v>88.2</v>
      </c>
    </row>
    <row r="146" spans="1:22">
      <c r="A146" s="2">
        <v>144</v>
      </c>
      <c r="B146" s="2" t="s">
        <v>397</v>
      </c>
      <c r="C146" s="12" t="s">
        <v>689</v>
      </c>
      <c r="D146" s="2" t="s">
        <v>22</v>
      </c>
      <c r="E146" s="2">
        <v>87</v>
      </c>
      <c r="F146" s="2"/>
      <c r="G146" s="2">
        <v>97</v>
      </c>
      <c r="H146" s="2"/>
      <c r="I146" s="2">
        <v>75</v>
      </c>
      <c r="J146" s="2">
        <v>79</v>
      </c>
      <c r="K146" s="2">
        <v>78</v>
      </c>
      <c r="L146" s="2"/>
      <c r="M146" s="2">
        <v>100</v>
      </c>
      <c r="N146" s="2">
        <v>516</v>
      </c>
      <c r="O146" s="2">
        <v>86</v>
      </c>
      <c r="P146" s="8">
        <f>LARGE(E146:M146,1)</f>
        <v>100</v>
      </c>
      <c r="Q146" s="8">
        <f>LARGE(E146:M146,2)</f>
        <v>97</v>
      </c>
      <c r="R146" s="8">
        <f>LARGE(E146:M146,3)</f>
        <v>87</v>
      </c>
      <c r="S146" s="8">
        <f>LARGE(E146:M146,4)</f>
        <v>79</v>
      </c>
      <c r="T146" s="8">
        <f>LARGE(E146:M146,5)</f>
        <v>78</v>
      </c>
      <c r="U146" s="11">
        <f>SUM(LARGE(E146:M146, 1), LARGE(E146:M146, 2), LARGE(E146:M146, 3), LARGE(E146:M146, 4), LARGE(E146:M146, 5))</f>
        <v>441</v>
      </c>
      <c r="V146" s="11">
        <f>U146/5</f>
        <v>88.2</v>
      </c>
    </row>
    <row r="147" spans="1:22">
      <c r="A147" s="2">
        <v>145</v>
      </c>
      <c r="B147" s="2" t="s">
        <v>421</v>
      </c>
      <c r="C147" s="13" t="s">
        <v>701</v>
      </c>
      <c r="D147" s="2" t="s">
        <v>22</v>
      </c>
      <c r="E147" s="2">
        <v>82</v>
      </c>
      <c r="F147" s="2">
        <v>92</v>
      </c>
      <c r="G147" s="2"/>
      <c r="H147" s="2"/>
      <c r="I147" s="2"/>
      <c r="J147" s="2">
        <v>73</v>
      </c>
      <c r="K147" s="2">
        <v>97</v>
      </c>
      <c r="L147" s="2">
        <v>68</v>
      </c>
      <c r="M147" s="2">
        <v>96</v>
      </c>
      <c r="N147" s="2">
        <v>508</v>
      </c>
      <c r="O147" s="2">
        <v>84.67</v>
      </c>
      <c r="P147" s="8">
        <f>LARGE(E147:M147,1)</f>
        <v>97</v>
      </c>
      <c r="Q147" s="8">
        <f>LARGE(E147:M147,2)</f>
        <v>96</v>
      </c>
      <c r="R147" s="8">
        <f>LARGE(E147:M147,3)</f>
        <v>92</v>
      </c>
      <c r="S147" s="8">
        <f>LARGE(E147:M147,4)</f>
        <v>82</v>
      </c>
      <c r="T147" s="8">
        <f>LARGE(E147:M147,5)</f>
        <v>73</v>
      </c>
      <c r="U147" s="11">
        <f>SUM(LARGE(E147:M147, 1), LARGE(E147:M147, 2), LARGE(E147:M147, 3), LARGE(E147:M147, 4), LARGE(E147:M147, 5))</f>
        <v>440</v>
      </c>
      <c r="V147" s="11">
        <f>U147/5</f>
        <v>88</v>
      </c>
    </row>
    <row r="148" spans="1:22">
      <c r="A148" s="2">
        <v>146</v>
      </c>
      <c r="B148" s="2" t="s">
        <v>449</v>
      </c>
      <c r="C148" s="13" t="s">
        <v>715</v>
      </c>
      <c r="D148" s="2" t="s">
        <v>22</v>
      </c>
      <c r="E148" s="2">
        <v>89</v>
      </c>
      <c r="F148" s="2">
        <v>82</v>
      </c>
      <c r="G148" s="2"/>
      <c r="H148" s="2"/>
      <c r="I148" s="2"/>
      <c r="J148" s="2">
        <v>89</v>
      </c>
      <c r="K148" s="2">
        <v>84</v>
      </c>
      <c r="L148" s="2">
        <v>79</v>
      </c>
      <c r="M148" s="2">
        <v>96</v>
      </c>
      <c r="N148" s="2">
        <v>519</v>
      </c>
      <c r="O148" s="2">
        <v>86.5</v>
      </c>
      <c r="P148" s="8">
        <f>LARGE(E148:M148,1)</f>
        <v>96</v>
      </c>
      <c r="Q148" s="8">
        <f>LARGE(E148:M148,2)</f>
        <v>89</v>
      </c>
      <c r="R148" s="8">
        <f>LARGE(E148:M148,3)</f>
        <v>89</v>
      </c>
      <c r="S148" s="8">
        <f>LARGE(E148:M148,4)</f>
        <v>84</v>
      </c>
      <c r="T148" s="8">
        <f>LARGE(E148:M148,5)</f>
        <v>82</v>
      </c>
      <c r="U148" s="11">
        <f>SUM(LARGE(E148:M148, 1), LARGE(E148:M148, 2), LARGE(E148:M148, 3), LARGE(E148:M148, 4), LARGE(E148:M148, 5))</f>
        <v>440</v>
      </c>
      <c r="V148" s="11">
        <f>U148/5</f>
        <v>88</v>
      </c>
    </row>
    <row r="149" spans="1:22">
      <c r="A149" s="2">
        <v>147</v>
      </c>
      <c r="B149" s="2" t="s">
        <v>195</v>
      </c>
      <c r="C149" s="12" t="s">
        <v>588</v>
      </c>
      <c r="D149" s="2" t="s">
        <v>17</v>
      </c>
      <c r="E149" s="2">
        <v>93</v>
      </c>
      <c r="F149" s="2"/>
      <c r="G149" s="2">
        <v>88</v>
      </c>
      <c r="H149" s="2"/>
      <c r="I149" s="2">
        <v>70</v>
      </c>
      <c r="J149" s="2">
        <v>80</v>
      </c>
      <c r="K149" s="2">
        <v>81</v>
      </c>
      <c r="L149" s="2"/>
      <c r="M149" s="2">
        <v>97</v>
      </c>
      <c r="N149" s="2">
        <v>509</v>
      </c>
      <c r="O149" s="2">
        <v>84.83</v>
      </c>
      <c r="P149" s="8">
        <f>LARGE(E149:M149,1)</f>
        <v>97</v>
      </c>
      <c r="Q149" s="8">
        <f>LARGE(E149:M149,2)</f>
        <v>93</v>
      </c>
      <c r="R149" s="8">
        <f>LARGE(E149:M149,3)</f>
        <v>88</v>
      </c>
      <c r="S149" s="8">
        <f>LARGE(E149:M149,4)</f>
        <v>81</v>
      </c>
      <c r="T149" s="8">
        <f>LARGE(E149:M149,5)</f>
        <v>80</v>
      </c>
      <c r="U149" s="11">
        <f>SUM(LARGE(E149:M149, 1), LARGE(E149:M149, 2), LARGE(E149:M149, 3), LARGE(E149:M149, 4), LARGE(E149:M149, 5))</f>
        <v>439</v>
      </c>
      <c r="V149" s="11">
        <f>U149/5</f>
        <v>87.8</v>
      </c>
    </row>
    <row r="150" spans="1:22">
      <c r="A150" s="2">
        <v>148</v>
      </c>
      <c r="B150" s="2" t="s">
        <v>489</v>
      </c>
      <c r="C150" s="12" t="s">
        <v>735</v>
      </c>
      <c r="D150" s="2" t="s">
        <v>22</v>
      </c>
      <c r="E150" s="2">
        <v>82</v>
      </c>
      <c r="F150" s="2">
        <v>91</v>
      </c>
      <c r="G150" s="2"/>
      <c r="H150" s="2"/>
      <c r="I150" s="2"/>
      <c r="J150" s="2">
        <v>90</v>
      </c>
      <c r="K150" s="2">
        <v>78</v>
      </c>
      <c r="L150" s="2">
        <v>85</v>
      </c>
      <c r="M150" s="2">
        <v>91</v>
      </c>
      <c r="N150" s="2">
        <v>517</v>
      </c>
      <c r="O150" s="2">
        <v>86.17</v>
      </c>
      <c r="P150" s="8">
        <f>LARGE(E150:M150,1)</f>
        <v>91</v>
      </c>
      <c r="Q150" s="8">
        <f>LARGE(E150:M150,2)</f>
        <v>91</v>
      </c>
      <c r="R150" s="8">
        <f>LARGE(E150:M150,3)</f>
        <v>90</v>
      </c>
      <c r="S150" s="8">
        <f>LARGE(E150:M150,4)</f>
        <v>85</v>
      </c>
      <c r="T150" s="8">
        <f>LARGE(E150:M150,5)</f>
        <v>82</v>
      </c>
      <c r="U150" s="11">
        <f>SUM(LARGE(E150:M150, 1), LARGE(E150:M150, 2), LARGE(E150:M150, 3), LARGE(E150:M150, 4), LARGE(E150:M150, 5))</f>
        <v>439</v>
      </c>
      <c r="V150" s="11">
        <f>U150/5</f>
        <v>87.8</v>
      </c>
    </row>
    <row r="151" spans="1:22">
      <c r="A151" s="2">
        <v>149</v>
      </c>
      <c r="B151" s="2" t="s">
        <v>60</v>
      </c>
      <c r="C151" s="12" t="s">
        <v>521</v>
      </c>
      <c r="D151" s="2" t="s">
        <v>17</v>
      </c>
      <c r="E151" s="2">
        <v>93</v>
      </c>
      <c r="F151" s="2"/>
      <c r="G151" s="2"/>
      <c r="H151" s="2">
        <v>68</v>
      </c>
      <c r="I151" s="2"/>
      <c r="J151" s="2">
        <v>85</v>
      </c>
      <c r="K151" s="2">
        <v>85</v>
      </c>
      <c r="L151" s="2">
        <v>80</v>
      </c>
      <c r="M151" s="2">
        <v>95</v>
      </c>
      <c r="N151" s="2">
        <v>506</v>
      </c>
      <c r="O151" s="2">
        <v>84.33</v>
      </c>
      <c r="P151" s="8">
        <f>LARGE(E151:M151,1)</f>
        <v>95</v>
      </c>
      <c r="Q151" s="8">
        <f>LARGE(E151:M151,2)</f>
        <v>93</v>
      </c>
      <c r="R151" s="8">
        <f>LARGE(E151:M151,3)</f>
        <v>85</v>
      </c>
      <c r="S151" s="8">
        <f>LARGE(E151:M151,4)</f>
        <v>85</v>
      </c>
      <c r="T151" s="8">
        <f>LARGE(E151:M151,5)</f>
        <v>80</v>
      </c>
      <c r="U151" s="11">
        <f>SUM(LARGE(E151:M151, 1), LARGE(E151:M151, 2), LARGE(E151:M151, 3), LARGE(E151:M151, 4), LARGE(E151:M151, 5))</f>
        <v>438</v>
      </c>
      <c r="V151" s="11">
        <f>U151/5</f>
        <v>87.6</v>
      </c>
    </row>
    <row r="152" spans="1:22">
      <c r="A152" s="2">
        <v>150</v>
      </c>
      <c r="B152" s="2" t="s">
        <v>181</v>
      </c>
      <c r="C152" s="12" t="s">
        <v>581</v>
      </c>
      <c r="D152" s="2" t="s">
        <v>22</v>
      </c>
      <c r="E152" s="2">
        <v>87</v>
      </c>
      <c r="F152" s="2"/>
      <c r="G152" s="2">
        <v>85</v>
      </c>
      <c r="H152" s="2"/>
      <c r="I152" s="2">
        <v>76</v>
      </c>
      <c r="J152" s="2">
        <v>78</v>
      </c>
      <c r="K152" s="2">
        <v>90</v>
      </c>
      <c r="L152" s="2"/>
      <c r="M152" s="2">
        <v>98</v>
      </c>
      <c r="N152" s="2">
        <v>514</v>
      </c>
      <c r="O152" s="2">
        <v>85.67</v>
      </c>
      <c r="P152" s="8">
        <f>LARGE(E152:M152,1)</f>
        <v>98</v>
      </c>
      <c r="Q152" s="8">
        <f>LARGE(E152:M152,2)</f>
        <v>90</v>
      </c>
      <c r="R152" s="8">
        <f>LARGE(E152:M152,3)</f>
        <v>87</v>
      </c>
      <c r="S152" s="8">
        <f>LARGE(E152:M152,4)</f>
        <v>85</v>
      </c>
      <c r="T152" s="8">
        <f>LARGE(E152:M152,5)</f>
        <v>78</v>
      </c>
      <c r="U152" s="11">
        <f>SUM(LARGE(E152:M152, 1), LARGE(E152:M152, 2), LARGE(E152:M152, 3), LARGE(E152:M152, 4), LARGE(E152:M152, 5))</f>
        <v>438</v>
      </c>
      <c r="V152" s="11">
        <f>U152/5</f>
        <v>87.6</v>
      </c>
    </row>
    <row r="153" spans="1:22">
      <c r="A153" s="2">
        <v>151</v>
      </c>
      <c r="B153" s="2" t="s">
        <v>104</v>
      </c>
      <c r="C153" s="13" t="s">
        <v>543</v>
      </c>
      <c r="D153" s="2" t="s">
        <v>17</v>
      </c>
      <c r="E153" s="2">
        <v>86</v>
      </c>
      <c r="F153" s="2">
        <v>88</v>
      </c>
      <c r="G153" s="2"/>
      <c r="H153" s="2"/>
      <c r="I153" s="2">
        <v>73</v>
      </c>
      <c r="J153" s="2">
        <v>73</v>
      </c>
      <c r="K153" s="2">
        <v>91</v>
      </c>
      <c r="L153" s="2"/>
      <c r="M153" s="2">
        <v>99</v>
      </c>
      <c r="N153" s="2">
        <v>510</v>
      </c>
      <c r="O153" s="2">
        <v>85</v>
      </c>
      <c r="P153" s="8">
        <f>LARGE(E153:M153,1)</f>
        <v>99</v>
      </c>
      <c r="Q153" s="8">
        <f>LARGE(E153:M153,2)</f>
        <v>91</v>
      </c>
      <c r="R153" s="8">
        <f>LARGE(E153:M153,3)</f>
        <v>88</v>
      </c>
      <c r="S153" s="8">
        <f>LARGE(E153:M153,4)</f>
        <v>86</v>
      </c>
      <c r="T153" s="8">
        <f>LARGE(E153:M153,5)</f>
        <v>73</v>
      </c>
      <c r="U153" s="11">
        <f>SUM(LARGE(E153:M153, 1), LARGE(E153:M153, 2), LARGE(E153:M153, 3), LARGE(E153:M153, 4), LARGE(E153:M153, 5))</f>
        <v>437</v>
      </c>
      <c r="V153" s="11">
        <f>U153/5</f>
        <v>87.4</v>
      </c>
    </row>
    <row r="154" spans="1:22">
      <c r="A154" s="2">
        <v>152</v>
      </c>
      <c r="B154" s="2" t="s">
        <v>447</v>
      </c>
      <c r="C154" s="12" t="s">
        <v>714</v>
      </c>
      <c r="D154" s="2" t="s">
        <v>22</v>
      </c>
      <c r="E154" s="2">
        <v>84</v>
      </c>
      <c r="F154" s="2"/>
      <c r="G154" s="2">
        <v>93</v>
      </c>
      <c r="H154" s="2"/>
      <c r="I154" s="2">
        <v>78</v>
      </c>
      <c r="J154" s="2">
        <v>69</v>
      </c>
      <c r="K154" s="2">
        <v>86</v>
      </c>
      <c r="L154" s="2"/>
      <c r="M154" s="2">
        <v>96</v>
      </c>
      <c r="N154" s="2">
        <v>506</v>
      </c>
      <c r="O154" s="2">
        <v>84.33</v>
      </c>
      <c r="P154" s="8">
        <f>LARGE(E154:M154,1)</f>
        <v>96</v>
      </c>
      <c r="Q154" s="8">
        <f>LARGE(E154:M154,2)</f>
        <v>93</v>
      </c>
      <c r="R154" s="8">
        <f>LARGE(E154:M154,3)</f>
        <v>86</v>
      </c>
      <c r="S154" s="8">
        <f>LARGE(E154:M154,4)</f>
        <v>84</v>
      </c>
      <c r="T154" s="8">
        <f>LARGE(E154:M154,5)</f>
        <v>78</v>
      </c>
      <c r="U154" s="11">
        <f>SUM(LARGE(E154:M154, 1), LARGE(E154:M154, 2), LARGE(E154:M154, 3), LARGE(E154:M154, 4), LARGE(E154:M154, 5))</f>
        <v>437</v>
      </c>
      <c r="V154" s="11">
        <f>U154/5</f>
        <v>87.4</v>
      </c>
    </row>
    <row r="155" spans="1:22">
      <c r="A155" s="2">
        <v>153</v>
      </c>
      <c r="B155" s="2" t="s">
        <v>86</v>
      </c>
      <c r="C155" s="13" t="s">
        <v>534</v>
      </c>
      <c r="D155" s="2" t="s">
        <v>17</v>
      </c>
      <c r="E155" s="2">
        <v>91</v>
      </c>
      <c r="F155" s="2"/>
      <c r="G155" s="2"/>
      <c r="H155" s="2">
        <v>74</v>
      </c>
      <c r="I155" s="2">
        <v>73</v>
      </c>
      <c r="J155" s="2">
        <v>77</v>
      </c>
      <c r="K155" s="2">
        <v>95</v>
      </c>
      <c r="L155" s="2"/>
      <c r="M155" s="2">
        <v>99</v>
      </c>
      <c r="N155" s="2">
        <v>509</v>
      </c>
      <c r="O155" s="2">
        <v>84.83</v>
      </c>
      <c r="P155" s="8">
        <f>LARGE(E155:M155,1)</f>
        <v>99</v>
      </c>
      <c r="Q155" s="8">
        <f>LARGE(E155:M155,2)</f>
        <v>95</v>
      </c>
      <c r="R155" s="8">
        <f>LARGE(E155:M155,3)</f>
        <v>91</v>
      </c>
      <c r="S155" s="8">
        <f>LARGE(E155:M155,4)</f>
        <v>77</v>
      </c>
      <c r="T155" s="8">
        <f>LARGE(E155:M155,5)</f>
        <v>74</v>
      </c>
      <c r="U155" s="11">
        <f>SUM(LARGE(E155:M155, 1), LARGE(E155:M155, 2), LARGE(E155:M155, 3), LARGE(E155:M155, 4), LARGE(E155:M155, 5))</f>
        <v>436</v>
      </c>
      <c r="V155" s="11">
        <f>U155/5</f>
        <v>87.2</v>
      </c>
    </row>
    <row r="156" spans="1:22">
      <c r="A156" s="2">
        <v>154</v>
      </c>
      <c r="B156" s="2" t="s">
        <v>207</v>
      </c>
      <c r="C156" s="13" t="s">
        <v>594</v>
      </c>
      <c r="D156" s="2" t="s">
        <v>17</v>
      </c>
      <c r="E156" s="2">
        <v>87</v>
      </c>
      <c r="F156" s="2">
        <v>90</v>
      </c>
      <c r="G156" s="2"/>
      <c r="H156" s="2"/>
      <c r="I156" s="2">
        <v>67</v>
      </c>
      <c r="J156" s="2">
        <v>80</v>
      </c>
      <c r="K156" s="2">
        <v>82</v>
      </c>
      <c r="L156" s="2"/>
      <c r="M156" s="2">
        <v>97</v>
      </c>
      <c r="N156" s="2">
        <v>503</v>
      </c>
      <c r="O156" s="2">
        <v>83.83</v>
      </c>
      <c r="P156" s="8">
        <f>LARGE(E156:M156,1)</f>
        <v>97</v>
      </c>
      <c r="Q156" s="8">
        <f>LARGE(E156:M156,2)</f>
        <v>90</v>
      </c>
      <c r="R156" s="8">
        <f>LARGE(E156:M156,3)</f>
        <v>87</v>
      </c>
      <c r="S156" s="8">
        <f>LARGE(E156:M156,4)</f>
        <v>82</v>
      </c>
      <c r="T156" s="8">
        <f>LARGE(E156:M156,5)</f>
        <v>80</v>
      </c>
      <c r="U156" s="11">
        <f>SUM(LARGE(E156:M156, 1), LARGE(E156:M156, 2), LARGE(E156:M156, 3), LARGE(E156:M156, 4), LARGE(E156:M156, 5))</f>
        <v>436</v>
      </c>
      <c r="V156" s="11">
        <f>U156/5</f>
        <v>87.2</v>
      </c>
    </row>
    <row r="157" spans="1:22">
      <c r="A157" s="2">
        <v>155</v>
      </c>
      <c r="B157" s="2" t="s">
        <v>165</v>
      </c>
      <c r="C157" s="13" t="s">
        <v>573</v>
      </c>
      <c r="D157" s="2" t="s">
        <v>22</v>
      </c>
      <c r="E157" s="2">
        <v>90</v>
      </c>
      <c r="F157" s="2"/>
      <c r="G157" s="2">
        <v>84</v>
      </c>
      <c r="H157" s="2"/>
      <c r="I157" s="2">
        <v>70</v>
      </c>
      <c r="J157" s="2">
        <v>77</v>
      </c>
      <c r="K157" s="2">
        <v>90</v>
      </c>
      <c r="L157" s="2"/>
      <c r="M157" s="2">
        <v>94</v>
      </c>
      <c r="N157" s="2">
        <v>505</v>
      </c>
      <c r="O157" s="2">
        <v>84.17</v>
      </c>
      <c r="P157" s="8">
        <f>LARGE(E157:M157,1)</f>
        <v>94</v>
      </c>
      <c r="Q157" s="8">
        <f>LARGE(E157:M157,2)</f>
        <v>90</v>
      </c>
      <c r="R157" s="8">
        <f>LARGE(E157:M157,3)</f>
        <v>90</v>
      </c>
      <c r="S157" s="8">
        <f>LARGE(E157:M157,4)</f>
        <v>84</v>
      </c>
      <c r="T157" s="8">
        <f>LARGE(E157:M157,5)</f>
        <v>77</v>
      </c>
      <c r="U157" s="11">
        <f>SUM(LARGE(E157:M157, 1), LARGE(E157:M157, 2), LARGE(E157:M157, 3), LARGE(E157:M157, 4), LARGE(E157:M157, 5))</f>
        <v>435</v>
      </c>
      <c r="V157" s="11">
        <f>U157/5</f>
        <v>87</v>
      </c>
    </row>
    <row r="158" spans="1:22">
      <c r="A158" s="2">
        <v>156</v>
      </c>
      <c r="B158" s="2" t="s">
        <v>293</v>
      </c>
      <c r="C158" s="12" t="s">
        <v>637</v>
      </c>
      <c r="D158" s="2" t="s">
        <v>22</v>
      </c>
      <c r="E158" s="2">
        <v>87</v>
      </c>
      <c r="F158" s="2">
        <v>89</v>
      </c>
      <c r="G158" s="2"/>
      <c r="H158" s="2"/>
      <c r="I158" s="2"/>
      <c r="J158" s="2">
        <v>90</v>
      </c>
      <c r="K158" s="2">
        <v>79</v>
      </c>
      <c r="L158" s="2">
        <v>75</v>
      </c>
      <c r="M158" s="2">
        <v>90</v>
      </c>
      <c r="N158" s="2">
        <v>510</v>
      </c>
      <c r="O158" s="2">
        <v>85</v>
      </c>
      <c r="P158" s="8">
        <f>LARGE(E158:M158,1)</f>
        <v>90</v>
      </c>
      <c r="Q158" s="8">
        <f>LARGE(E158:M158,2)</f>
        <v>90</v>
      </c>
      <c r="R158" s="8">
        <f>LARGE(E158:M158,3)</f>
        <v>89</v>
      </c>
      <c r="S158" s="8">
        <f>LARGE(E158:M158,4)</f>
        <v>87</v>
      </c>
      <c r="T158" s="8">
        <f>LARGE(E158:M158,5)</f>
        <v>79</v>
      </c>
      <c r="U158" s="11">
        <f>SUM(LARGE(E158:M158, 1), LARGE(E158:M158, 2), LARGE(E158:M158, 3), LARGE(E158:M158, 4), LARGE(E158:M158, 5))</f>
        <v>435</v>
      </c>
      <c r="V158" s="11">
        <f>U158/5</f>
        <v>87</v>
      </c>
    </row>
    <row r="159" spans="1:22">
      <c r="A159" s="2">
        <v>157</v>
      </c>
      <c r="B159" s="2" t="s">
        <v>427</v>
      </c>
      <c r="C159" s="12" t="s">
        <v>704</v>
      </c>
      <c r="D159" s="2" t="s">
        <v>17</v>
      </c>
      <c r="E159" s="2">
        <v>96</v>
      </c>
      <c r="F159" s="2">
        <v>87</v>
      </c>
      <c r="G159" s="2"/>
      <c r="H159" s="2"/>
      <c r="I159" s="2">
        <v>76</v>
      </c>
      <c r="J159" s="2">
        <v>73</v>
      </c>
      <c r="K159" s="2">
        <v>77</v>
      </c>
      <c r="L159" s="2"/>
      <c r="M159" s="2">
        <v>99</v>
      </c>
      <c r="N159" s="2">
        <v>508</v>
      </c>
      <c r="O159" s="2">
        <v>84.67</v>
      </c>
      <c r="P159" s="8">
        <f>LARGE(E159:M159,1)</f>
        <v>99</v>
      </c>
      <c r="Q159" s="8">
        <f>LARGE(E159:M159,2)</f>
        <v>96</v>
      </c>
      <c r="R159" s="8">
        <f>LARGE(E159:M159,3)</f>
        <v>87</v>
      </c>
      <c r="S159" s="8">
        <f>LARGE(E159:M159,4)</f>
        <v>77</v>
      </c>
      <c r="T159" s="8">
        <f>LARGE(E159:M159,5)</f>
        <v>76</v>
      </c>
      <c r="U159" s="11">
        <f>SUM(LARGE(E159:M159, 1), LARGE(E159:M159, 2), LARGE(E159:M159, 3), LARGE(E159:M159, 4), LARGE(E159:M159, 5))</f>
        <v>435</v>
      </c>
      <c r="V159" s="11">
        <f>U159/5</f>
        <v>87</v>
      </c>
    </row>
    <row r="160" spans="1:22">
      <c r="A160" s="2">
        <v>158</v>
      </c>
      <c r="B160" s="2" t="s">
        <v>40</v>
      </c>
      <c r="C160" s="12" t="s">
        <v>511</v>
      </c>
      <c r="D160" s="2" t="s">
        <v>17</v>
      </c>
      <c r="E160" s="2">
        <v>92</v>
      </c>
      <c r="F160" s="2"/>
      <c r="G160" s="2">
        <v>82</v>
      </c>
      <c r="H160" s="2"/>
      <c r="I160" s="2"/>
      <c r="J160" s="2">
        <v>61</v>
      </c>
      <c r="K160" s="2">
        <v>84</v>
      </c>
      <c r="L160" s="2">
        <v>81</v>
      </c>
      <c r="M160" s="2">
        <v>95</v>
      </c>
      <c r="N160" s="2">
        <v>495</v>
      </c>
      <c r="O160" s="2">
        <v>82.5</v>
      </c>
      <c r="P160" s="8">
        <f>LARGE(E160:M160,1)</f>
        <v>95</v>
      </c>
      <c r="Q160" s="8">
        <f>LARGE(E160:M160,2)</f>
        <v>92</v>
      </c>
      <c r="R160" s="8">
        <f>LARGE(E160:M160,3)</f>
        <v>84</v>
      </c>
      <c r="S160" s="8">
        <f>LARGE(E160:M160,4)</f>
        <v>82</v>
      </c>
      <c r="T160" s="8">
        <f>LARGE(E160:M160,5)</f>
        <v>81</v>
      </c>
      <c r="U160" s="11">
        <f>SUM(LARGE(E160:M160, 1), LARGE(E160:M160, 2), LARGE(E160:M160, 3), LARGE(E160:M160, 4), LARGE(E160:M160, 5))</f>
        <v>434</v>
      </c>
      <c r="V160" s="11">
        <f>U160/5</f>
        <v>86.8</v>
      </c>
    </row>
    <row r="161" spans="1:22">
      <c r="A161" s="2">
        <v>159</v>
      </c>
      <c r="B161" s="2" t="s">
        <v>183</v>
      </c>
      <c r="C161" s="12" t="s">
        <v>582</v>
      </c>
      <c r="D161" s="2" t="s">
        <v>22</v>
      </c>
      <c r="E161" s="2">
        <v>94</v>
      </c>
      <c r="F161" s="2">
        <v>92</v>
      </c>
      <c r="G161" s="2"/>
      <c r="H161" s="2"/>
      <c r="I161" s="2">
        <v>72</v>
      </c>
      <c r="J161" s="2">
        <v>62</v>
      </c>
      <c r="K161" s="2">
        <v>81</v>
      </c>
      <c r="L161" s="2"/>
      <c r="M161" s="2">
        <v>94</v>
      </c>
      <c r="N161" s="2">
        <v>495</v>
      </c>
      <c r="O161" s="2">
        <v>82.5</v>
      </c>
      <c r="P161" s="8">
        <f>LARGE(E161:M161,1)</f>
        <v>94</v>
      </c>
      <c r="Q161" s="8">
        <f>LARGE(E161:M161,2)</f>
        <v>94</v>
      </c>
      <c r="R161" s="8">
        <f>LARGE(E161:M161,3)</f>
        <v>92</v>
      </c>
      <c r="S161" s="8">
        <f>LARGE(E161:M161,4)</f>
        <v>81</v>
      </c>
      <c r="T161" s="8">
        <f>LARGE(E161:M161,5)</f>
        <v>72</v>
      </c>
      <c r="U161" s="11">
        <f>SUM(LARGE(E161:M161, 1), LARGE(E161:M161, 2), LARGE(E161:M161, 3), LARGE(E161:M161, 4), LARGE(E161:M161, 5))</f>
        <v>433</v>
      </c>
      <c r="V161" s="11">
        <f>U161/5</f>
        <v>86.6</v>
      </c>
    </row>
    <row r="162" spans="1:22">
      <c r="A162" s="2">
        <v>160</v>
      </c>
      <c r="B162" s="2" t="s">
        <v>341</v>
      </c>
      <c r="C162" s="13" t="s">
        <v>661</v>
      </c>
      <c r="D162" s="2" t="s">
        <v>17</v>
      </c>
      <c r="E162" s="2">
        <v>92</v>
      </c>
      <c r="F162" s="2"/>
      <c r="G162" s="2">
        <v>85</v>
      </c>
      <c r="H162" s="2"/>
      <c r="I162" s="2"/>
      <c r="J162" s="2">
        <v>71</v>
      </c>
      <c r="K162" s="2">
        <v>87</v>
      </c>
      <c r="L162" s="2">
        <v>45</v>
      </c>
      <c r="M162" s="2">
        <v>97</v>
      </c>
      <c r="N162" s="2">
        <v>477</v>
      </c>
      <c r="O162" s="2">
        <v>79.5</v>
      </c>
      <c r="P162" s="8">
        <f>LARGE(E162:M162,1)</f>
        <v>97</v>
      </c>
      <c r="Q162" s="8">
        <f>LARGE(E162:M162,2)</f>
        <v>92</v>
      </c>
      <c r="R162" s="8">
        <f>LARGE(E162:M162,3)</f>
        <v>87</v>
      </c>
      <c r="S162" s="8">
        <f>LARGE(E162:M162,4)</f>
        <v>85</v>
      </c>
      <c r="T162" s="8">
        <f>LARGE(E162:M162,5)</f>
        <v>71</v>
      </c>
      <c r="U162" s="11">
        <f>SUM(LARGE(E162:M162, 1), LARGE(E162:M162, 2), LARGE(E162:M162, 3), LARGE(E162:M162, 4), LARGE(E162:M162, 5))</f>
        <v>432</v>
      </c>
      <c r="V162" s="11">
        <f>U162/5</f>
        <v>86.4</v>
      </c>
    </row>
    <row r="163" spans="1:22">
      <c r="A163" s="2">
        <v>161</v>
      </c>
      <c r="B163" s="2" t="s">
        <v>241</v>
      </c>
      <c r="C163" s="13" t="s">
        <v>611</v>
      </c>
      <c r="D163" s="2" t="s">
        <v>22</v>
      </c>
      <c r="E163" s="2">
        <v>93</v>
      </c>
      <c r="F163" s="2">
        <v>85</v>
      </c>
      <c r="G163" s="2"/>
      <c r="H163" s="2"/>
      <c r="I163" s="2">
        <v>68</v>
      </c>
      <c r="J163" s="2">
        <v>65</v>
      </c>
      <c r="K163" s="2">
        <v>90</v>
      </c>
      <c r="L163" s="2"/>
      <c r="M163" s="2">
        <v>95</v>
      </c>
      <c r="N163" s="2">
        <v>496</v>
      </c>
      <c r="O163" s="2">
        <v>82.67</v>
      </c>
      <c r="P163" s="8">
        <f>LARGE(E163:M163,1)</f>
        <v>95</v>
      </c>
      <c r="Q163" s="8">
        <f>LARGE(E163:M163,2)</f>
        <v>93</v>
      </c>
      <c r="R163" s="8">
        <f>LARGE(E163:M163,3)</f>
        <v>90</v>
      </c>
      <c r="S163" s="8">
        <f>LARGE(E163:M163,4)</f>
        <v>85</v>
      </c>
      <c r="T163" s="8">
        <f>LARGE(E163:M163,5)</f>
        <v>68</v>
      </c>
      <c r="U163" s="11">
        <f>SUM(LARGE(E163:M163, 1), LARGE(E163:M163, 2), LARGE(E163:M163, 3), LARGE(E163:M163, 4), LARGE(E163:M163, 5))</f>
        <v>431</v>
      </c>
      <c r="V163" s="11">
        <f>U163/5</f>
        <v>86.2</v>
      </c>
    </row>
    <row r="164" spans="1:22">
      <c r="A164" s="2">
        <v>162</v>
      </c>
      <c r="B164" s="2" t="s">
        <v>313</v>
      </c>
      <c r="C164" s="12" t="s">
        <v>647</v>
      </c>
      <c r="D164" s="2" t="s">
        <v>22</v>
      </c>
      <c r="E164" s="2">
        <v>88</v>
      </c>
      <c r="F164" s="2">
        <v>85</v>
      </c>
      <c r="G164" s="2"/>
      <c r="H164" s="2"/>
      <c r="I164" s="2"/>
      <c r="J164" s="2">
        <v>69</v>
      </c>
      <c r="K164" s="2">
        <v>78</v>
      </c>
      <c r="L164" s="2">
        <v>85</v>
      </c>
      <c r="M164" s="2">
        <v>95</v>
      </c>
      <c r="N164" s="2">
        <v>500</v>
      </c>
      <c r="O164" s="2">
        <v>83.33</v>
      </c>
      <c r="P164" s="8">
        <f>LARGE(E164:M164,1)</f>
        <v>95</v>
      </c>
      <c r="Q164" s="8">
        <f>LARGE(E164:M164,2)</f>
        <v>88</v>
      </c>
      <c r="R164" s="8">
        <f>LARGE(E164:M164,3)</f>
        <v>85</v>
      </c>
      <c r="S164" s="8">
        <f>LARGE(E164:M164,4)</f>
        <v>85</v>
      </c>
      <c r="T164" s="8">
        <f>LARGE(E164:M164,5)</f>
        <v>78</v>
      </c>
      <c r="U164" s="11">
        <f>SUM(LARGE(E164:M164, 1), LARGE(E164:M164, 2), LARGE(E164:M164, 3), LARGE(E164:M164, 4), LARGE(E164:M164, 5))</f>
        <v>431</v>
      </c>
      <c r="V164" s="11">
        <f>U164/5</f>
        <v>86.2</v>
      </c>
    </row>
    <row r="165" spans="1:22">
      <c r="A165" s="2">
        <v>163</v>
      </c>
      <c r="B165" s="2" t="s">
        <v>343</v>
      </c>
      <c r="C165" s="12" t="s">
        <v>662</v>
      </c>
      <c r="D165" s="2" t="s">
        <v>22</v>
      </c>
      <c r="E165" s="2">
        <v>91</v>
      </c>
      <c r="F165" s="2"/>
      <c r="G165" s="2"/>
      <c r="H165" s="2">
        <v>66</v>
      </c>
      <c r="I165" s="2">
        <v>84</v>
      </c>
      <c r="J165" s="2">
        <v>78</v>
      </c>
      <c r="K165" s="2">
        <v>83</v>
      </c>
      <c r="L165" s="2"/>
      <c r="M165" s="2">
        <v>95</v>
      </c>
      <c r="N165" s="2">
        <v>497</v>
      </c>
      <c r="O165" s="2">
        <v>82.83</v>
      </c>
      <c r="P165" s="8">
        <f>LARGE(E165:M165,1)</f>
        <v>95</v>
      </c>
      <c r="Q165" s="8">
        <f>LARGE(E165:M165,2)</f>
        <v>91</v>
      </c>
      <c r="R165" s="8">
        <f>LARGE(E165:M165,3)</f>
        <v>84</v>
      </c>
      <c r="S165" s="8">
        <f>LARGE(E165:M165,4)</f>
        <v>83</v>
      </c>
      <c r="T165" s="8">
        <f>LARGE(E165:M165,5)</f>
        <v>78</v>
      </c>
      <c r="U165" s="11">
        <f>SUM(LARGE(E165:M165, 1), LARGE(E165:M165, 2), LARGE(E165:M165, 3), LARGE(E165:M165, 4), LARGE(E165:M165, 5))</f>
        <v>431</v>
      </c>
      <c r="V165" s="11">
        <f>U165/5</f>
        <v>86.2</v>
      </c>
    </row>
    <row r="166" spans="1:22">
      <c r="A166" s="2">
        <v>164</v>
      </c>
      <c r="B166" s="2" t="s">
        <v>225</v>
      </c>
      <c r="C166" s="12" t="s">
        <v>603</v>
      </c>
      <c r="D166" s="2" t="s">
        <v>17</v>
      </c>
      <c r="E166" s="2">
        <v>89</v>
      </c>
      <c r="F166" s="2"/>
      <c r="G166" s="2">
        <v>87</v>
      </c>
      <c r="H166" s="2"/>
      <c r="I166" s="2"/>
      <c r="J166" s="2">
        <v>59</v>
      </c>
      <c r="K166" s="2">
        <v>89</v>
      </c>
      <c r="L166" s="2">
        <v>74</v>
      </c>
      <c r="M166" s="2">
        <v>91</v>
      </c>
      <c r="N166" s="2">
        <v>489</v>
      </c>
      <c r="O166" s="2">
        <v>81.5</v>
      </c>
      <c r="P166" s="8">
        <f>LARGE(E166:M166,1)</f>
        <v>91</v>
      </c>
      <c r="Q166" s="8">
        <f>LARGE(E166:M166,2)</f>
        <v>89</v>
      </c>
      <c r="R166" s="8">
        <f>LARGE(E166:M166,3)</f>
        <v>89</v>
      </c>
      <c r="S166" s="8">
        <f>LARGE(E166:M166,4)</f>
        <v>87</v>
      </c>
      <c r="T166" s="8">
        <f>LARGE(E166:M166,5)</f>
        <v>74</v>
      </c>
      <c r="U166" s="11">
        <f>SUM(LARGE(E166:M166, 1), LARGE(E166:M166, 2), LARGE(E166:M166, 3), LARGE(E166:M166, 4), LARGE(E166:M166, 5))</f>
        <v>430</v>
      </c>
      <c r="V166" s="11">
        <f>U166/5</f>
        <v>86</v>
      </c>
    </row>
    <row r="167" spans="1:22">
      <c r="A167" s="2">
        <v>165</v>
      </c>
      <c r="B167" s="2" t="s">
        <v>265</v>
      </c>
      <c r="C167" s="12" t="s">
        <v>623</v>
      </c>
      <c r="D167" s="2" t="s">
        <v>22</v>
      </c>
      <c r="E167" s="2">
        <v>95</v>
      </c>
      <c r="F167" s="2">
        <v>88</v>
      </c>
      <c r="G167" s="2"/>
      <c r="H167" s="2"/>
      <c r="I167" s="2"/>
      <c r="J167" s="2">
        <v>53</v>
      </c>
      <c r="K167" s="2">
        <v>73</v>
      </c>
      <c r="L167" s="2">
        <v>78</v>
      </c>
      <c r="M167" s="2">
        <v>96</v>
      </c>
      <c r="N167" s="2">
        <v>483</v>
      </c>
      <c r="O167" s="2">
        <v>80.5</v>
      </c>
      <c r="P167" s="8">
        <f>LARGE(E167:M167,1)</f>
        <v>96</v>
      </c>
      <c r="Q167" s="8">
        <f>LARGE(E167:M167,2)</f>
        <v>95</v>
      </c>
      <c r="R167" s="8">
        <f>LARGE(E167:M167,3)</f>
        <v>88</v>
      </c>
      <c r="S167" s="8">
        <f>LARGE(E167:M167,4)</f>
        <v>78</v>
      </c>
      <c r="T167" s="8">
        <f>LARGE(E167:M167,5)</f>
        <v>73</v>
      </c>
      <c r="U167" s="11">
        <f>SUM(LARGE(E167:M167, 1), LARGE(E167:M167, 2), LARGE(E167:M167, 3), LARGE(E167:M167, 4), LARGE(E167:M167, 5))</f>
        <v>430</v>
      </c>
      <c r="V167" s="11">
        <f>U167/5</f>
        <v>86</v>
      </c>
    </row>
    <row r="168" spans="1:22">
      <c r="A168" s="2">
        <v>166</v>
      </c>
      <c r="B168" s="2" t="s">
        <v>173</v>
      </c>
      <c r="C168" s="12" t="s">
        <v>577</v>
      </c>
      <c r="D168" s="2" t="s">
        <v>22</v>
      </c>
      <c r="E168" s="2">
        <v>90</v>
      </c>
      <c r="F168" s="2">
        <v>92</v>
      </c>
      <c r="G168" s="2"/>
      <c r="H168" s="2"/>
      <c r="I168" s="2"/>
      <c r="J168" s="2">
        <v>73</v>
      </c>
      <c r="K168" s="2">
        <v>83</v>
      </c>
      <c r="L168" s="2">
        <v>71</v>
      </c>
      <c r="M168" s="2">
        <v>91</v>
      </c>
      <c r="N168" s="2">
        <v>500</v>
      </c>
      <c r="O168" s="2">
        <v>83.33</v>
      </c>
      <c r="P168" s="8">
        <f>LARGE(E168:M168,1)</f>
        <v>92</v>
      </c>
      <c r="Q168" s="8">
        <f>LARGE(E168:M168,2)</f>
        <v>91</v>
      </c>
      <c r="R168" s="8">
        <f>LARGE(E168:M168,3)</f>
        <v>90</v>
      </c>
      <c r="S168" s="8">
        <f>LARGE(E168:M168,4)</f>
        <v>83</v>
      </c>
      <c r="T168" s="8">
        <f>LARGE(E168:M168,5)</f>
        <v>73</v>
      </c>
      <c r="U168" s="11">
        <f>SUM(LARGE(E168:M168, 1), LARGE(E168:M168, 2), LARGE(E168:M168, 3), LARGE(E168:M168, 4), LARGE(E168:M168, 5))</f>
        <v>429</v>
      </c>
      <c r="V168" s="11">
        <f>U168/5</f>
        <v>85.8</v>
      </c>
    </row>
    <row r="169" spans="1:22">
      <c r="A169" s="2">
        <v>167</v>
      </c>
      <c r="B169" s="2" t="s">
        <v>88</v>
      </c>
      <c r="C169" s="13" t="s">
        <v>535</v>
      </c>
      <c r="D169" s="2" t="s">
        <v>17</v>
      </c>
      <c r="E169" s="2">
        <v>94</v>
      </c>
      <c r="F169" s="2">
        <v>93</v>
      </c>
      <c r="G169" s="2"/>
      <c r="H169" s="2"/>
      <c r="I169" s="2"/>
      <c r="J169" s="2">
        <v>49</v>
      </c>
      <c r="K169" s="2">
        <v>90</v>
      </c>
      <c r="L169" s="2">
        <v>70</v>
      </c>
      <c r="M169" s="2">
        <v>81</v>
      </c>
      <c r="N169" s="2">
        <v>477</v>
      </c>
      <c r="O169" s="2">
        <v>79.5</v>
      </c>
      <c r="P169" s="8">
        <f>LARGE(E169:M169,1)</f>
        <v>94</v>
      </c>
      <c r="Q169" s="8">
        <f>LARGE(E169:M169,2)</f>
        <v>93</v>
      </c>
      <c r="R169" s="8">
        <f>LARGE(E169:M169,3)</f>
        <v>90</v>
      </c>
      <c r="S169" s="8">
        <f>LARGE(E169:M169,4)</f>
        <v>81</v>
      </c>
      <c r="T169" s="8">
        <f>LARGE(E169:M169,5)</f>
        <v>70</v>
      </c>
      <c r="U169" s="11">
        <f>SUM(LARGE(E169:M169, 1), LARGE(E169:M169, 2), LARGE(E169:M169, 3), LARGE(E169:M169, 4), LARGE(E169:M169, 5))</f>
        <v>428</v>
      </c>
      <c r="V169" s="11">
        <f>U169/5</f>
        <v>85.6</v>
      </c>
    </row>
    <row r="170" spans="1:22">
      <c r="A170" s="2">
        <v>168</v>
      </c>
      <c r="B170" s="2" t="s">
        <v>445</v>
      </c>
      <c r="C170" s="12" t="s">
        <v>713</v>
      </c>
      <c r="D170" s="2" t="s">
        <v>22</v>
      </c>
      <c r="E170" s="2">
        <v>88</v>
      </c>
      <c r="F170" s="2"/>
      <c r="G170" s="2">
        <v>92</v>
      </c>
      <c r="H170" s="2"/>
      <c r="I170" s="2">
        <v>47</v>
      </c>
      <c r="J170" s="2">
        <v>71</v>
      </c>
      <c r="K170" s="2">
        <v>77</v>
      </c>
      <c r="L170" s="2"/>
      <c r="M170" s="2">
        <v>100</v>
      </c>
      <c r="N170" s="2">
        <v>475</v>
      </c>
      <c r="O170" s="2">
        <v>79.17</v>
      </c>
      <c r="P170" s="8">
        <f>LARGE(E170:M170,1)</f>
        <v>100</v>
      </c>
      <c r="Q170" s="8">
        <f>LARGE(E170:M170,2)</f>
        <v>92</v>
      </c>
      <c r="R170" s="8">
        <f>LARGE(E170:M170,3)</f>
        <v>88</v>
      </c>
      <c r="S170" s="8">
        <f>LARGE(E170:M170,4)</f>
        <v>77</v>
      </c>
      <c r="T170" s="8">
        <f>LARGE(E170:M170,5)</f>
        <v>71</v>
      </c>
      <c r="U170" s="11">
        <f>SUM(LARGE(E170:M170, 1), LARGE(E170:M170, 2), LARGE(E170:M170, 3), LARGE(E170:M170, 4), LARGE(E170:M170, 5))</f>
        <v>428</v>
      </c>
      <c r="V170" s="11">
        <f>U170/5</f>
        <v>85.6</v>
      </c>
    </row>
    <row r="171" spans="1:22">
      <c r="A171" s="2">
        <v>169</v>
      </c>
      <c r="B171" s="2" t="s">
        <v>78</v>
      </c>
      <c r="C171" s="12" t="s">
        <v>530</v>
      </c>
      <c r="D171" s="2" t="s">
        <v>22</v>
      </c>
      <c r="E171" s="2">
        <v>88</v>
      </c>
      <c r="F171" s="2"/>
      <c r="G171" s="2">
        <v>84</v>
      </c>
      <c r="H171" s="2"/>
      <c r="I171" s="2">
        <v>78</v>
      </c>
      <c r="J171" s="2">
        <v>70</v>
      </c>
      <c r="K171" s="2">
        <v>81</v>
      </c>
      <c r="L171" s="2"/>
      <c r="M171" s="2">
        <v>96</v>
      </c>
      <c r="N171" s="2">
        <v>497</v>
      </c>
      <c r="O171" s="2">
        <v>82.83</v>
      </c>
      <c r="P171" s="8">
        <f>LARGE(E171:M171,1)</f>
        <v>96</v>
      </c>
      <c r="Q171" s="8">
        <f>LARGE(E171:M171,2)</f>
        <v>88</v>
      </c>
      <c r="R171" s="8">
        <f>LARGE(E171:M171,3)</f>
        <v>84</v>
      </c>
      <c r="S171" s="8">
        <f>LARGE(E171:M171,4)</f>
        <v>81</v>
      </c>
      <c r="T171" s="8">
        <f>LARGE(E171:M171,5)</f>
        <v>78</v>
      </c>
      <c r="U171" s="11">
        <f>SUM(LARGE(E171:M171, 1), LARGE(E171:M171, 2), LARGE(E171:M171, 3), LARGE(E171:M171, 4), LARGE(E171:M171, 5))</f>
        <v>427</v>
      </c>
      <c r="V171" s="11">
        <f>U171/5</f>
        <v>85.4</v>
      </c>
    </row>
    <row r="172" spans="1:22">
      <c r="A172" s="2">
        <v>170</v>
      </c>
      <c r="B172" s="2" t="s">
        <v>365</v>
      </c>
      <c r="C172" s="13" t="s">
        <v>673</v>
      </c>
      <c r="D172" s="2" t="s">
        <v>17</v>
      </c>
      <c r="E172" s="2">
        <v>88</v>
      </c>
      <c r="F172" s="2">
        <v>82</v>
      </c>
      <c r="G172" s="2"/>
      <c r="H172" s="2"/>
      <c r="I172" s="2"/>
      <c r="J172" s="2">
        <v>81</v>
      </c>
      <c r="K172" s="2">
        <v>85</v>
      </c>
      <c r="L172" s="2">
        <v>76</v>
      </c>
      <c r="M172" s="2">
        <v>91</v>
      </c>
      <c r="N172" s="2">
        <v>503</v>
      </c>
      <c r="O172" s="2">
        <v>83.83</v>
      </c>
      <c r="P172" s="8">
        <f>LARGE(E172:M172,1)</f>
        <v>91</v>
      </c>
      <c r="Q172" s="8">
        <f>LARGE(E172:M172,2)</f>
        <v>88</v>
      </c>
      <c r="R172" s="8">
        <f>LARGE(E172:M172,3)</f>
        <v>85</v>
      </c>
      <c r="S172" s="8">
        <f>LARGE(E172:M172,4)</f>
        <v>82</v>
      </c>
      <c r="T172" s="8">
        <f>LARGE(E172:M172,5)</f>
        <v>81</v>
      </c>
      <c r="U172" s="11">
        <f>SUM(LARGE(E172:M172, 1), LARGE(E172:M172, 2), LARGE(E172:M172, 3), LARGE(E172:M172, 4), LARGE(E172:M172, 5))</f>
        <v>427</v>
      </c>
      <c r="V172" s="11">
        <f>U172/5</f>
        <v>85.4</v>
      </c>
    </row>
    <row r="173" spans="1:22">
      <c r="A173" s="2">
        <v>171</v>
      </c>
      <c r="B173" s="2" t="s">
        <v>367</v>
      </c>
      <c r="C173" s="12" t="s">
        <v>674</v>
      </c>
      <c r="D173" s="2" t="s">
        <v>17</v>
      </c>
      <c r="E173" s="2">
        <v>84</v>
      </c>
      <c r="F173" s="2"/>
      <c r="G173" s="2">
        <v>94</v>
      </c>
      <c r="H173" s="2"/>
      <c r="I173" s="2"/>
      <c r="J173" s="2">
        <v>69</v>
      </c>
      <c r="K173" s="2">
        <v>81</v>
      </c>
      <c r="L173" s="2">
        <v>72</v>
      </c>
      <c r="M173" s="2">
        <v>96</v>
      </c>
      <c r="N173" s="2">
        <v>496</v>
      </c>
      <c r="O173" s="2">
        <v>82.67</v>
      </c>
      <c r="P173" s="8">
        <f>LARGE(E173:M173,1)</f>
        <v>96</v>
      </c>
      <c r="Q173" s="8">
        <f>LARGE(E173:M173,2)</f>
        <v>94</v>
      </c>
      <c r="R173" s="8">
        <f>LARGE(E173:M173,3)</f>
        <v>84</v>
      </c>
      <c r="S173" s="8">
        <f>LARGE(E173:M173,4)</f>
        <v>81</v>
      </c>
      <c r="T173" s="8">
        <f>LARGE(E173:M173,5)</f>
        <v>72</v>
      </c>
      <c r="U173" s="11">
        <f>SUM(LARGE(E173:M173, 1), LARGE(E173:M173, 2), LARGE(E173:M173, 3), LARGE(E173:M173, 4), LARGE(E173:M173, 5))</f>
        <v>427</v>
      </c>
      <c r="V173" s="11">
        <f>U173/5</f>
        <v>85.4</v>
      </c>
    </row>
    <row r="174" spans="1:22">
      <c r="A174" s="2">
        <v>172</v>
      </c>
      <c r="B174" s="2" t="s">
        <v>465</v>
      </c>
      <c r="C174" s="12" t="s">
        <v>723</v>
      </c>
      <c r="D174" s="2" t="s">
        <v>22</v>
      </c>
      <c r="E174" s="2">
        <v>75</v>
      </c>
      <c r="F174" s="2"/>
      <c r="G174" s="2"/>
      <c r="H174" s="2">
        <v>61</v>
      </c>
      <c r="I174" s="2">
        <v>79</v>
      </c>
      <c r="J174" s="2">
        <v>85</v>
      </c>
      <c r="K174" s="2">
        <v>91</v>
      </c>
      <c r="L174" s="2"/>
      <c r="M174" s="2">
        <v>97</v>
      </c>
      <c r="N174" s="2">
        <v>488</v>
      </c>
      <c r="O174" s="2">
        <v>81.33</v>
      </c>
      <c r="P174" s="8">
        <f>LARGE(E174:M174,1)</f>
        <v>97</v>
      </c>
      <c r="Q174" s="8">
        <f>LARGE(E174:M174,2)</f>
        <v>91</v>
      </c>
      <c r="R174" s="8">
        <f>LARGE(E174:M174,3)</f>
        <v>85</v>
      </c>
      <c r="S174" s="8">
        <f>LARGE(E174:M174,4)</f>
        <v>79</v>
      </c>
      <c r="T174" s="8">
        <f>LARGE(E174:M174,5)</f>
        <v>75</v>
      </c>
      <c r="U174" s="11">
        <f>SUM(LARGE(E174:M174, 1), LARGE(E174:M174, 2), LARGE(E174:M174, 3), LARGE(E174:M174, 4), LARGE(E174:M174, 5))</f>
        <v>427</v>
      </c>
      <c r="V174" s="11">
        <f>U174/5</f>
        <v>85.4</v>
      </c>
    </row>
    <row r="175" spans="1:22">
      <c r="A175" s="2">
        <v>173</v>
      </c>
      <c r="B175" s="2" t="s">
        <v>319</v>
      </c>
      <c r="C175" s="12" t="s">
        <v>650</v>
      </c>
      <c r="D175" s="2" t="s">
        <v>17</v>
      </c>
      <c r="E175" s="2">
        <v>92</v>
      </c>
      <c r="F175" s="2"/>
      <c r="G175" s="2"/>
      <c r="H175" s="2">
        <v>74</v>
      </c>
      <c r="I175" s="2"/>
      <c r="J175" s="2">
        <v>72</v>
      </c>
      <c r="K175" s="2">
        <v>83</v>
      </c>
      <c r="L175" s="2">
        <v>83</v>
      </c>
      <c r="M175" s="2">
        <v>94</v>
      </c>
      <c r="N175" s="2">
        <v>498</v>
      </c>
      <c r="O175" s="2">
        <v>83</v>
      </c>
      <c r="P175" s="8">
        <f>LARGE(E175:M175,1)</f>
        <v>94</v>
      </c>
      <c r="Q175" s="8">
        <f>LARGE(E175:M175,2)</f>
        <v>92</v>
      </c>
      <c r="R175" s="8">
        <f>LARGE(E175:M175,3)</f>
        <v>83</v>
      </c>
      <c r="S175" s="8">
        <f>LARGE(E175:M175,4)</f>
        <v>83</v>
      </c>
      <c r="T175" s="8">
        <f>LARGE(E175:M175,5)</f>
        <v>74</v>
      </c>
      <c r="U175" s="11">
        <f>SUM(LARGE(E175:M175, 1), LARGE(E175:M175, 2), LARGE(E175:M175, 3), LARGE(E175:M175, 4), LARGE(E175:M175, 5))</f>
        <v>426</v>
      </c>
      <c r="V175" s="11">
        <f>U175/5</f>
        <v>85.2</v>
      </c>
    </row>
    <row r="176" spans="1:22">
      <c r="A176" s="2">
        <v>174</v>
      </c>
      <c r="B176" s="2" t="s">
        <v>347</v>
      </c>
      <c r="C176" s="12" t="s">
        <v>664</v>
      </c>
      <c r="D176" s="2" t="s">
        <v>22</v>
      </c>
      <c r="E176" s="2">
        <v>86</v>
      </c>
      <c r="F176" s="2">
        <v>78</v>
      </c>
      <c r="G176" s="2"/>
      <c r="H176" s="2"/>
      <c r="I176" s="2">
        <v>55</v>
      </c>
      <c r="J176" s="2">
        <v>85</v>
      </c>
      <c r="K176" s="2">
        <v>83</v>
      </c>
      <c r="L176" s="2"/>
      <c r="M176" s="2">
        <v>94</v>
      </c>
      <c r="N176" s="2">
        <v>481</v>
      </c>
      <c r="O176" s="2">
        <v>80.17</v>
      </c>
      <c r="P176" s="8">
        <f>LARGE(E176:M176,1)</f>
        <v>94</v>
      </c>
      <c r="Q176" s="8">
        <f>LARGE(E176:M176,2)</f>
        <v>86</v>
      </c>
      <c r="R176" s="8">
        <f>LARGE(E176:M176,3)</f>
        <v>85</v>
      </c>
      <c r="S176" s="8">
        <f>LARGE(E176:M176,4)</f>
        <v>83</v>
      </c>
      <c r="T176" s="8">
        <f>LARGE(E176:M176,5)</f>
        <v>78</v>
      </c>
      <c r="U176" s="11">
        <f>SUM(LARGE(E176:M176, 1), LARGE(E176:M176, 2), LARGE(E176:M176, 3), LARGE(E176:M176, 4), LARGE(E176:M176, 5))</f>
        <v>426</v>
      </c>
      <c r="V176" s="11">
        <f>U176/5</f>
        <v>85.2</v>
      </c>
    </row>
    <row r="177" spans="1:22">
      <c r="A177" s="2">
        <v>175</v>
      </c>
      <c r="B177" s="2" t="s">
        <v>18</v>
      </c>
      <c r="C177" s="12" t="s">
        <v>502</v>
      </c>
      <c r="D177" s="2" t="s">
        <v>17</v>
      </c>
      <c r="E177" s="2">
        <v>90</v>
      </c>
      <c r="F177" s="2"/>
      <c r="G177" s="2"/>
      <c r="H177" s="2">
        <v>73</v>
      </c>
      <c r="I177" s="2">
        <v>61</v>
      </c>
      <c r="J177" s="2">
        <v>76</v>
      </c>
      <c r="K177" s="2">
        <v>86</v>
      </c>
      <c r="L177" s="2"/>
      <c r="M177" s="2">
        <v>100</v>
      </c>
      <c r="N177" s="2">
        <v>486</v>
      </c>
      <c r="O177" s="2">
        <v>81</v>
      </c>
      <c r="P177" s="8">
        <f>LARGE(E177:M177,1)</f>
        <v>100</v>
      </c>
      <c r="Q177" s="8">
        <f>LARGE(E177:M177,2)</f>
        <v>90</v>
      </c>
      <c r="R177" s="8">
        <f>LARGE(E177:M177,3)</f>
        <v>86</v>
      </c>
      <c r="S177" s="8">
        <f>LARGE(E177:M177,4)</f>
        <v>76</v>
      </c>
      <c r="T177" s="8">
        <f>LARGE(E177:M177,5)</f>
        <v>73</v>
      </c>
      <c r="U177" s="11">
        <f>SUM(LARGE(E177:M177, 1), LARGE(E177:M177, 2), LARGE(E177:M177, 3), LARGE(E177:M177, 4), LARGE(E177:M177, 5))</f>
        <v>425</v>
      </c>
      <c r="V177" s="11">
        <f>U177/5</f>
        <v>85</v>
      </c>
    </row>
    <row r="178" spans="1:22">
      <c r="A178" s="2">
        <v>176</v>
      </c>
      <c r="B178" s="2" t="s">
        <v>187</v>
      </c>
      <c r="C178" s="12" t="s">
        <v>584</v>
      </c>
      <c r="D178" s="2" t="s">
        <v>22</v>
      </c>
      <c r="E178" s="2">
        <v>92</v>
      </c>
      <c r="F178" s="2"/>
      <c r="G178" s="2">
        <v>84</v>
      </c>
      <c r="H178" s="2"/>
      <c r="I178" s="2">
        <v>74</v>
      </c>
      <c r="J178" s="2">
        <v>70</v>
      </c>
      <c r="K178" s="2">
        <v>82</v>
      </c>
      <c r="L178" s="2"/>
      <c r="M178" s="2">
        <v>92</v>
      </c>
      <c r="N178" s="2">
        <v>494</v>
      </c>
      <c r="O178" s="2">
        <v>82.33</v>
      </c>
      <c r="P178" s="8">
        <f>LARGE(E178:M178,1)</f>
        <v>92</v>
      </c>
      <c r="Q178" s="8">
        <f>LARGE(E178:M178,2)</f>
        <v>92</v>
      </c>
      <c r="R178" s="8">
        <f>LARGE(E178:M178,3)</f>
        <v>84</v>
      </c>
      <c r="S178" s="8">
        <f>LARGE(E178:M178,4)</f>
        <v>82</v>
      </c>
      <c r="T178" s="8">
        <f>LARGE(E178:M178,5)</f>
        <v>74</v>
      </c>
      <c r="U178" s="11">
        <f>SUM(LARGE(E178:M178, 1), LARGE(E178:M178, 2), LARGE(E178:M178, 3), LARGE(E178:M178, 4), LARGE(E178:M178, 5))</f>
        <v>424</v>
      </c>
      <c r="V178" s="11">
        <f>U178/5</f>
        <v>84.8</v>
      </c>
    </row>
    <row r="179" spans="1:22">
      <c r="A179" s="2">
        <v>177</v>
      </c>
      <c r="B179" s="2" t="s">
        <v>373</v>
      </c>
      <c r="C179" s="12" t="s">
        <v>677</v>
      </c>
      <c r="D179" s="2" t="s">
        <v>22</v>
      </c>
      <c r="E179" s="2">
        <v>84</v>
      </c>
      <c r="F179" s="2"/>
      <c r="G179" s="2">
        <v>91</v>
      </c>
      <c r="H179" s="2"/>
      <c r="I179" s="2">
        <v>73</v>
      </c>
      <c r="J179" s="2">
        <v>78</v>
      </c>
      <c r="K179" s="2">
        <v>77</v>
      </c>
      <c r="L179" s="2"/>
      <c r="M179" s="2">
        <v>94</v>
      </c>
      <c r="N179" s="2">
        <v>497</v>
      </c>
      <c r="O179" s="2">
        <v>82.83</v>
      </c>
      <c r="P179" s="8">
        <f>LARGE(E179:M179,1)</f>
        <v>94</v>
      </c>
      <c r="Q179" s="8">
        <f>LARGE(E179:M179,2)</f>
        <v>91</v>
      </c>
      <c r="R179" s="8">
        <f>LARGE(E179:M179,3)</f>
        <v>84</v>
      </c>
      <c r="S179" s="8">
        <f>LARGE(E179:M179,4)</f>
        <v>78</v>
      </c>
      <c r="T179" s="8">
        <f>LARGE(E179:M179,5)</f>
        <v>77</v>
      </c>
      <c r="U179" s="11">
        <f>SUM(LARGE(E179:M179, 1), LARGE(E179:M179, 2), LARGE(E179:M179, 3), LARGE(E179:M179, 4), LARGE(E179:M179, 5))</f>
        <v>424</v>
      </c>
      <c r="V179" s="11">
        <f>U179/5</f>
        <v>84.8</v>
      </c>
    </row>
    <row r="180" spans="1:22">
      <c r="A180" s="2">
        <v>178</v>
      </c>
      <c r="B180" s="2" t="s">
        <v>481</v>
      </c>
      <c r="C180" s="12" t="s">
        <v>731</v>
      </c>
      <c r="D180" s="2" t="s">
        <v>22</v>
      </c>
      <c r="E180" s="2">
        <v>86</v>
      </c>
      <c r="F180" s="2">
        <v>75</v>
      </c>
      <c r="G180" s="2"/>
      <c r="H180" s="2"/>
      <c r="I180" s="2"/>
      <c r="J180" s="2">
        <v>78</v>
      </c>
      <c r="K180" s="2">
        <v>86</v>
      </c>
      <c r="L180" s="2">
        <v>81</v>
      </c>
      <c r="M180" s="2">
        <v>92</v>
      </c>
      <c r="N180" s="2">
        <v>498</v>
      </c>
      <c r="O180" s="2">
        <v>83</v>
      </c>
      <c r="P180" s="8">
        <f>LARGE(E180:M180,1)</f>
        <v>92</v>
      </c>
      <c r="Q180" s="8">
        <f>LARGE(E180:M180,2)</f>
        <v>86</v>
      </c>
      <c r="R180" s="8">
        <f>LARGE(E180:M180,3)</f>
        <v>86</v>
      </c>
      <c r="S180" s="8">
        <f>LARGE(E180:M180,4)</f>
        <v>81</v>
      </c>
      <c r="T180" s="8">
        <f>LARGE(E180:M180,5)</f>
        <v>78</v>
      </c>
      <c r="U180" s="11">
        <f>SUM(LARGE(E180:M180, 1), LARGE(E180:M180, 2), LARGE(E180:M180, 3), LARGE(E180:M180, 4), LARGE(E180:M180, 5))</f>
        <v>423</v>
      </c>
      <c r="V180" s="11">
        <f>U180/5</f>
        <v>84.6</v>
      </c>
    </row>
    <row r="181" spans="1:22">
      <c r="A181" s="2">
        <v>179</v>
      </c>
      <c r="B181" s="2" t="s">
        <v>23</v>
      </c>
      <c r="C181" s="13" t="s">
        <v>503</v>
      </c>
      <c r="D181" s="2" t="s">
        <v>22</v>
      </c>
      <c r="E181" s="2">
        <v>80</v>
      </c>
      <c r="F181" s="2">
        <v>86</v>
      </c>
      <c r="G181" s="2"/>
      <c r="H181" s="2"/>
      <c r="I181" s="2">
        <v>60</v>
      </c>
      <c r="J181" s="2">
        <v>74</v>
      </c>
      <c r="K181" s="2">
        <v>90</v>
      </c>
      <c r="L181" s="2"/>
      <c r="M181" s="2">
        <v>92</v>
      </c>
      <c r="N181" s="2">
        <v>482</v>
      </c>
      <c r="O181" s="2">
        <v>80.33</v>
      </c>
      <c r="P181" s="8">
        <f>LARGE(E181:M181,1)</f>
        <v>92</v>
      </c>
      <c r="Q181" s="8">
        <f>LARGE(E181:M181,2)</f>
        <v>90</v>
      </c>
      <c r="R181" s="8">
        <f>LARGE(E181:M181,3)</f>
        <v>86</v>
      </c>
      <c r="S181" s="8">
        <f>LARGE(E181:M181,4)</f>
        <v>80</v>
      </c>
      <c r="T181" s="8">
        <f>LARGE(E181:M181,5)</f>
        <v>74</v>
      </c>
      <c r="U181" s="11">
        <f>SUM(LARGE(E181:M181, 1), LARGE(E181:M181, 2), LARGE(E181:M181, 3), LARGE(E181:M181, 4), LARGE(E181:M181, 5))</f>
        <v>422</v>
      </c>
      <c r="V181" s="11">
        <f>U181/5</f>
        <v>84.4</v>
      </c>
    </row>
    <row r="182" spans="1:22">
      <c r="A182" s="2">
        <v>180</v>
      </c>
      <c r="B182" s="2" t="s">
        <v>381</v>
      </c>
      <c r="C182" s="12" t="s">
        <v>681</v>
      </c>
      <c r="D182" s="2" t="s">
        <v>22</v>
      </c>
      <c r="E182" s="2">
        <v>85</v>
      </c>
      <c r="F182" s="2">
        <v>80</v>
      </c>
      <c r="G182" s="2"/>
      <c r="H182" s="2"/>
      <c r="I182" s="2"/>
      <c r="J182" s="2">
        <v>70</v>
      </c>
      <c r="K182" s="2">
        <v>90</v>
      </c>
      <c r="L182" s="2">
        <v>74</v>
      </c>
      <c r="M182" s="2">
        <v>93</v>
      </c>
      <c r="N182" s="2">
        <v>492</v>
      </c>
      <c r="O182" s="2">
        <v>82</v>
      </c>
      <c r="P182" s="8">
        <f>LARGE(E182:M182,1)</f>
        <v>93</v>
      </c>
      <c r="Q182" s="8">
        <f>LARGE(E182:M182,2)</f>
        <v>90</v>
      </c>
      <c r="R182" s="8">
        <f>LARGE(E182:M182,3)</f>
        <v>85</v>
      </c>
      <c r="S182" s="8">
        <f>LARGE(E182:M182,4)</f>
        <v>80</v>
      </c>
      <c r="T182" s="8">
        <f>LARGE(E182:M182,5)</f>
        <v>74</v>
      </c>
      <c r="U182" s="11">
        <f>SUM(LARGE(E182:M182, 1), LARGE(E182:M182, 2), LARGE(E182:M182, 3), LARGE(E182:M182, 4), LARGE(E182:M182, 5))</f>
        <v>422</v>
      </c>
      <c r="V182" s="11">
        <f>U182/5</f>
        <v>84.4</v>
      </c>
    </row>
    <row r="183" spans="1:22">
      <c r="A183" s="2">
        <v>181</v>
      </c>
      <c r="B183" s="2" t="s">
        <v>64</v>
      </c>
      <c r="C183" s="13" t="s">
        <v>523</v>
      </c>
      <c r="D183" s="2" t="s">
        <v>22</v>
      </c>
      <c r="E183" s="2">
        <v>84</v>
      </c>
      <c r="F183" s="2">
        <v>88</v>
      </c>
      <c r="G183" s="2"/>
      <c r="H183" s="2"/>
      <c r="I183" s="2"/>
      <c r="J183" s="2">
        <v>76</v>
      </c>
      <c r="K183" s="2">
        <v>91</v>
      </c>
      <c r="L183" s="2">
        <v>77</v>
      </c>
      <c r="M183" s="2">
        <v>80</v>
      </c>
      <c r="N183" s="2">
        <v>496</v>
      </c>
      <c r="O183" s="2">
        <v>82.67</v>
      </c>
      <c r="P183" s="8">
        <f>LARGE(E183:M183,1)</f>
        <v>91</v>
      </c>
      <c r="Q183" s="8">
        <f>LARGE(E183:M183,2)</f>
        <v>88</v>
      </c>
      <c r="R183" s="8">
        <f>LARGE(E183:M183,3)</f>
        <v>84</v>
      </c>
      <c r="S183" s="8">
        <f>LARGE(E183:M183,4)</f>
        <v>80</v>
      </c>
      <c r="T183" s="8">
        <f>LARGE(E183:M183,5)</f>
        <v>77</v>
      </c>
      <c r="U183" s="11">
        <f>SUM(LARGE(E183:M183, 1), LARGE(E183:M183, 2), LARGE(E183:M183, 3), LARGE(E183:M183, 4), LARGE(E183:M183, 5))</f>
        <v>420</v>
      </c>
      <c r="V183" s="11">
        <f>U183/5</f>
        <v>84</v>
      </c>
    </row>
    <row r="184" spans="1:22">
      <c r="A184" s="2">
        <v>182</v>
      </c>
      <c r="B184" s="2" t="s">
        <v>391</v>
      </c>
      <c r="C184" s="12" t="s">
        <v>686</v>
      </c>
      <c r="D184" s="2" t="s">
        <v>22</v>
      </c>
      <c r="E184" s="2">
        <v>81</v>
      </c>
      <c r="F184" s="2">
        <v>90</v>
      </c>
      <c r="G184" s="2"/>
      <c r="H184" s="2"/>
      <c r="I184" s="2"/>
      <c r="J184" s="2">
        <v>64</v>
      </c>
      <c r="K184" s="2">
        <v>86</v>
      </c>
      <c r="L184" s="2">
        <v>65</v>
      </c>
      <c r="M184" s="2">
        <v>96</v>
      </c>
      <c r="N184" s="2">
        <v>482</v>
      </c>
      <c r="O184" s="2">
        <v>80.33</v>
      </c>
      <c r="P184" s="8">
        <f>LARGE(E184:M184,1)</f>
        <v>96</v>
      </c>
      <c r="Q184" s="8">
        <f>LARGE(E184:M184,2)</f>
        <v>90</v>
      </c>
      <c r="R184" s="8">
        <f>LARGE(E184:M184,3)</f>
        <v>86</v>
      </c>
      <c r="S184" s="8">
        <f>LARGE(E184:M184,4)</f>
        <v>81</v>
      </c>
      <c r="T184" s="8">
        <f>LARGE(E184:M184,5)</f>
        <v>65</v>
      </c>
      <c r="U184" s="11">
        <f>SUM(LARGE(E184:M184, 1), LARGE(E184:M184, 2), LARGE(E184:M184, 3), LARGE(E184:M184, 4), LARGE(E184:M184, 5))</f>
        <v>418</v>
      </c>
      <c r="V184" s="11">
        <f>U184/5</f>
        <v>83.6</v>
      </c>
    </row>
    <row r="185" spans="1:22">
      <c r="A185" s="2">
        <v>183</v>
      </c>
      <c r="B185" s="2" t="s">
        <v>419</v>
      </c>
      <c r="C185" s="12" t="s">
        <v>700</v>
      </c>
      <c r="D185" s="2" t="s">
        <v>22</v>
      </c>
      <c r="E185" s="2">
        <v>75</v>
      </c>
      <c r="F185" s="2"/>
      <c r="G185" s="2">
        <v>76</v>
      </c>
      <c r="H185" s="2"/>
      <c r="I185" s="2">
        <v>78</v>
      </c>
      <c r="J185" s="2">
        <v>91</v>
      </c>
      <c r="K185" s="2">
        <v>73</v>
      </c>
      <c r="L185" s="2"/>
      <c r="M185" s="2">
        <v>97</v>
      </c>
      <c r="N185" s="2">
        <v>490</v>
      </c>
      <c r="O185" s="2">
        <v>81.67</v>
      </c>
      <c r="P185" s="8">
        <f>LARGE(E185:M185,1)</f>
        <v>97</v>
      </c>
      <c r="Q185" s="8">
        <f>LARGE(E185:M185,2)</f>
        <v>91</v>
      </c>
      <c r="R185" s="8">
        <f>LARGE(E185:M185,3)</f>
        <v>78</v>
      </c>
      <c r="S185" s="8">
        <f>LARGE(E185:M185,4)</f>
        <v>76</v>
      </c>
      <c r="T185" s="8">
        <f>LARGE(E185:M185,5)</f>
        <v>75</v>
      </c>
      <c r="U185" s="11">
        <f>SUM(LARGE(E185:M185, 1), LARGE(E185:M185, 2), LARGE(E185:M185, 3), LARGE(E185:M185, 4), LARGE(E185:M185, 5))</f>
        <v>417</v>
      </c>
      <c r="V185" s="11">
        <f>U185/5</f>
        <v>83.4</v>
      </c>
    </row>
    <row r="186" spans="1:22">
      <c r="A186" s="2">
        <v>184</v>
      </c>
      <c r="B186" s="2" t="s">
        <v>233</v>
      </c>
      <c r="C186" s="12" t="s">
        <v>607</v>
      </c>
      <c r="D186" s="2" t="s">
        <v>17</v>
      </c>
      <c r="E186" s="2">
        <v>86</v>
      </c>
      <c r="F186" s="2"/>
      <c r="G186" s="2">
        <v>92</v>
      </c>
      <c r="H186" s="2"/>
      <c r="I186" s="2"/>
      <c r="J186" s="2">
        <v>61</v>
      </c>
      <c r="K186" s="2">
        <v>80</v>
      </c>
      <c r="L186" s="2">
        <v>68</v>
      </c>
      <c r="M186" s="2">
        <v>90</v>
      </c>
      <c r="N186" s="2">
        <v>477</v>
      </c>
      <c r="O186" s="2">
        <v>79.5</v>
      </c>
      <c r="P186" s="8">
        <f>LARGE(E186:M186,1)</f>
        <v>92</v>
      </c>
      <c r="Q186" s="8">
        <f>LARGE(E186:M186,2)</f>
        <v>90</v>
      </c>
      <c r="R186" s="8">
        <f>LARGE(E186:M186,3)</f>
        <v>86</v>
      </c>
      <c r="S186" s="8">
        <f>LARGE(E186:M186,4)</f>
        <v>80</v>
      </c>
      <c r="T186" s="8">
        <f>LARGE(E186:M186,5)</f>
        <v>68</v>
      </c>
      <c r="U186" s="11">
        <f>SUM(LARGE(E186:M186, 1), LARGE(E186:M186, 2), LARGE(E186:M186, 3), LARGE(E186:M186, 4), LARGE(E186:M186, 5))</f>
        <v>416</v>
      </c>
      <c r="V186" s="11">
        <f>U186/5</f>
        <v>83.2</v>
      </c>
    </row>
    <row r="187" spans="1:22">
      <c r="A187" s="2">
        <v>185</v>
      </c>
      <c r="B187" s="2" t="s">
        <v>467</v>
      </c>
      <c r="C187" s="12" t="s">
        <v>724</v>
      </c>
      <c r="D187" s="2" t="s">
        <v>22</v>
      </c>
      <c r="E187" s="2">
        <v>81</v>
      </c>
      <c r="F187" s="2"/>
      <c r="G187" s="2"/>
      <c r="H187" s="2">
        <v>71</v>
      </c>
      <c r="I187" s="2">
        <v>55</v>
      </c>
      <c r="J187" s="2">
        <v>82</v>
      </c>
      <c r="K187" s="2">
        <v>85</v>
      </c>
      <c r="L187" s="2"/>
      <c r="M187" s="2">
        <v>97</v>
      </c>
      <c r="N187" s="2">
        <v>471</v>
      </c>
      <c r="O187" s="2">
        <v>78.5</v>
      </c>
      <c r="P187" s="8">
        <f>LARGE(E187:M187,1)</f>
        <v>97</v>
      </c>
      <c r="Q187" s="8">
        <f>LARGE(E187:M187,2)</f>
        <v>85</v>
      </c>
      <c r="R187" s="8">
        <f>LARGE(E187:M187,3)</f>
        <v>82</v>
      </c>
      <c r="S187" s="8">
        <f>LARGE(E187:M187,4)</f>
        <v>81</v>
      </c>
      <c r="T187" s="8">
        <f>LARGE(E187:M187,5)</f>
        <v>71</v>
      </c>
      <c r="U187" s="11">
        <f>SUM(LARGE(E187:M187, 1), LARGE(E187:M187, 2), LARGE(E187:M187, 3), LARGE(E187:M187, 4), LARGE(E187:M187, 5))</f>
        <v>416</v>
      </c>
      <c r="V187" s="11">
        <f>U187/5</f>
        <v>83.2</v>
      </c>
    </row>
    <row r="188" spans="1:22">
      <c r="A188" s="2">
        <v>186</v>
      </c>
      <c r="B188" s="2" t="s">
        <v>96</v>
      </c>
      <c r="C188" s="12" t="s">
        <v>539</v>
      </c>
      <c r="D188" s="2" t="s">
        <v>17</v>
      </c>
      <c r="E188" s="2">
        <v>81</v>
      </c>
      <c r="F188" s="2"/>
      <c r="G188" s="2">
        <v>81</v>
      </c>
      <c r="H188" s="2"/>
      <c r="I188" s="2"/>
      <c r="J188" s="2">
        <v>59</v>
      </c>
      <c r="K188" s="2">
        <v>79</v>
      </c>
      <c r="L188" s="2">
        <v>83</v>
      </c>
      <c r="M188" s="2">
        <v>91</v>
      </c>
      <c r="N188" s="2">
        <v>474</v>
      </c>
      <c r="O188" s="2">
        <v>79</v>
      </c>
      <c r="P188" s="8">
        <f>LARGE(E188:M188,1)</f>
        <v>91</v>
      </c>
      <c r="Q188" s="8">
        <f>LARGE(E188:M188,2)</f>
        <v>83</v>
      </c>
      <c r="R188" s="8">
        <f>LARGE(E188:M188,3)</f>
        <v>81</v>
      </c>
      <c r="S188" s="8">
        <f>LARGE(E188:M188,4)</f>
        <v>81</v>
      </c>
      <c r="T188" s="8">
        <f>LARGE(E188:M188,5)</f>
        <v>79</v>
      </c>
      <c r="U188" s="11">
        <f>SUM(LARGE(E188:M188, 1), LARGE(E188:M188, 2), LARGE(E188:M188, 3), LARGE(E188:M188, 4), LARGE(E188:M188, 5))</f>
        <v>415</v>
      </c>
      <c r="V188" s="11">
        <f>U188/5</f>
        <v>83</v>
      </c>
    </row>
    <row r="189" spans="1:22">
      <c r="A189" s="2">
        <v>187</v>
      </c>
      <c r="B189" s="2" t="s">
        <v>349</v>
      </c>
      <c r="C189" s="13" t="s">
        <v>665</v>
      </c>
      <c r="D189" s="2" t="s">
        <v>22</v>
      </c>
      <c r="E189" s="2">
        <v>89</v>
      </c>
      <c r="F189" s="2">
        <v>81</v>
      </c>
      <c r="G189" s="2"/>
      <c r="H189" s="2"/>
      <c r="I189" s="2"/>
      <c r="J189" s="2">
        <v>77</v>
      </c>
      <c r="K189" s="2">
        <v>78</v>
      </c>
      <c r="L189" s="2">
        <v>64</v>
      </c>
      <c r="M189" s="2">
        <v>90</v>
      </c>
      <c r="N189" s="2">
        <v>479</v>
      </c>
      <c r="O189" s="2">
        <v>79.83</v>
      </c>
      <c r="P189" s="8">
        <f>LARGE(E189:M189,1)</f>
        <v>90</v>
      </c>
      <c r="Q189" s="8">
        <f>LARGE(E189:M189,2)</f>
        <v>89</v>
      </c>
      <c r="R189" s="8">
        <f>LARGE(E189:M189,3)</f>
        <v>81</v>
      </c>
      <c r="S189" s="8">
        <f>LARGE(E189:M189,4)</f>
        <v>78</v>
      </c>
      <c r="T189" s="8">
        <f>LARGE(E189:M189,5)</f>
        <v>77</v>
      </c>
      <c r="U189" s="11">
        <f>SUM(LARGE(E189:M189, 1), LARGE(E189:M189, 2), LARGE(E189:M189, 3), LARGE(E189:M189, 4), LARGE(E189:M189, 5))</f>
        <v>415</v>
      </c>
      <c r="V189" s="11">
        <f>U189/5</f>
        <v>83</v>
      </c>
    </row>
    <row r="190" spans="1:22">
      <c r="A190" s="2">
        <v>188</v>
      </c>
      <c r="B190" s="2" t="s">
        <v>413</v>
      </c>
      <c r="C190" s="13" t="s">
        <v>697</v>
      </c>
      <c r="D190" s="2" t="s">
        <v>22</v>
      </c>
      <c r="E190" s="2">
        <v>79</v>
      </c>
      <c r="F190" s="2">
        <v>86</v>
      </c>
      <c r="G190" s="2"/>
      <c r="H190" s="2"/>
      <c r="I190" s="2"/>
      <c r="J190" s="2">
        <v>73</v>
      </c>
      <c r="K190" s="2">
        <v>81</v>
      </c>
      <c r="L190" s="2">
        <v>77</v>
      </c>
      <c r="M190" s="2">
        <v>91</v>
      </c>
      <c r="N190" s="2">
        <v>487</v>
      </c>
      <c r="O190" s="2">
        <v>81.17</v>
      </c>
      <c r="P190" s="8">
        <f>LARGE(E190:M190,1)</f>
        <v>91</v>
      </c>
      <c r="Q190" s="8">
        <f>LARGE(E190:M190,2)</f>
        <v>86</v>
      </c>
      <c r="R190" s="8">
        <f>LARGE(E190:M190,3)</f>
        <v>81</v>
      </c>
      <c r="S190" s="8">
        <f>LARGE(E190:M190,4)</f>
        <v>79</v>
      </c>
      <c r="T190" s="8">
        <f>LARGE(E190:M190,5)</f>
        <v>77</v>
      </c>
      <c r="U190" s="11">
        <f>SUM(LARGE(E190:M190, 1), LARGE(E190:M190, 2), LARGE(E190:M190, 3), LARGE(E190:M190, 4), LARGE(E190:M190, 5))</f>
        <v>414</v>
      </c>
      <c r="V190" s="11">
        <f>U190/5</f>
        <v>82.8</v>
      </c>
    </row>
    <row r="191" spans="1:22">
      <c r="A191" s="2">
        <v>189</v>
      </c>
      <c r="B191" s="2" t="s">
        <v>485</v>
      </c>
      <c r="C191" s="12" t="s">
        <v>733</v>
      </c>
      <c r="D191" s="2" t="s">
        <v>22</v>
      </c>
      <c r="E191" s="2">
        <v>62</v>
      </c>
      <c r="F191" s="2">
        <v>76</v>
      </c>
      <c r="G191" s="2"/>
      <c r="H191" s="2"/>
      <c r="I191" s="2"/>
      <c r="J191" s="2">
        <v>86</v>
      </c>
      <c r="K191" s="2">
        <v>87</v>
      </c>
      <c r="L191" s="2">
        <v>74</v>
      </c>
      <c r="M191" s="2">
        <v>91</v>
      </c>
      <c r="N191" s="2">
        <v>476</v>
      </c>
      <c r="O191" s="2">
        <v>79.33</v>
      </c>
      <c r="P191" s="8">
        <f>LARGE(E191:M191,1)</f>
        <v>91</v>
      </c>
      <c r="Q191" s="8">
        <f>LARGE(E191:M191,2)</f>
        <v>87</v>
      </c>
      <c r="R191" s="8">
        <f>LARGE(E191:M191,3)</f>
        <v>86</v>
      </c>
      <c r="S191" s="8">
        <f>LARGE(E191:M191,4)</f>
        <v>76</v>
      </c>
      <c r="T191" s="8">
        <f>LARGE(E191:M191,5)</f>
        <v>74</v>
      </c>
      <c r="U191" s="11">
        <f>SUM(LARGE(E191:M191, 1), LARGE(E191:M191, 2), LARGE(E191:M191, 3), LARGE(E191:M191, 4), LARGE(E191:M191, 5))</f>
        <v>414</v>
      </c>
      <c r="V191" s="11">
        <f>U191/5</f>
        <v>82.8</v>
      </c>
    </row>
    <row r="192" spans="1:22">
      <c r="A192" s="2">
        <v>190</v>
      </c>
      <c r="B192" s="2" t="s">
        <v>54</v>
      </c>
      <c r="C192" s="12" t="s">
        <v>518</v>
      </c>
      <c r="D192" s="2" t="s">
        <v>22</v>
      </c>
      <c r="E192" s="2">
        <v>86</v>
      </c>
      <c r="F192" s="2"/>
      <c r="G192" s="2">
        <v>90</v>
      </c>
      <c r="H192" s="2"/>
      <c r="I192" s="2">
        <v>59</v>
      </c>
      <c r="J192" s="2">
        <v>74</v>
      </c>
      <c r="K192" s="2">
        <v>68</v>
      </c>
      <c r="L192" s="2"/>
      <c r="M192" s="2">
        <v>95</v>
      </c>
      <c r="N192" s="2">
        <v>472</v>
      </c>
      <c r="O192" s="2">
        <v>78.67</v>
      </c>
      <c r="P192" s="8">
        <f>LARGE(E192:M192,1)</f>
        <v>95</v>
      </c>
      <c r="Q192" s="8">
        <f>LARGE(E192:M192,2)</f>
        <v>90</v>
      </c>
      <c r="R192" s="8">
        <f>LARGE(E192:M192,3)</f>
        <v>86</v>
      </c>
      <c r="S192" s="8">
        <f>LARGE(E192:M192,4)</f>
        <v>74</v>
      </c>
      <c r="T192" s="8">
        <f>LARGE(E192:M192,5)</f>
        <v>68</v>
      </c>
      <c r="U192" s="11">
        <f>SUM(LARGE(E192:M192, 1), LARGE(E192:M192, 2), LARGE(E192:M192, 3), LARGE(E192:M192, 4), LARGE(E192:M192, 5))</f>
        <v>413</v>
      </c>
      <c r="V192" s="11">
        <f>U192/5</f>
        <v>82.6</v>
      </c>
    </row>
    <row r="193" spans="1:22">
      <c r="A193" s="2">
        <v>191</v>
      </c>
      <c r="B193" s="2" t="s">
        <v>295</v>
      </c>
      <c r="C193" s="13" t="s">
        <v>638</v>
      </c>
      <c r="D193" s="2" t="s">
        <v>17</v>
      </c>
      <c r="E193" s="2">
        <v>95</v>
      </c>
      <c r="F193" s="2">
        <v>87</v>
      </c>
      <c r="G193" s="2"/>
      <c r="H193" s="2"/>
      <c r="I193" s="2"/>
      <c r="J193" s="2">
        <v>65</v>
      </c>
      <c r="K193" s="2">
        <v>73</v>
      </c>
      <c r="L193" s="2">
        <v>52</v>
      </c>
      <c r="M193" s="2">
        <v>93</v>
      </c>
      <c r="N193" s="2">
        <v>465</v>
      </c>
      <c r="O193" s="2">
        <v>77.5</v>
      </c>
      <c r="P193" s="8">
        <f>LARGE(E193:M193,1)</f>
        <v>95</v>
      </c>
      <c r="Q193" s="8">
        <f>LARGE(E193:M193,2)</f>
        <v>93</v>
      </c>
      <c r="R193" s="8">
        <f>LARGE(E193:M193,3)</f>
        <v>87</v>
      </c>
      <c r="S193" s="8">
        <f>LARGE(E193:M193,4)</f>
        <v>73</v>
      </c>
      <c r="T193" s="8">
        <f>LARGE(E193:M193,5)</f>
        <v>65</v>
      </c>
      <c r="U193" s="11">
        <f>SUM(LARGE(E193:M193, 1), LARGE(E193:M193, 2), LARGE(E193:M193, 3), LARGE(E193:M193, 4), LARGE(E193:M193, 5))</f>
        <v>413</v>
      </c>
      <c r="V193" s="11">
        <f>U193/5</f>
        <v>82.6</v>
      </c>
    </row>
    <row r="194" spans="1:22">
      <c r="A194" s="2">
        <v>192</v>
      </c>
      <c r="B194" s="2" t="s">
        <v>355</v>
      </c>
      <c r="C194" s="13" t="s">
        <v>668</v>
      </c>
      <c r="D194" s="2" t="s">
        <v>22</v>
      </c>
      <c r="E194" s="2">
        <v>77</v>
      </c>
      <c r="F194" s="2">
        <v>90</v>
      </c>
      <c r="G194" s="2"/>
      <c r="H194" s="2"/>
      <c r="I194" s="2">
        <v>69</v>
      </c>
      <c r="J194" s="2">
        <v>67</v>
      </c>
      <c r="K194" s="2">
        <v>87</v>
      </c>
      <c r="L194" s="2"/>
      <c r="M194" s="2">
        <v>90</v>
      </c>
      <c r="N194" s="2">
        <v>480</v>
      </c>
      <c r="O194" s="2">
        <v>80</v>
      </c>
      <c r="P194" s="8">
        <f>LARGE(E194:M194,1)</f>
        <v>90</v>
      </c>
      <c r="Q194" s="8">
        <f>LARGE(E194:M194,2)</f>
        <v>90</v>
      </c>
      <c r="R194" s="8">
        <f>LARGE(E194:M194,3)</f>
        <v>87</v>
      </c>
      <c r="S194" s="8">
        <f>LARGE(E194:M194,4)</f>
        <v>77</v>
      </c>
      <c r="T194" s="8">
        <f>LARGE(E194:M194,5)</f>
        <v>69</v>
      </c>
      <c r="U194" s="11">
        <f>SUM(LARGE(E194:M194, 1), LARGE(E194:M194, 2), LARGE(E194:M194, 3), LARGE(E194:M194, 4), LARGE(E194:M194, 5))</f>
        <v>413</v>
      </c>
      <c r="V194" s="11">
        <f>U194/5</f>
        <v>82.6</v>
      </c>
    </row>
    <row r="195" spans="1:22">
      <c r="A195" s="2">
        <v>193</v>
      </c>
      <c r="B195" s="2" t="s">
        <v>154</v>
      </c>
      <c r="C195" s="12" t="s">
        <v>568</v>
      </c>
      <c r="D195" s="2" t="s">
        <v>22</v>
      </c>
      <c r="E195" s="2">
        <v>83</v>
      </c>
      <c r="F195" s="2">
        <v>82</v>
      </c>
      <c r="G195" s="2"/>
      <c r="H195" s="2"/>
      <c r="I195" s="2"/>
      <c r="J195" s="2">
        <v>69</v>
      </c>
      <c r="K195" s="2">
        <v>80</v>
      </c>
      <c r="L195" s="2">
        <v>79</v>
      </c>
      <c r="M195" s="2">
        <v>86</v>
      </c>
      <c r="N195" s="2">
        <v>479</v>
      </c>
      <c r="O195" s="2">
        <v>79.83</v>
      </c>
      <c r="P195" s="8">
        <f>LARGE(E195:M195,1)</f>
        <v>86</v>
      </c>
      <c r="Q195" s="8">
        <f>LARGE(E195:M195,2)</f>
        <v>83</v>
      </c>
      <c r="R195" s="8">
        <f>LARGE(E195:M195,3)</f>
        <v>82</v>
      </c>
      <c r="S195" s="8">
        <f>LARGE(E195:M195,4)</f>
        <v>80</v>
      </c>
      <c r="T195" s="8">
        <f>LARGE(E195:M195,5)</f>
        <v>79</v>
      </c>
      <c r="U195" s="11">
        <f>SUM(LARGE(E195:M195, 1), LARGE(E195:M195, 2), LARGE(E195:M195, 3), LARGE(E195:M195, 4), LARGE(E195:M195, 5))</f>
        <v>410</v>
      </c>
      <c r="V195" s="11">
        <f>U195/5</f>
        <v>82</v>
      </c>
    </row>
    <row r="196" spans="1:22">
      <c r="A196" s="2">
        <v>194</v>
      </c>
      <c r="B196" s="2" t="s">
        <v>142</v>
      </c>
      <c r="C196" s="13" t="s">
        <v>562</v>
      </c>
      <c r="D196" s="2" t="s">
        <v>17</v>
      </c>
      <c r="E196" s="2">
        <v>92</v>
      </c>
      <c r="F196" s="2"/>
      <c r="G196" s="2"/>
      <c r="H196" s="2">
        <v>78</v>
      </c>
      <c r="I196" s="2"/>
      <c r="J196" s="2">
        <v>54</v>
      </c>
      <c r="K196" s="2">
        <v>86</v>
      </c>
      <c r="L196" s="2">
        <v>60</v>
      </c>
      <c r="M196" s="2">
        <v>92</v>
      </c>
      <c r="N196" s="2">
        <v>462</v>
      </c>
      <c r="O196" s="2">
        <v>77</v>
      </c>
      <c r="P196" s="8">
        <f>LARGE(E196:M196,1)</f>
        <v>92</v>
      </c>
      <c r="Q196" s="8">
        <f>LARGE(E196:M196,2)</f>
        <v>92</v>
      </c>
      <c r="R196" s="8">
        <f>LARGE(E196:M196,3)</f>
        <v>86</v>
      </c>
      <c r="S196" s="8">
        <f>LARGE(E196:M196,4)</f>
        <v>78</v>
      </c>
      <c r="T196" s="8">
        <f>LARGE(E196:M196,5)</f>
        <v>60</v>
      </c>
      <c r="U196" s="11">
        <f>SUM(LARGE(E196:M196, 1), LARGE(E196:M196, 2), LARGE(E196:M196, 3), LARGE(E196:M196, 4), LARGE(E196:M196, 5))</f>
        <v>408</v>
      </c>
      <c r="V196" s="11">
        <f>U196/5</f>
        <v>81.599999999999994</v>
      </c>
    </row>
    <row r="197" spans="1:22">
      <c r="A197" s="2">
        <v>195</v>
      </c>
      <c r="B197" s="2" t="s">
        <v>108</v>
      </c>
      <c r="C197" s="12" t="s">
        <v>545</v>
      </c>
      <c r="D197" s="2" t="s">
        <v>17</v>
      </c>
      <c r="E197" s="2">
        <v>90</v>
      </c>
      <c r="F197" s="2"/>
      <c r="G197" s="2">
        <v>82</v>
      </c>
      <c r="H197" s="2"/>
      <c r="I197" s="2"/>
      <c r="J197" s="2">
        <v>69</v>
      </c>
      <c r="K197" s="2">
        <v>75</v>
      </c>
      <c r="L197" s="2">
        <v>65</v>
      </c>
      <c r="M197" s="2">
        <v>91</v>
      </c>
      <c r="N197" s="2">
        <v>472</v>
      </c>
      <c r="O197" s="2">
        <v>78.67</v>
      </c>
      <c r="P197" s="8">
        <f>LARGE(E197:M197,1)</f>
        <v>91</v>
      </c>
      <c r="Q197" s="8">
        <f>LARGE(E197:M197,2)</f>
        <v>90</v>
      </c>
      <c r="R197" s="8">
        <f>LARGE(E197:M197,3)</f>
        <v>82</v>
      </c>
      <c r="S197" s="8">
        <f>LARGE(E197:M197,4)</f>
        <v>75</v>
      </c>
      <c r="T197" s="8">
        <f>LARGE(E197:M197,5)</f>
        <v>69</v>
      </c>
      <c r="U197" s="11">
        <f>SUM(LARGE(E197:M197, 1), LARGE(E197:M197, 2), LARGE(E197:M197, 3), LARGE(E197:M197, 4), LARGE(E197:M197, 5))</f>
        <v>407</v>
      </c>
      <c r="V197" s="11">
        <f>U197/5</f>
        <v>81.400000000000006</v>
      </c>
    </row>
    <row r="198" spans="1:22">
      <c r="A198" s="2">
        <v>196</v>
      </c>
      <c r="B198" s="2" t="s">
        <v>247</v>
      </c>
      <c r="C198" s="12" t="s">
        <v>614</v>
      </c>
      <c r="D198" s="2" t="s">
        <v>22</v>
      </c>
      <c r="E198" s="2">
        <v>78</v>
      </c>
      <c r="F198" s="2">
        <v>84</v>
      </c>
      <c r="G198" s="2"/>
      <c r="H198" s="2"/>
      <c r="I198" s="2">
        <v>62</v>
      </c>
      <c r="J198" s="2">
        <v>82</v>
      </c>
      <c r="K198" s="2">
        <v>78</v>
      </c>
      <c r="L198" s="2"/>
      <c r="M198" s="2">
        <v>85</v>
      </c>
      <c r="N198" s="2">
        <v>469</v>
      </c>
      <c r="O198" s="2">
        <v>78.17</v>
      </c>
      <c r="P198" s="8">
        <f>LARGE(E198:M198,1)</f>
        <v>85</v>
      </c>
      <c r="Q198" s="8">
        <f>LARGE(E198:M198,2)</f>
        <v>84</v>
      </c>
      <c r="R198" s="8">
        <f>LARGE(E198:M198,3)</f>
        <v>82</v>
      </c>
      <c r="S198" s="8">
        <f>LARGE(E198:M198,4)</f>
        <v>78</v>
      </c>
      <c r="T198" s="8">
        <f>LARGE(E198:M198,5)</f>
        <v>78</v>
      </c>
      <c r="U198" s="11">
        <f>SUM(LARGE(E198:M198, 1), LARGE(E198:M198, 2), LARGE(E198:M198, 3), LARGE(E198:M198, 4), LARGE(E198:M198, 5))</f>
        <v>407</v>
      </c>
      <c r="V198" s="11">
        <f>U198/5</f>
        <v>81.400000000000006</v>
      </c>
    </row>
    <row r="199" spans="1:22">
      <c r="A199" s="2">
        <v>197</v>
      </c>
      <c r="B199" s="2" t="s">
        <v>415</v>
      </c>
      <c r="C199" s="12" t="s">
        <v>698</v>
      </c>
      <c r="D199" s="2" t="s">
        <v>22</v>
      </c>
      <c r="E199" s="2">
        <v>67</v>
      </c>
      <c r="F199" s="2">
        <v>84</v>
      </c>
      <c r="G199" s="2"/>
      <c r="H199" s="2"/>
      <c r="I199" s="2">
        <v>60</v>
      </c>
      <c r="J199" s="2">
        <v>69</v>
      </c>
      <c r="K199" s="2">
        <v>92</v>
      </c>
      <c r="L199" s="2"/>
      <c r="M199" s="2">
        <v>94</v>
      </c>
      <c r="N199" s="2">
        <v>466</v>
      </c>
      <c r="O199" s="2">
        <v>77.67</v>
      </c>
      <c r="P199" s="8">
        <f>LARGE(E199:M199,1)</f>
        <v>94</v>
      </c>
      <c r="Q199" s="8">
        <f>LARGE(E199:M199,2)</f>
        <v>92</v>
      </c>
      <c r="R199" s="8">
        <f>LARGE(E199:M199,3)</f>
        <v>84</v>
      </c>
      <c r="S199" s="8">
        <f>LARGE(E199:M199,4)</f>
        <v>69</v>
      </c>
      <c r="T199" s="8">
        <f>LARGE(E199:M199,5)</f>
        <v>67</v>
      </c>
      <c r="U199" s="11">
        <f>SUM(LARGE(E199:M199, 1), LARGE(E199:M199, 2), LARGE(E199:M199, 3), LARGE(E199:M199, 4), LARGE(E199:M199, 5))</f>
        <v>406</v>
      </c>
      <c r="V199" s="11">
        <f>U199/5</f>
        <v>81.2</v>
      </c>
    </row>
    <row r="200" spans="1:22">
      <c r="A200" s="2">
        <v>198</v>
      </c>
      <c r="B200" s="2" t="s">
        <v>106</v>
      </c>
      <c r="C200" s="12" t="s">
        <v>544</v>
      </c>
      <c r="D200" s="2" t="s">
        <v>17</v>
      </c>
      <c r="E200" s="2">
        <v>86</v>
      </c>
      <c r="F200" s="2"/>
      <c r="G200" s="2">
        <v>87</v>
      </c>
      <c r="H200" s="2"/>
      <c r="I200" s="2">
        <v>52</v>
      </c>
      <c r="J200" s="2">
        <v>53</v>
      </c>
      <c r="K200" s="2">
        <v>85</v>
      </c>
      <c r="L200" s="2"/>
      <c r="M200" s="2">
        <v>92</v>
      </c>
      <c r="N200" s="2">
        <v>455</v>
      </c>
      <c r="O200" s="2">
        <v>75.83</v>
      </c>
      <c r="P200" s="8">
        <f>LARGE(E200:M200,1)</f>
        <v>92</v>
      </c>
      <c r="Q200" s="8">
        <f>LARGE(E200:M200,2)</f>
        <v>87</v>
      </c>
      <c r="R200" s="8">
        <f>LARGE(E200:M200,3)</f>
        <v>86</v>
      </c>
      <c r="S200" s="8">
        <f>LARGE(E200:M200,4)</f>
        <v>85</v>
      </c>
      <c r="T200" s="8">
        <f>LARGE(E200:M200,5)</f>
        <v>53</v>
      </c>
      <c r="U200" s="11">
        <f>SUM(LARGE(E200:M200, 1), LARGE(E200:M200, 2), LARGE(E200:M200, 3), LARGE(E200:M200, 4), LARGE(E200:M200, 5))</f>
        <v>403</v>
      </c>
      <c r="V200" s="11">
        <f>U200/5</f>
        <v>80.599999999999994</v>
      </c>
    </row>
    <row r="201" spans="1:22">
      <c r="A201" s="2">
        <v>199</v>
      </c>
      <c r="B201" s="2" t="s">
        <v>114</v>
      </c>
      <c r="C201" s="12" t="s">
        <v>548</v>
      </c>
      <c r="D201" s="2" t="s">
        <v>22</v>
      </c>
      <c r="E201" s="2">
        <v>80</v>
      </c>
      <c r="F201" s="2"/>
      <c r="G201" s="2">
        <v>77</v>
      </c>
      <c r="H201" s="2"/>
      <c r="I201" s="2"/>
      <c r="J201" s="2">
        <v>57</v>
      </c>
      <c r="K201" s="2">
        <v>73</v>
      </c>
      <c r="L201" s="2">
        <v>78</v>
      </c>
      <c r="M201" s="2">
        <v>95</v>
      </c>
      <c r="N201" s="2">
        <v>460</v>
      </c>
      <c r="O201" s="2">
        <v>76.67</v>
      </c>
      <c r="P201" s="8">
        <f>LARGE(E201:M201,1)</f>
        <v>95</v>
      </c>
      <c r="Q201" s="8">
        <f>LARGE(E201:M201,2)</f>
        <v>80</v>
      </c>
      <c r="R201" s="8">
        <f>LARGE(E201:M201,3)</f>
        <v>78</v>
      </c>
      <c r="S201" s="8">
        <f>LARGE(E201:M201,4)</f>
        <v>77</v>
      </c>
      <c r="T201" s="8">
        <f>LARGE(E201:M201,5)</f>
        <v>73</v>
      </c>
      <c r="U201" s="11">
        <f>SUM(LARGE(E201:M201, 1), LARGE(E201:M201, 2), LARGE(E201:M201, 3), LARGE(E201:M201, 4), LARGE(E201:M201, 5))</f>
        <v>403</v>
      </c>
      <c r="V201" s="11">
        <f>U201/5</f>
        <v>80.599999999999994</v>
      </c>
    </row>
    <row r="202" spans="1:22">
      <c r="A202" s="2">
        <v>200</v>
      </c>
      <c r="B202" s="2" t="s">
        <v>221</v>
      </c>
      <c r="C202" s="12" t="s">
        <v>601</v>
      </c>
      <c r="D202" s="2" t="s">
        <v>17</v>
      </c>
      <c r="E202" s="2">
        <v>78</v>
      </c>
      <c r="F202" s="2"/>
      <c r="G202" s="2">
        <v>84</v>
      </c>
      <c r="H202" s="2"/>
      <c r="I202" s="2"/>
      <c r="J202" s="2">
        <v>60</v>
      </c>
      <c r="K202" s="2">
        <v>86</v>
      </c>
      <c r="L202" s="2">
        <v>53</v>
      </c>
      <c r="M202" s="2">
        <v>95</v>
      </c>
      <c r="N202" s="2">
        <v>456</v>
      </c>
      <c r="O202" s="2">
        <v>76</v>
      </c>
      <c r="P202" s="8">
        <f>LARGE(E202:M202,1)</f>
        <v>95</v>
      </c>
      <c r="Q202" s="8">
        <f>LARGE(E202:M202,2)</f>
        <v>86</v>
      </c>
      <c r="R202" s="8">
        <f>LARGE(E202:M202,3)</f>
        <v>84</v>
      </c>
      <c r="S202" s="8">
        <f>LARGE(E202:M202,4)</f>
        <v>78</v>
      </c>
      <c r="T202" s="8">
        <f>LARGE(E202:M202,5)</f>
        <v>60</v>
      </c>
      <c r="U202" s="11">
        <f>SUM(LARGE(E202:M202, 1), LARGE(E202:M202, 2), LARGE(E202:M202, 3), LARGE(E202:M202, 4), LARGE(E202:M202, 5))</f>
        <v>403</v>
      </c>
      <c r="V202" s="11">
        <f>U202/5</f>
        <v>80.599999999999994</v>
      </c>
    </row>
    <row r="203" spans="1:22">
      <c r="A203" s="2">
        <v>201</v>
      </c>
      <c r="B203" s="2" t="s">
        <v>30</v>
      </c>
      <c r="C203" s="13" t="s">
        <v>506</v>
      </c>
      <c r="D203" s="2" t="s">
        <v>22</v>
      </c>
      <c r="E203" s="2">
        <v>86</v>
      </c>
      <c r="F203" s="2">
        <v>87</v>
      </c>
      <c r="G203" s="2"/>
      <c r="H203" s="2"/>
      <c r="I203" s="2">
        <v>60</v>
      </c>
      <c r="J203" s="2">
        <v>66</v>
      </c>
      <c r="K203" s="2">
        <v>75</v>
      </c>
      <c r="L203" s="2"/>
      <c r="M203" s="2">
        <v>88</v>
      </c>
      <c r="N203" s="2">
        <v>462</v>
      </c>
      <c r="O203" s="2">
        <v>77</v>
      </c>
      <c r="P203" s="8">
        <f>LARGE(E203:M203,1)</f>
        <v>88</v>
      </c>
      <c r="Q203" s="8">
        <f>LARGE(E203:M203,2)</f>
        <v>87</v>
      </c>
      <c r="R203" s="8">
        <f>LARGE(E203:M203,3)</f>
        <v>86</v>
      </c>
      <c r="S203" s="8">
        <f>LARGE(E203:M203,4)</f>
        <v>75</v>
      </c>
      <c r="T203" s="8">
        <f>LARGE(E203:M203,5)</f>
        <v>66</v>
      </c>
      <c r="U203" s="11">
        <f>SUM(LARGE(E203:M203, 1), LARGE(E203:M203, 2), LARGE(E203:M203, 3), LARGE(E203:M203, 4), LARGE(E203:M203, 5))</f>
        <v>402</v>
      </c>
      <c r="V203" s="11">
        <f>U203/5</f>
        <v>80.400000000000006</v>
      </c>
    </row>
    <row r="204" spans="1:22">
      <c r="A204" s="2">
        <v>202</v>
      </c>
      <c r="B204" s="2" t="s">
        <v>84</v>
      </c>
      <c r="C204" s="12" t="s">
        <v>533</v>
      </c>
      <c r="D204" s="2" t="s">
        <v>22</v>
      </c>
      <c r="E204" s="2">
        <v>76</v>
      </c>
      <c r="F204" s="2"/>
      <c r="G204" s="2">
        <v>80</v>
      </c>
      <c r="H204" s="2"/>
      <c r="I204" s="2"/>
      <c r="J204" s="2">
        <v>60</v>
      </c>
      <c r="K204" s="2">
        <v>79</v>
      </c>
      <c r="L204" s="2">
        <v>78</v>
      </c>
      <c r="M204" s="2">
        <v>89</v>
      </c>
      <c r="N204" s="2">
        <v>462</v>
      </c>
      <c r="O204" s="2">
        <v>77</v>
      </c>
      <c r="P204" s="8">
        <f>LARGE(E204:M204,1)</f>
        <v>89</v>
      </c>
      <c r="Q204" s="8">
        <f>LARGE(E204:M204,2)</f>
        <v>80</v>
      </c>
      <c r="R204" s="8">
        <f>LARGE(E204:M204,3)</f>
        <v>79</v>
      </c>
      <c r="S204" s="8">
        <f>LARGE(E204:M204,4)</f>
        <v>78</v>
      </c>
      <c r="T204" s="8">
        <f>LARGE(E204:M204,5)</f>
        <v>76</v>
      </c>
      <c r="U204" s="11">
        <f>SUM(LARGE(E204:M204, 1), LARGE(E204:M204, 2), LARGE(E204:M204, 3), LARGE(E204:M204, 4), LARGE(E204:M204, 5))</f>
        <v>402</v>
      </c>
      <c r="V204" s="11">
        <f>U204/5</f>
        <v>80.400000000000006</v>
      </c>
    </row>
    <row r="205" spans="1:22">
      <c r="A205" s="2">
        <v>203</v>
      </c>
      <c r="B205" s="2" t="s">
        <v>357</v>
      </c>
      <c r="C205" s="12" t="s">
        <v>669</v>
      </c>
      <c r="D205" s="2" t="s">
        <v>22</v>
      </c>
      <c r="E205" s="2">
        <v>69</v>
      </c>
      <c r="F205" s="2">
        <v>85</v>
      </c>
      <c r="G205" s="2"/>
      <c r="H205" s="2"/>
      <c r="I205" s="2"/>
      <c r="J205" s="2">
        <v>78</v>
      </c>
      <c r="K205" s="2">
        <v>71</v>
      </c>
      <c r="L205" s="2">
        <v>70</v>
      </c>
      <c r="M205" s="2">
        <v>95</v>
      </c>
      <c r="N205" s="2">
        <v>468</v>
      </c>
      <c r="O205" s="2">
        <v>78</v>
      </c>
      <c r="P205" s="8">
        <f>LARGE(E205:M205,1)</f>
        <v>95</v>
      </c>
      <c r="Q205" s="8">
        <f>LARGE(E205:M205,2)</f>
        <v>85</v>
      </c>
      <c r="R205" s="8">
        <f>LARGE(E205:M205,3)</f>
        <v>78</v>
      </c>
      <c r="S205" s="8">
        <f>LARGE(E205:M205,4)</f>
        <v>71</v>
      </c>
      <c r="T205" s="8">
        <f>LARGE(E205:M205,5)</f>
        <v>70</v>
      </c>
      <c r="U205" s="11">
        <f>SUM(LARGE(E205:M205, 1), LARGE(E205:M205, 2), LARGE(E205:M205, 3), LARGE(E205:M205, 4), LARGE(E205:M205, 5))</f>
        <v>399</v>
      </c>
      <c r="V205" s="11">
        <f>U205/5</f>
        <v>79.8</v>
      </c>
    </row>
    <row r="206" spans="1:22">
      <c r="A206" s="2">
        <v>204</v>
      </c>
      <c r="B206" s="2" t="s">
        <v>439</v>
      </c>
      <c r="C206" s="12" t="s">
        <v>710</v>
      </c>
      <c r="D206" s="2" t="s">
        <v>17</v>
      </c>
      <c r="E206" s="2">
        <v>83</v>
      </c>
      <c r="F206" s="2"/>
      <c r="G206" s="2">
        <v>83</v>
      </c>
      <c r="H206" s="2"/>
      <c r="I206" s="2">
        <v>59</v>
      </c>
      <c r="J206" s="2">
        <v>59</v>
      </c>
      <c r="K206" s="2">
        <v>79</v>
      </c>
      <c r="L206" s="2"/>
      <c r="M206" s="2">
        <v>94</v>
      </c>
      <c r="N206" s="2">
        <v>457</v>
      </c>
      <c r="O206" s="2">
        <v>76.17</v>
      </c>
      <c r="P206" s="8">
        <f>LARGE(E206:M206,1)</f>
        <v>94</v>
      </c>
      <c r="Q206" s="8">
        <f>LARGE(E206:M206,2)</f>
        <v>83</v>
      </c>
      <c r="R206" s="8">
        <f>LARGE(E206:M206,3)</f>
        <v>83</v>
      </c>
      <c r="S206" s="8">
        <f>LARGE(E206:M206,4)</f>
        <v>79</v>
      </c>
      <c r="T206" s="8">
        <f>LARGE(E206:M206,5)</f>
        <v>59</v>
      </c>
      <c r="U206" s="11">
        <f>SUM(LARGE(E206:M206, 1), LARGE(E206:M206, 2), LARGE(E206:M206, 3), LARGE(E206:M206, 4), LARGE(E206:M206, 5))</f>
        <v>398</v>
      </c>
      <c r="V206" s="11">
        <f>U206/5</f>
        <v>79.599999999999994</v>
      </c>
    </row>
    <row r="207" spans="1:22">
      <c r="A207" s="2">
        <v>205</v>
      </c>
      <c r="B207" s="2" t="s">
        <v>48</v>
      </c>
      <c r="C207" s="12" t="s">
        <v>515</v>
      </c>
      <c r="D207" s="2" t="s">
        <v>17</v>
      </c>
      <c r="E207" s="2">
        <v>83</v>
      </c>
      <c r="F207" s="2"/>
      <c r="G207" s="2">
        <v>82</v>
      </c>
      <c r="H207" s="2"/>
      <c r="I207" s="2"/>
      <c r="J207" s="2">
        <v>59</v>
      </c>
      <c r="K207" s="2">
        <v>79</v>
      </c>
      <c r="L207" s="2">
        <v>61</v>
      </c>
      <c r="M207" s="2">
        <v>92</v>
      </c>
      <c r="N207" s="2">
        <v>456</v>
      </c>
      <c r="O207" s="2">
        <v>76</v>
      </c>
      <c r="P207" s="8">
        <f>LARGE(E207:M207,1)</f>
        <v>92</v>
      </c>
      <c r="Q207" s="8">
        <f>LARGE(E207:M207,2)</f>
        <v>83</v>
      </c>
      <c r="R207" s="8">
        <f>LARGE(E207:M207,3)</f>
        <v>82</v>
      </c>
      <c r="S207" s="8">
        <f>LARGE(E207:M207,4)</f>
        <v>79</v>
      </c>
      <c r="T207" s="8">
        <f>LARGE(E207:M207,5)</f>
        <v>61</v>
      </c>
      <c r="U207" s="11">
        <f>SUM(LARGE(E207:M207, 1), LARGE(E207:M207, 2), LARGE(E207:M207, 3), LARGE(E207:M207, 4), LARGE(E207:M207, 5))</f>
        <v>397</v>
      </c>
      <c r="V207" s="11">
        <f>U207/5</f>
        <v>79.400000000000006</v>
      </c>
    </row>
    <row r="208" spans="1:22">
      <c r="A208" s="2">
        <v>206</v>
      </c>
      <c r="B208" s="2" t="s">
        <v>70</v>
      </c>
      <c r="C208" s="13" t="s">
        <v>526</v>
      </c>
      <c r="D208" s="2" t="s">
        <v>22</v>
      </c>
      <c r="E208" s="2">
        <v>89</v>
      </c>
      <c r="F208" s="2">
        <v>76</v>
      </c>
      <c r="G208" s="2"/>
      <c r="H208" s="2"/>
      <c r="I208" s="2">
        <v>59</v>
      </c>
      <c r="J208" s="2">
        <v>57</v>
      </c>
      <c r="K208" s="2">
        <v>84</v>
      </c>
      <c r="L208" s="2"/>
      <c r="M208" s="2">
        <v>89</v>
      </c>
      <c r="N208" s="2">
        <v>454</v>
      </c>
      <c r="O208" s="2">
        <v>75.67</v>
      </c>
      <c r="P208" s="8">
        <f>LARGE(E208:M208,1)</f>
        <v>89</v>
      </c>
      <c r="Q208" s="8">
        <f>LARGE(E208:M208,2)</f>
        <v>89</v>
      </c>
      <c r="R208" s="8">
        <f>LARGE(E208:M208,3)</f>
        <v>84</v>
      </c>
      <c r="S208" s="8">
        <f>LARGE(E208:M208,4)</f>
        <v>76</v>
      </c>
      <c r="T208" s="8">
        <f>LARGE(E208:M208,5)</f>
        <v>59</v>
      </c>
      <c r="U208" s="11">
        <f>SUM(LARGE(E208:M208, 1), LARGE(E208:M208, 2), LARGE(E208:M208, 3), LARGE(E208:M208, 4), LARGE(E208:M208, 5))</f>
        <v>397</v>
      </c>
      <c r="V208" s="11">
        <f>U208/5</f>
        <v>79.400000000000006</v>
      </c>
    </row>
    <row r="209" spans="1:22">
      <c r="A209" s="2">
        <v>207</v>
      </c>
      <c r="B209" s="2" t="s">
        <v>229</v>
      </c>
      <c r="C209" s="12" t="s">
        <v>605</v>
      </c>
      <c r="D209" s="2" t="s">
        <v>22</v>
      </c>
      <c r="E209" s="2">
        <v>86</v>
      </c>
      <c r="F209" s="2">
        <v>85</v>
      </c>
      <c r="G209" s="2"/>
      <c r="H209" s="2"/>
      <c r="I209" s="2">
        <v>50</v>
      </c>
      <c r="J209" s="2">
        <v>62</v>
      </c>
      <c r="K209" s="2">
        <v>76</v>
      </c>
      <c r="L209" s="2"/>
      <c r="M209" s="2">
        <v>88</v>
      </c>
      <c r="N209" s="2">
        <v>447</v>
      </c>
      <c r="O209" s="2">
        <v>74.5</v>
      </c>
      <c r="P209" s="8">
        <f>LARGE(E209:M209,1)</f>
        <v>88</v>
      </c>
      <c r="Q209" s="8">
        <f>LARGE(E209:M209,2)</f>
        <v>86</v>
      </c>
      <c r="R209" s="8">
        <f>LARGE(E209:M209,3)</f>
        <v>85</v>
      </c>
      <c r="S209" s="8">
        <f>LARGE(E209:M209,4)</f>
        <v>76</v>
      </c>
      <c r="T209" s="8">
        <f>LARGE(E209:M209,5)</f>
        <v>62</v>
      </c>
      <c r="U209" s="11">
        <f>SUM(LARGE(E209:M209, 1), LARGE(E209:M209, 2), LARGE(E209:M209, 3), LARGE(E209:M209, 4), LARGE(E209:M209, 5))</f>
        <v>397</v>
      </c>
      <c r="V209" s="11">
        <f>U209/5</f>
        <v>79.400000000000006</v>
      </c>
    </row>
    <row r="210" spans="1:22">
      <c r="A210" s="2">
        <v>208</v>
      </c>
      <c r="B210" s="2" t="s">
        <v>251</v>
      </c>
      <c r="C210" s="13" t="s">
        <v>616</v>
      </c>
      <c r="D210" s="2" t="s">
        <v>17</v>
      </c>
      <c r="E210" s="2">
        <v>84</v>
      </c>
      <c r="F210" s="2">
        <v>69</v>
      </c>
      <c r="G210" s="2"/>
      <c r="H210" s="2"/>
      <c r="I210" s="2"/>
      <c r="J210" s="2">
        <v>71</v>
      </c>
      <c r="K210" s="2">
        <v>82</v>
      </c>
      <c r="L210" s="2">
        <v>48</v>
      </c>
      <c r="M210" s="2">
        <v>91</v>
      </c>
      <c r="N210" s="2">
        <v>445</v>
      </c>
      <c r="O210" s="2">
        <v>74.17</v>
      </c>
      <c r="P210" s="8">
        <f>LARGE(E210:M210,1)</f>
        <v>91</v>
      </c>
      <c r="Q210" s="8">
        <f>LARGE(E210:M210,2)</f>
        <v>84</v>
      </c>
      <c r="R210" s="8">
        <f>LARGE(E210:M210,3)</f>
        <v>82</v>
      </c>
      <c r="S210" s="8">
        <f>LARGE(E210:M210,4)</f>
        <v>71</v>
      </c>
      <c r="T210" s="8">
        <f>LARGE(E210:M210,5)</f>
        <v>69</v>
      </c>
      <c r="U210" s="11">
        <f>SUM(LARGE(E210:M210, 1), LARGE(E210:M210, 2), LARGE(E210:M210, 3), LARGE(E210:M210, 4), LARGE(E210:M210, 5))</f>
        <v>397</v>
      </c>
      <c r="V210" s="11">
        <f>U210/5</f>
        <v>79.400000000000006</v>
      </c>
    </row>
    <row r="211" spans="1:22">
      <c r="A211" s="2">
        <v>209</v>
      </c>
      <c r="B211" s="2" t="s">
        <v>405</v>
      </c>
      <c r="C211" s="12" t="s">
        <v>693</v>
      </c>
      <c r="D211" s="2" t="s">
        <v>22</v>
      </c>
      <c r="E211" s="2">
        <v>77</v>
      </c>
      <c r="F211" s="2">
        <v>78</v>
      </c>
      <c r="G211" s="2"/>
      <c r="H211" s="2"/>
      <c r="I211" s="2"/>
      <c r="J211" s="2">
        <v>73</v>
      </c>
      <c r="K211" s="2">
        <v>67</v>
      </c>
      <c r="L211" s="2">
        <v>75</v>
      </c>
      <c r="M211" s="2">
        <v>94</v>
      </c>
      <c r="N211" s="2">
        <v>464</v>
      </c>
      <c r="O211" s="2">
        <v>77.33</v>
      </c>
      <c r="P211" s="8">
        <f>LARGE(E211:M211,1)</f>
        <v>94</v>
      </c>
      <c r="Q211" s="8">
        <f>LARGE(E211:M211,2)</f>
        <v>78</v>
      </c>
      <c r="R211" s="8">
        <f>LARGE(E211:M211,3)</f>
        <v>77</v>
      </c>
      <c r="S211" s="8">
        <f>LARGE(E211:M211,4)</f>
        <v>75</v>
      </c>
      <c r="T211" s="8">
        <f>LARGE(E211:M211,5)</f>
        <v>73</v>
      </c>
      <c r="U211" s="11">
        <f>SUM(LARGE(E211:M211, 1), LARGE(E211:M211, 2), LARGE(E211:M211, 3), LARGE(E211:M211, 4), LARGE(E211:M211, 5))</f>
        <v>397</v>
      </c>
      <c r="V211" s="11">
        <f>U211/5</f>
        <v>79.400000000000006</v>
      </c>
    </row>
    <row r="212" spans="1:22">
      <c r="A212" s="2">
        <v>210</v>
      </c>
      <c r="B212" s="2" t="s">
        <v>291</v>
      </c>
      <c r="C212" s="13" t="s">
        <v>636</v>
      </c>
      <c r="D212" s="2" t="s">
        <v>17</v>
      </c>
      <c r="E212" s="2">
        <v>79</v>
      </c>
      <c r="F212" s="2">
        <v>80</v>
      </c>
      <c r="G212" s="2"/>
      <c r="H212" s="2"/>
      <c r="I212" s="2"/>
      <c r="J212" s="2">
        <v>62</v>
      </c>
      <c r="K212" s="2">
        <v>79</v>
      </c>
      <c r="L212" s="2">
        <v>53</v>
      </c>
      <c r="M212" s="2">
        <v>96</v>
      </c>
      <c r="N212" s="2">
        <v>449</v>
      </c>
      <c r="O212" s="2">
        <v>74.83</v>
      </c>
      <c r="P212" s="8">
        <f>LARGE(E212:M212,1)</f>
        <v>96</v>
      </c>
      <c r="Q212" s="8">
        <f>LARGE(E212:M212,2)</f>
        <v>80</v>
      </c>
      <c r="R212" s="8">
        <f>LARGE(E212:M212,3)</f>
        <v>79</v>
      </c>
      <c r="S212" s="8">
        <f>LARGE(E212:M212,4)</f>
        <v>79</v>
      </c>
      <c r="T212" s="8">
        <f>LARGE(E212:M212,5)</f>
        <v>62</v>
      </c>
      <c r="U212" s="11">
        <f>SUM(LARGE(E212:M212, 1), LARGE(E212:M212, 2), LARGE(E212:M212, 3), LARGE(E212:M212, 4), LARGE(E212:M212, 5))</f>
        <v>396</v>
      </c>
      <c r="V212" s="11">
        <f>U212/5</f>
        <v>79.2</v>
      </c>
    </row>
    <row r="213" spans="1:22">
      <c r="A213" s="2">
        <v>211</v>
      </c>
      <c r="B213" s="2" t="s">
        <v>24</v>
      </c>
      <c r="C213" s="12" t="s">
        <v>503</v>
      </c>
      <c r="D213" s="2" t="s">
        <v>22</v>
      </c>
      <c r="E213" s="2">
        <v>73</v>
      </c>
      <c r="F213" s="2">
        <v>79</v>
      </c>
      <c r="G213" s="2"/>
      <c r="H213" s="2"/>
      <c r="I213" s="2"/>
      <c r="J213" s="2">
        <v>53</v>
      </c>
      <c r="K213" s="2">
        <v>79</v>
      </c>
      <c r="L213" s="2">
        <v>75</v>
      </c>
      <c r="M213" s="2">
        <v>89</v>
      </c>
      <c r="N213" s="2">
        <v>448</v>
      </c>
      <c r="O213" s="2">
        <v>74.67</v>
      </c>
      <c r="P213" s="8">
        <f>LARGE(E213:M213,1)</f>
        <v>89</v>
      </c>
      <c r="Q213" s="8">
        <f>LARGE(E213:M213,2)</f>
        <v>79</v>
      </c>
      <c r="R213" s="8">
        <f>LARGE(E213:M213,3)</f>
        <v>79</v>
      </c>
      <c r="S213" s="8">
        <f>LARGE(E213:M213,4)</f>
        <v>75</v>
      </c>
      <c r="T213" s="8">
        <f>LARGE(E213:M213,5)</f>
        <v>73</v>
      </c>
      <c r="U213" s="11">
        <f>SUM(LARGE(E213:M213, 1), LARGE(E213:M213, 2), LARGE(E213:M213, 3), LARGE(E213:M213, 4), LARGE(E213:M213, 5))</f>
        <v>395</v>
      </c>
      <c r="V213" s="11">
        <f>U213/5</f>
        <v>79</v>
      </c>
    </row>
    <row r="214" spans="1:22">
      <c r="A214" s="2">
        <v>212</v>
      </c>
      <c r="B214" s="2" t="s">
        <v>455</v>
      </c>
      <c r="C214" s="12" t="s">
        <v>718</v>
      </c>
      <c r="D214" s="2" t="s">
        <v>22</v>
      </c>
      <c r="E214" s="2">
        <v>70</v>
      </c>
      <c r="F214" s="2"/>
      <c r="G214" s="2"/>
      <c r="H214" s="2">
        <v>61</v>
      </c>
      <c r="I214" s="2"/>
      <c r="J214" s="2">
        <v>94</v>
      </c>
      <c r="K214" s="2">
        <v>62</v>
      </c>
      <c r="L214" s="2">
        <v>70</v>
      </c>
      <c r="M214" s="2">
        <v>98</v>
      </c>
      <c r="N214" s="2">
        <v>455</v>
      </c>
      <c r="O214" s="2">
        <v>75.83</v>
      </c>
      <c r="P214" s="8">
        <f>LARGE(E214:M214,1)</f>
        <v>98</v>
      </c>
      <c r="Q214" s="8">
        <f>LARGE(E214:M214,2)</f>
        <v>94</v>
      </c>
      <c r="R214" s="8">
        <f>LARGE(E214:M214,3)</f>
        <v>70</v>
      </c>
      <c r="S214" s="8">
        <f>LARGE(E214:M214,4)</f>
        <v>70</v>
      </c>
      <c r="T214" s="8">
        <f>LARGE(E214:M214,5)</f>
        <v>62</v>
      </c>
      <c r="U214" s="11">
        <f>SUM(LARGE(E214:M214, 1), LARGE(E214:M214, 2), LARGE(E214:M214, 3), LARGE(E214:M214, 4), LARGE(E214:M214, 5))</f>
        <v>394</v>
      </c>
      <c r="V214" s="11">
        <f>U214/5</f>
        <v>78.8</v>
      </c>
    </row>
    <row r="215" spans="1:22">
      <c r="A215" s="2">
        <v>213</v>
      </c>
      <c r="B215" s="2" t="s">
        <v>144</v>
      </c>
      <c r="C215" s="12" t="s">
        <v>563</v>
      </c>
      <c r="D215" s="2" t="s">
        <v>17</v>
      </c>
      <c r="E215" s="2">
        <v>87</v>
      </c>
      <c r="F215" s="2">
        <v>85</v>
      </c>
      <c r="G215" s="2"/>
      <c r="H215" s="2"/>
      <c r="I215" s="2"/>
      <c r="J215" s="2">
        <v>63</v>
      </c>
      <c r="K215" s="2">
        <v>68</v>
      </c>
      <c r="L215" s="2">
        <v>62</v>
      </c>
      <c r="M215" s="2">
        <v>90</v>
      </c>
      <c r="N215" s="2">
        <v>455</v>
      </c>
      <c r="O215" s="2">
        <v>75.83</v>
      </c>
      <c r="P215" s="8">
        <f>LARGE(E215:M215,1)</f>
        <v>90</v>
      </c>
      <c r="Q215" s="8">
        <f>LARGE(E215:M215,2)</f>
        <v>87</v>
      </c>
      <c r="R215" s="8">
        <f>LARGE(E215:M215,3)</f>
        <v>85</v>
      </c>
      <c r="S215" s="8">
        <f>LARGE(E215:M215,4)</f>
        <v>68</v>
      </c>
      <c r="T215" s="8">
        <f>LARGE(E215:M215,5)</f>
        <v>63</v>
      </c>
      <c r="U215" s="11">
        <f>SUM(LARGE(E215:M215, 1), LARGE(E215:M215, 2), LARGE(E215:M215, 3), LARGE(E215:M215, 4), LARGE(E215:M215, 5))</f>
        <v>393</v>
      </c>
      <c r="V215" s="11">
        <f>U215/5</f>
        <v>78.599999999999994</v>
      </c>
    </row>
    <row r="216" spans="1:22">
      <c r="A216" s="2">
        <v>214</v>
      </c>
      <c r="B216" s="2" t="s">
        <v>387</v>
      </c>
      <c r="C216" s="12" t="s">
        <v>684</v>
      </c>
      <c r="D216" s="2" t="s">
        <v>17</v>
      </c>
      <c r="E216" s="2">
        <v>84</v>
      </c>
      <c r="F216" s="2">
        <v>83</v>
      </c>
      <c r="G216" s="2"/>
      <c r="H216" s="2"/>
      <c r="I216" s="2"/>
      <c r="J216" s="2">
        <v>62</v>
      </c>
      <c r="K216" s="2">
        <v>76</v>
      </c>
      <c r="L216" s="2">
        <v>57</v>
      </c>
      <c r="M216" s="2">
        <v>87</v>
      </c>
      <c r="N216" s="2">
        <v>449</v>
      </c>
      <c r="O216" s="2">
        <v>74.83</v>
      </c>
      <c r="P216" s="8">
        <f>LARGE(E216:M216,1)</f>
        <v>87</v>
      </c>
      <c r="Q216" s="8">
        <f>LARGE(E216:M216,2)</f>
        <v>84</v>
      </c>
      <c r="R216" s="8">
        <f>LARGE(E216:M216,3)</f>
        <v>83</v>
      </c>
      <c r="S216" s="8">
        <f>LARGE(E216:M216,4)</f>
        <v>76</v>
      </c>
      <c r="T216" s="8">
        <f>LARGE(E216:M216,5)</f>
        <v>62</v>
      </c>
      <c r="U216" s="11">
        <f>SUM(LARGE(E216:M216, 1), LARGE(E216:M216, 2), LARGE(E216:M216, 3), LARGE(E216:M216, 4), LARGE(E216:M216, 5))</f>
        <v>392</v>
      </c>
      <c r="V216" s="11">
        <f>U216/5</f>
        <v>78.400000000000006</v>
      </c>
    </row>
    <row r="217" spans="1:22">
      <c r="A217" s="2">
        <v>215</v>
      </c>
      <c r="B217" s="2" t="s">
        <v>269</v>
      </c>
      <c r="C217" s="12" t="s">
        <v>625</v>
      </c>
      <c r="D217" s="2" t="s">
        <v>22</v>
      </c>
      <c r="E217" s="2">
        <v>77</v>
      </c>
      <c r="F217" s="2">
        <v>81</v>
      </c>
      <c r="G217" s="2"/>
      <c r="H217" s="2"/>
      <c r="I217" s="2"/>
      <c r="J217" s="2">
        <v>79</v>
      </c>
      <c r="K217" s="2">
        <v>64</v>
      </c>
      <c r="L217" s="2">
        <v>60</v>
      </c>
      <c r="M217" s="2">
        <v>90</v>
      </c>
      <c r="N217" s="2">
        <v>451</v>
      </c>
      <c r="O217" s="2">
        <v>75.17</v>
      </c>
      <c r="P217" s="8">
        <f>LARGE(E217:M217,1)</f>
        <v>90</v>
      </c>
      <c r="Q217" s="8">
        <f>LARGE(E217:M217,2)</f>
        <v>81</v>
      </c>
      <c r="R217" s="8">
        <f>LARGE(E217:M217,3)</f>
        <v>79</v>
      </c>
      <c r="S217" s="8">
        <f>LARGE(E217:M217,4)</f>
        <v>77</v>
      </c>
      <c r="T217" s="8">
        <f>LARGE(E217:M217,5)</f>
        <v>64</v>
      </c>
      <c r="U217" s="11">
        <f>SUM(LARGE(E217:M217, 1), LARGE(E217:M217, 2), LARGE(E217:M217, 3), LARGE(E217:M217, 4), LARGE(E217:M217, 5))</f>
        <v>391</v>
      </c>
      <c r="V217" s="11">
        <f>U217/5</f>
        <v>78.2</v>
      </c>
    </row>
    <row r="218" spans="1:22">
      <c r="A218" s="2">
        <v>216</v>
      </c>
      <c r="B218" s="2" t="s">
        <v>363</v>
      </c>
      <c r="C218" s="12" t="s">
        <v>672</v>
      </c>
      <c r="D218" s="2" t="s">
        <v>22</v>
      </c>
      <c r="E218" s="2">
        <v>80</v>
      </c>
      <c r="F218" s="2">
        <v>79</v>
      </c>
      <c r="G218" s="2"/>
      <c r="H218" s="2"/>
      <c r="I218" s="2"/>
      <c r="J218" s="2">
        <v>77</v>
      </c>
      <c r="K218" s="2">
        <v>66</v>
      </c>
      <c r="L218" s="2">
        <v>70</v>
      </c>
      <c r="M218" s="2">
        <v>85</v>
      </c>
      <c r="N218" s="2">
        <v>457</v>
      </c>
      <c r="O218" s="2">
        <v>76.17</v>
      </c>
      <c r="P218" s="8">
        <f>LARGE(E218:M218,1)</f>
        <v>85</v>
      </c>
      <c r="Q218" s="8">
        <f>LARGE(E218:M218,2)</f>
        <v>80</v>
      </c>
      <c r="R218" s="8">
        <f>LARGE(E218:M218,3)</f>
        <v>79</v>
      </c>
      <c r="S218" s="8">
        <f>LARGE(E218:M218,4)</f>
        <v>77</v>
      </c>
      <c r="T218" s="8">
        <f>LARGE(E218:M218,5)</f>
        <v>70</v>
      </c>
      <c r="U218" s="11">
        <f>SUM(LARGE(E218:M218, 1), LARGE(E218:M218, 2), LARGE(E218:M218, 3), LARGE(E218:M218, 4), LARGE(E218:M218, 5))</f>
        <v>391</v>
      </c>
      <c r="V218" s="11">
        <f>U218/5</f>
        <v>78.2</v>
      </c>
    </row>
    <row r="219" spans="1:22">
      <c r="A219" s="2">
        <v>217</v>
      </c>
      <c r="B219" s="2" t="s">
        <v>92</v>
      </c>
      <c r="C219" s="12" t="s">
        <v>537</v>
      </c>
      <c r="D219" s="2" t="s">
        <v>17</v>
      </c>
      <c r="E219" s="2">
        <v>85</v>
      </c>
      <c r="F219" s="2">
        <v>81</v>
      </c>
      <c r="G219" s="2"/>
      <c r="H219" s="2"/>
      <c r="I219" s="2"/>
      <c r="J219" s="2">
        <v>51</v>
      </c>
      <c r="K219" s="2">
        <v>80</v>
      </c>
      <c r="L219" s="2">
        <v>55</v>
      </c>
      <c r="M219" s="2">
        <v>89</v>
      </c>
      <c r="N219" s="2">
        <v>441</v>
      </c>
      <c r="O219" s="2">
        <v>73.5</v>
      </c>
      <c r="P219" s="8">
        <f>LARGE(E219:M219,1)</f>
        <v>89</v>
      </c>
      <c r="Q219" s="8">
        <f>LARGE(E219:M219,2)</f>
        <v>85</v>
      </c>
      <c r="R219" s="8">
        <f>LARGE(E219:M219,3)</f>
        <v>81</v>
      </c>
      <c r="S219" s="8">
        <f>LARGE(E219:M219,4)</f>
        <v>80</v>
      </c>
      <c r="T219" s="8">
        <f>LARGE(E219:M219,5)</f>
        <v>55</v>
      </c>
      <c r="U219" s="11">
        <f>SUM(LARGE(E219:M219, 1), LARGE(E219:M219, 2), LARGE(E219:M219, 3), LARGE(E219:M219, 4), LARGE(E219:M219, 5))</f>
        <v>390</v>
      </c>
      <c r="V219" s="11">
        <f>U219/5</f>
        <v>78</v>
      </c>
    </row>
    <row r="220" spans="1:22">
      <c r="A220" s="2">
        <v>218</v>
      </c>
      <c r="B220" s="2" t="s">
        <v>249</v>
      </c>
      <c r="C220" s="12" t="s">
        <v>615</v>
      </c>
      <c r="D220" s="2" t="s">
        <v>22</v>
      </c>
      <c r="E220" s="2">
        <v>78</v>
      </c>
      <c r="F220" s="2"/>
      <c r="G220" s="2">
        <v>80</v>
      </c>
      <c r="H220" s="2"/>
      <c r="I220" s="2"/>
      <c r="J220" s="2">
        <v>69</v>
      </c>
      <c r="K220" s="2">
        <v>84</v>
      </c>
      <c r="L220" s="2">
        <v>64</v>
      </c>
      <c r="M220" s="2">
        <v>79</v>
      </c>
      <c r="N220" s="2">
        <v>454</v>
      </c>
      <c r="O220" s="2">
        <v>75.67</v>
      </c>
      <c r="P220" s="8">
        <f>LARGE(E220:M220,1)</f>
        <v>84</v>
      </c>
      <c r="Q220" s="8">
        <f>LARGE(E220:M220,2)</f>
        <v>80</v>
      </c>
      <c r="R220" s="8">
        <f>LARGE(E220:M220,3)</f>
        <v>79</v>
      </c>
      <c r="S220" s="8">
        <f>LARGE(E220:M220,4)</f>
        <v>78</v>
      </c>
      <c r="T220" s="8">
        <f>LARGE(E220:M220,5)</f>
        <v>69</v>
      </c>
      <c r="U220" s="11">
        <f>SUM(LARGE(E220:M220, 1), LARGE(E220:M220, 2), LARGE(E220:M220, 3), LARGE(E220:M220, 4), LARGE(E220:M220, 5))</f>
        <v>390</v>
      </c>
      <c r="V220" s="11">
        <f>U220/5</f>
        <v>78</v>
      </c>
    </row>
    <row r="221" spans="1:22">
      <c r="A221" s="2">
        <v>219</v>
      </c>
      <c r="B221" s="2" t="s">
        <v>377</v>
      </c>
      <c r="C221" s="12" t="s">
        <v>679</v>
      </c>
      <c r="D221" s="2" t="s">
        <v>22</v>
      </c>
      <c r="E221" s="2">
        <v>70</v>
      </c>
      <c r="F221" s="2">
        <v>73</v>
      </c>
      <c r="G221" s="2"/>
      <c r="H221" s="2"/>
      <c r="I221" s="2"/>
      <c r="J221" s="2">
        <v>70</v>
      </c>
      <c r="K221" s="2">
        <v>84</v>
      </c>
      <c r="L221" s="2">
        <v>64</v>
      </c>
      <c r="M221" s="2">
        <v>92</v>
      </c>
      <c r="N221" s="2">
        <v>453</v>
      </c>
      <c r="O221" s="2">
        <v>75.5</v>
      </c>
      <c r="P221" s="8">
        <f>LARGE(E221:M221,1)</f>
        <v>92</v>
      </c>
      <c r="Q221" s="8">
        <f>LARGE(E221:M221,2)</f>
        <v>84</v>
      </c>
      <c r="R221" s="8">
        <f>LARGE(E221:M221,3)</f>
        <v>73</v>
      </c>
      <c r="S221" s="8">
        <f>LARGE(E221:M221,4)</f>
        <v>70</v>
      </c>
      <c r="T221" s="8">
        <f>LARGE(E221:M221,5)</f>
        <v>70</v>
      </c>
      <c r="U221" s="11">
        <f>SUM(LARGE(E221:M221, 1), LARGE(E221:M221, 2), LARGE(E221:M221, 3), LARGE(E221:M221, 4), LARGE(E221:M221, 5))</f>
        <v>389</v>
      </c>
      <c r="V221" s="11">
        <f>U221/5</f>
        <v>77.8</v>
      </c>
    </row>
    <row r="222" spans="1:22">
      <c r="A222" s="2">
        <v>220</v>
      </c>
      <c r="B222" s="2" t="s">
        <v>399</v>
      </c>
      <c r="C222" s="13" t="s">
        <v>690</v>
      </c>
      <c r="D222" s="2" t="s">
        <v>17</v>
      </c>
      <c r="E222" s="2">
        <v>92</v>
      </c>
      <c r="F222" s="2"/>
      <c r="G222" s="2"/>
      <c r="H222" s="2">
        <v>69</v>
      </c>
      <c r="I222" s="2"/>
      <c r="J222" s="2">
        <v>59</v>
      </c>
      <c r="K222" s="2">
        <v>71</v>
      </c>
      <c r="L222" s="2">
        <v>55</v>
      </c>
      <c r="M222" s="2">
        <v>96</v>
      </c>
      <c r="N222" s="2">
        <v>442</v>
      </c>
      <c r="O222" s="2">
        <v>73.67</v>
      </c>
      <c r="P222" s="8">
        <f>LARGE(E222:M222,1)</f>
        <v>96</v>
      </c>
      <c r="Q222" s="8">
        <f>LARGE(E222:M222,2)</f>
        <v>92</v>
      </c>
      <c r="R222" s="8">
        <f>LARGE(E222:M222,3)</f>
        <v>71</v>
      </c>
      <c r="S222" s="8">
        <f>LARGE(E222:M222,4)</f>
        <v>69</v>
      </c>
      <c r="T222" s="8">
        <f>LARGE(E222:M222,5)</f>
        <v>59</v>
      </c>
      <c r="U222" s="11">
        <f>SUM(LARGE(E222:M222, 1), LARGE(E222:M222, 2), LARGE(E222:M222, 3), LARGE(E222:M222, 4), LARGE(E222:M222, 5))</f>
        <v>387</v>
      </c>
      <c r="V222" s="11">
        <f>U222/5</f>
        <v>77.400000000000006</v>
      </c>
    </row>
    <row r="223" spans="1:22">
      <c r="A223" s="2">
        <v>221</v>
      </c>
      <c r="B223" s="2" t="s">
        <v>169</v>
      </c>
      <c r="C223" s="12" t="s">
        <v>575</v>
      </c>
      <c r="D223" s="2" t="s">
        <v>17</v>
      </c>
      <c r="E223" s="2">
        <v>83</v>
      </c>
      <c r="F223" s="2"/>
      <c r="G223" s="2">
        <v>74</v>
      </c>
      <c r="H223" s="2"/>
      <c r="I223" s="2">
        <v>65</v>
      </c>
      <c r="J223" s="2">
        <v>52</v>
      </c>
      <c r="K223" s="2">
        <v>79</v>
      </c>
      <c r="L223" s="2"/>
      <c r="M223" s="2">
        <v>85</v>
      </c>
      <c r="N223" s="2">
        <v>438</v>
      </c>
      <c r="O223" s="2">
        <v>73</v>
      </c>
      <c r="P223" s="8">
        <f>LARGE(E223:M223,1)</f>
        <v>85</v>
      </c>
      <c r="Q223" s="8">
        <f>LARGE(E223:M223,2)</f>
        <v>83</v>
      </c>
      <c r="R223" s="8">
        <f>LARGE(E223:M223,3)</f>
        <v>79</v>
      </c>
      <c r="S223" s="8">
        <f>LARGE(E223:M223,4)</f>
        <v>74</v>
      </c>
      <c r="T223" s="8">
        <f>LARGE(E223:M223,5)</f>
        <v>65</v>
      </c>
      <c r="U223" s="11">
        <f>SUM(LARGE(E223:M223, 1), LARGE(E223:M223, 2), LARGE(E223:M223, 3), LARGE(E223:M223, 4), LARGE(E223:M223, 5))</f>
        <v>386</v>
      </c>
      <c r="V223" s="11">
        <f>U223/5</f>
        <v>77.2</v>
      </c>
    </row>
    <row r="224" spans="1:22">
      <c r="A224" s="2">
        <v>222</v>
      </c>
      <c r="B224" s="2" t="s">
        <v>56</v>
      </c>
      <c r="C224" s="13" t="s">
        <v>519</v>
      </c>
      <c r="D224" s="2" t="s">
        <v>22</v>
      </c>
      <c r="E224" s="2">
        <v>86</v>
      </c>
      <c r="F224" s="2">
        <v>71</v>
      </c>
      <c r="G224" s="2"/>
      <c r="H224" s="2"/>
      <c r="I224" s="2"/>
      <c r="J224" s="2">
        <v>49</v>
      </c>
      <c r="K224" s="2">
        <v>75</v>
      </c>
      <c r="L224" s="2">
        <v>63</v>
      </c>
      <c r="M224" s="2">
        <v>89</v>
      </c>
      <c r="N224" s="2">
        <v>433</v>
      </c>
      <c r="O224" s="2">
        <v>72.17</v>
      </c>
      <c r="P224" s="8">
        <f>LARGE(E224:M224,1)</f>
        <v>89</v>
      </c>
      <c r="Q224" s="8">
        <f>LARGE(E224:M224,2)</f>
        <v>86</v>
      </c>
      <c r="R224" s="8">
        <f>LARGE(E224:M224,3)</f>
        <v>75</v>
      </c>
      <c r="S224" s="8">
        <f>LARGE(E224:M224,4)</f>
        <v>71</v>
      </c>
      <c r="T224" s="8">
        <f>LARGE(E224:M224,5)</f>
        <v>63</v>
      </c>
      <c r="U224" s="11">
        <f>SUM(LARGE(E224:M224, 1), LARGE(E224:M224, 2), LARGE(E224:M224, 3), LARGE(E224:M224, 4), LARGE(E224:M224, 5))</f>
        <v>384</v>
      </c>
      <c r="V224" s="11">
        <f>U224/5</f>
        <v>76.8</v>
      </c>
    </row>
    <row r="225" spans="1:22">
      <c r="A225" s="2">
        <v>223</v>
      </c>
      <c r="B225" s="2" t="s">
        <v>267</v>
      </c>
      <c r="C225" s="12" t="s">
        <v>624</v>
      </c>
      <c r="D225" s="2" t="s">
        <v>22</v>
      </c>
      <c r="E225" s="2">
        <v>79</v>
      </c>
      <c r="F225" s="2">
        <v>74</v>
      </c>
      <c r="G225" s="2"/>
      <c r="H225" s="2"/>
      <c r="I225" s="2"/>
      <c r="J225" s="2">
        <v>66</v>
      </c>
      <c r="K225" s="2">
        <v>73</v>
      </c>
      <c r="L225" s="2">
        <v>55</v>
      </c>
      <c r="M225" s="2">
        <v>91</v>
      </c>
      <c r="N225" s="2">
        <v>438</v>
      </c>
      <c r="O225" s="2">
        <v>73</v>
      </c>
      <c r="P225" s="8">
        <f>LARGE(E225:M225,1)</f>
        <v>91</v>
      </c>
      <c r="Q225" s="8">
        <f>LARGE(E225:M225,2)</f>
        <v>79</v>
      </c>
      <c r="R225" s="8">
        <f>LARGE(E225:M225,3)</f>
        <v>74</v>
      </c>
      <c r="S225" s="8">
        <f>LARGE(E225:M225,4)</f>
        <v>73</v>
      </c>
      <c r="T225" s="8">
        <f>LARGE(E225:M225,5)</f>
        <v>66</v>
      </c>
      <c r="U225" s="11">
        <f>SUM(LARGE(E225:M225, 1), LARGE(E225:M225, 2), LARGE(E225:M225, 3), LARGE(E225:M225, 4), LARGE(E225:M225, 5))</f>
        <v>383</v>
      </c>
      <c r="V225" s="11">
        <f>U225/5</f>
        <v>76.599999999999994</v>
      </c>
    </row>
    <row r="226" spans="1:22">
      <c r="A226" s="2">
        <v>224</v>
      </c>
      <c r="B226" s="2" t="s">
        <v>475</v>
      </c>
      <c r="C226" s="12" t="s">
        <v>728</v>
      </c>
      <c r="D226" s="2" t="s">
        <v>22</v>
      </c>
      <c r="E226" s="2">
        <v>81</v>
      </c>
      <c r="F226" s="2">
        <v>73</v>
      </c>
      <c r="G226" s="2"/>
      <c r="H226" s="2"/>
      <c r="I226" s="2"/>
      <c r="J226" s="2">
        <v>48</v>
      </c>
      <c r="K226" s="2">
        <v>83</v>
      </c>
      <c r="L226" s="2">
        <v>37</v>
      </c>
      <c r="M226" s="2">
        <v>98</v>
      </c>
      <c r="N226" s="2">
        <v>420</v>
      </c>
      <c r="O226" s="2">
        <v>70</v>
      </c>
      <c r="P226" s="8">
        <f>LARGE(E226:M226,1)</f>
        <v>98</v>
      </c>
      <c r="Q226" s="8">
        <f>LARGE(E226:M226,2)</f>
        <v>83</v>
      </c>
      <c r="R226" s="8">
        <f>LARGE(E226:M226,3)</f>
        <v>81</v>
      </c>
      <c r="S226" s="8">
        <f>LARGE(E226:M226,4)</f>
        <v>73</v>
      </c>
      <c r="T226" s="8">
        <f>LARGE(E226:M226,5)</f>
        <v>48</v>
      </c>
      <c r="U226" s="11">
        <f>SUM(LARGE(E226:M226, 1), LARGE(E226:M226, 2), LARGE(E226:M226, 3), LARGE(E226:M226, 4), LARGE(E226:M226, 5))</f>
        <v>383</v>
      </c>
      <c r="V226" s="11">
        <f>U226/5</f>
        <v>76.599999999999994</v>
      </c>
    </row>
    <row r="227" spans="1:22">
      <c r="A227" s="2">
        <v>225</v>
      </c>
      <c r="B227" s="2" t="s">
        <v>156</v>
      </c>
      <c r="C227" s="12" t="s">
        <v>569</v>
      </c>
      <c r="D227" s="2" t="s">
        <v>17</v>
      </c>
      <c r="E227" s="2">
        <v>80</v>
      </c>
      <c r="F227" s="2"/>
      <c r="G227" s="2">
        <v>83</v>
      </c>
      <c r="H227" s="2"/>
      <c r="I227" s="2"/>
      <c r="J227" s="2">
        <v>55</v>
      </c>
      <c r="K227" s="2">
        <v>61</v>
      </c>
      <c r="L227" s="2">
        <v>66</v>
      </c>
      <c r="M227" s="2">
        <v>86</v>
      </c>
      <c r="N227" s="2">
        <v>431</v>
      </c>
      <c r="O227" s="2">
        <v>71.83</v>
      </c>
      <c r="P227" s="8">
        <f>LARGE(E227:M227,1)</f>
        <v>86</v>
      </c>
      <c r="Q227" s="8">
        <f>LARGE(E227:M227,2)</f>
        <v>83</v>
      </c>
      <c r="R227" s="8">
        <f>LARGE(E227:M227,3)</f>
        <v>80</v>
      </c>
      <c r="S227" s="8">
        <f>LARGE(E227:M227,4)</f>
        <v>66</v>
      </c>
      <c r="T227" s="8">
        <f>LARGE(E227:M227,5)</f>
        <v>61</v>
      </c>
      <c r="U227" s="11">
        <f>SUM(LARGE(E227:M227, 1), LARGE(E227:M227, 2), LARGE(E227:M227, 3), LARGE(E227:M227, 4), LARGE(E227:M227, 5))</f>
        <v>376</v>
      </c>
      <c r="V227" s="11">
        <f>U227/5</f>
        <v>75.2</v>
      </c>
    </row>
    <row r="228" spans="1:22">
      <c r="A228" s="2">
        <v>226</v>
      </c>
      <c r="B228" s="2" t="s">
        <v>335</v>
      </c>
      <c r="C228" s="12" t="s">
        <v>658</v>
      </c>
      <c r="D228" s="2" t="s">
        <v>22</v>
      </c>
      <c r="E228" s="2">
        <v>71</v>
      </c>
      <c r="F228" s="2">
        <v>73</v>
      </c>
      <c r="G228" s="2"/>
      <c r="H228" s="2"/>
      <c r="I228" s="2">
        <v>59</v>
      </c>
      <c r="J228" s="2">
        <v>63</v>
      </c>
      <c r="K228" s="2">
        <v>70</v>
      </c>
      <c r="L228" s="2"/>
      <c r="M228" s="2">
        <v>96</v>
      </c>
      <c r="N228" s="2">
        <v>432</v>
      </c>
      <c r="O228" s="2">
        <v>72</v>
      </c>
      <c r="P228" s="8">
        <f>LARGE(E228:M228,1)</f>
        <v>96</v>
      </c>
      <c r="Q228" s="8">
        <f>LARGE(E228:M228,2)</f>
        <v>73</v>
      </c>
      <c r="R228" s="8">
        <f>LARGE(E228:M228,3)</f>
        <v>71</v>
      </c>
      <c r="S228" s="8">
        <f>LARGE(E228:M228,4)</f>
        <v>70</v>
      </c>
      <c r="T228" s="8">
        <f>LARGE(E228:M228,5)</f>
        <v>63</v>
      </c>
      <c r="U228" s="11">
        <f>SUM(LARGE(E228:M228, 1), LARGE(E228:M228, 2), LARGE(E228:M228, 3), LARGE(E228:M228, 4), LARGE(E228:M228, 5))</f>
        <v>373</v>
      </c>
      <c r="V228" s="11">
        <f>U228/5</f>
        <v>74.599999999999994</v>
      </c>
    </row>
    <row r="229" spans="1:22">
      <c r="A229" s="2">
        <v>227</v>
      </c>
      <c r="B229" s="2" t="s">
        <v>307</v>
      </c>
      <c r="C229" s="12" t="s">
        <v>644</v>
      </c>
      <c r="D229" s="2" t="s">
        <v>17</v>
      </c>
      <c r="E229" s="2">
        <v>94</v>
      </c>
      <c r="F229" s="2"/>
      <c r="G229" s="2"/>
      <c r="H229" s="2">
        <v>61</v>
      </c>
      <c r="I229" s="2"/>
      <c r="J229" s="2">
        <v>60</v>
      </c>
      <c r="K229" s="2">
        <v>67</v>
      </c>
      <c r="L229" s="2">
        <v>60</v>
      </c>
      <c r="M229" s="2">
        <v>89</v>
      </c>
      <c r="N229" s="2">
        <v>431</v>
      </c>
      <c r="O229" s="2">
        <v>71.83</v>
      </c>
      <c r="P229" s="8">
        <f>LARGE(E229:M229,1)</f>
        <v>94</v>
      </c>
      <c r="Q229" s="8">
        <f>LARGE(E229:M229,2)</f>
        <v>89</v>
      </c>
      <c r="R229" s="8">
        <f>LARGE(E229:M229,3)</f>
        <v>67</v>
      </c>
      <c r="S229" s="8">
        <f>LARGE(E229:M229,4)</f>
        <v>61</v>
      </c>
      <c r="T229" s="8">
        <f>LARGE(E229:M229,5)</f>
        <v>60</v>
      </c>
      <c r="U229" s="11">
        <f>SUM(LARGE(E229:M229, 1), LARGE(E229:M229, 2), LARGE(E229:M229, 3), LARGE(E229:M229, 4), LARGE(E229:M229, 5))</f>
        <v>371</v>
      </c>
      <c r="V229" s="11">
        <f>U229/5</f>
        <v>74.2</v>
      </c>
    </row>
    <row r="230" spans="1:22">
      <c r="A230" s="2">
        <v>228</v>
      </c>
      <c r="B230" s="2" t="s">
        <v>163</v>
      </c>
      <c r="C230" s="12" t="s">
        <v>572</v>
      </c>
      <c r="D230" s="2" t="s">
        <v>22</v>
      </c>
      <c r="E230" s="2">
        <v>84</v>
      </c>
      <c r="F230" s="2"/>
      <c r="G230" s="2">
        <v>72</v>
      </c>
      <c r="H230" s="2"/>
      <c r="I230" s="2"/>
      <c r="J230" s="2">
        <v>48</v>
      </c>
      <c r="K230" s="2">
        <v>63</v>
      </c>
      <c r="L230" s="2">
        <v>60</v>
      </c>
      <c r="M230" s="2">
        <v>88</v>
      </c>
      <c r="N230" s="2">
        <v>415</v>
      </c>
      <c r="O230" s="2">
        <v>69.17</v>
      </c>
      <c r="P230" s="8">
        <f>LARGE(E230:M230,1)</f>
        <v>88</v>
      </c>
      <c r="Q230" s="8">
        <f>LARGE(E230:M230,2)</f>
        <v>84</v>
      </c>
      <c r="R230" s="8">
        <f>LARGE(E230:M230,3)</f>
        <v>72</v>
      </c>
      <c r="S230" s="8">
        <f>LARGE(E230:M230,4)</f>
        <v>63</v>
      </c>
      <c r="T230" s="8">
        <f>LARGE(E230:M230,5)</f>
        <v>60</v>
      </c>
      <c r="U230" s="11">
        <f>SUM(LARGE(E230:M230, 1), LARGE(E230:M230, 2), LARGE(E230:M230, 3), LARGE(E230:M230, 4), LARGE(E230:M230, 5))</f>
        <v>367</v>
      </c>
      <c r="V230" s="11">
        <f>U230/5</f>
        <v>73.400000000000006</v>
      </c>
    </row>
    <row r="231" spans="1:22">
      <c r="A231" s="2">
        <v>229</v>
      </c>
      <c r="B231" s="2" t="s">
        <v>203</v>
      </c>
      <c r="C231" s="12" t="s">
        <v>592</v>
      </c>
      <c r="D231" s="2" t="s">
        <v>22</v>
      </c>
      <c r="E231" s="2">
        <v>68</v>
      </c>
      <c r="F231" s="2">
        <v>83</v>
      </c>
      <c r="G231" s="2"/>
      <c r="H231" s="2"/>
      <c r="I231" s="2"/>
      <c r="J231" s="2">
        <v>64</v>
      </c>
      <c r="K231" s="2">
        <v>75</v>
      </c>
      <c r="L231" s="2">
        <v>39</v>
      </c>
      <c r="M231" s="2">
        <v>74</v>
      </c>
      <c r="N231" s="2">
        <v>403</v>
      </c>
      <c r="O231" s="2">
        <v>67.17</v>
      </c>
      <c r="P231" s="8">
        <f>LARGE(E231:M231,1)</f>
        <v>83</v>
      </c>
      <c r="Q231" s="8">
        <f>LARGE(E231:M231,2)</f>
        <v>75</v>
      </c>
      <c r="R231" s="8">
        <f>LARGE(E231:M231,3)</f>
        <v>74</v>
      </c>
      <c r="S231" s="8">
        <f>LARGE(E231:M231,4)</f>
        <v>68</v>
      </c>
      <c r="T231" s="8">
        <f>LARGE(E231:M231,5)</f>
        <v>64</v>
      </c>
      <c r="U231" s="11">
        <f>SUM(LARGE(E231:M231, 1), LARGE(E231:M231, 2), LARGE(E231:M231, 3), LARGE(E231:M231, 4), LARGE(E231:M231, 5))</f>
        <v>364</v>
      </c>
      <c r="V231" s="11">
        <f>U231/5</f>
        <v>72.8</v>
      </c>
    </row>
    <row r="232" spans="1:22">
      <c r="A232" s="2">
        <v>230</v>
      </c>
      <c r="B232" s="2" t="s">
        <v>325</v>
      </c>
      <c r="C232" s="13" t="s">
        <v>653</v>
      </c>
      <c r="D232" s="2" t="s">
        <v>22</v>
      </c>
      <c r="E232" s="2">
        <v>85</v>
      </c>
      <c r="F232" s="2">
        <v>74</v>
      </c>
      <c r="G232" s="2"/>
      <c r="H232" s="2"/>
      <c r="I232" s="2"/>
      <c r="J232" s="2">
        <v>57</v>
      </c>
      <c r="K232" s="2">
        <v>63</v>
      </c>
      <c r="L232" s="2">
        <v>55</v>
      </c>
      <c r="M232" s="2">
        <v>81</v>
      </c>
      <c r="N232" s="2">
        <v>415</v>
      </c>
      <c r="O232" s="2">
        <v>69.17</v>
      </c>
      <c r="P232" s="8">
        <f>LARGE(E232:M232,1)</f>
        <v>85</v>
      </c>
      <c r="Q232" s="8">
        <f>LARGE(E232:M232,2)</f>
        <v>81</v>
      </c>
      <c r="R232" s="8">
        <f>LARGE(E232:M232,3)</f>
        <v>74</v>
      </c>
      <c r="S232" s="8">
        <f>LARGE(E232:M232,4)</f>
        <v>63</v>
      </c>
      <c r="T232" s="8">
        <f>LARGE(E232:M232,5)</f>
        <v>57</v>
      </c>
      <c r="U232" s="11">
        <f>SUM(LARGE(E232:M232, 1), LARGE(E232:M232, 2), LARGE(E232:M232, 3), LARGE(E232:M232, 4), LARGE(E232:M232, 5))</f>
        <v>360</v>
      </c>
      <c r="V232" s="11">
        <f>U232/5</f>
        <v>72</v>
      </c>
    </row>
    <row r="233" spans="1:22">
      <c r="A233" s="2">
        <v>231</v>
      </c>
      <c r="B233" s="2" t="s">
        <v>323</v>
      </c>
      <c r="C233" s="12" t="s">
        <v>652</v>
      </c>
      <c r="D233" s="2" t="s">
        <v>22</v>
      </c>
      <c r="E233" s="2">
        <v>83</v>
      </c>
      <c r="F233" s="2"/>
      <c r="G233" s="2">
        <v>71</v>
      </c>
      <c r="H233" s="2"/>
      <c r="I233" s="2"/>
      <c r="J233" s="2">
        <v>42</v>
      </c>
      <c r="K233" s="2">
        <v>69</v>
      </c>
      <c r="L233" s="2">
        <v>46</v>
      </c>
      <c r="M233" s="2">
        <v>84</v>
      </c>
      <c r="N233" s="2">
        <v>395</v>
      </c>
      <c r="O233" s="2">
        <v>65.83</v>
      </c>
      <c r="P233" s="8">
        <f>LARGE(E233:M233,1)</f>
        <v>84</v>
      </c>
      <c r="Q233" s="8">
        <f>LARGE(E233:M233,2)</f>
        <v>83</v>
      </c>
      <c r="R233" s="8">
        <f>LARGE(E233:M233,3)</f>
        <v>71</v>
      </c>
      <c r="S233" s="8">
        <f>LARGE(E233:M233,4)</f>
        <v>69</v>
      </c>
      <c r="T233" s="8">
        <f>LARGE(E233:M233,5)</f>
        <v>46</v>
      </c>
      <c r="U233" s="11">
        <f>SUM(LARGE(E233:M233, 1), LARGE(E233:M233, 2), LARGE(E233:M233, 3), LARGE(E233:M233, 4), LARGE(E233:M233, 5))</f>
        <v>353</v>
      </c>
      <c r="V233" s="11">
        <f>U233/5</f>
        <v>70.599999999999994</v>
      </c>
    </row>
    <row r="234" spans="1:22">
      <c r="A234" s="2">
        <v>232</v>
      </c>
      <c r="B234" s="2" t="s">
        <v>42</v>
      </c>
      <c r="C234" s="12" t="s">
        <v>512</v>
      </c>
      <c r="D234" s="2" t="s">
        <v>17</v>
      </c>
      <c r="E234" s="2">
        <v>90</v>
      </c>
      <c r="F234" s="2"/>
      <c r="G234" s="2"/>
      <c r="H234" s="2">
        <v>50</v>
      </c>
      <c r="I234" s="2"/>
      <c r="J234" s="2">
        <v>44</v>
      </c>
      <c r="K234" s="2">
        <v>78</v>
      </c>
      <c r="L234" s="2">
        <v>36</v>
      </c>
      <c r="M234" s="2">
        <v>90</v>
      </c>
      <c r="N234" s="2">
        <v>388</v>
      </c>
      <c r="O234" s="2">
        <v>64.67</v>
      </c>
      <c r="P234" s="8">
        <f>LARGE(E234:M234,1)</f>
        <v>90</v>
      </c>
      <c r="Q234" s="8">
        <f>LARGE(E234:M234,2)</f>
        <v>90</v>
      </c>
      <c r="R234" s="8">
        <f>LARGE(E234:M234,3)</f>
        <v>78</v>
      </c>
      <c r="S234" s="8">
        <f>LARGE(E234:M234,4)</f>
        <v>50</v>
      </c>
      <c r="T234" s="8">
        <f>LARGE(E234:M234,5)</f>
        <v>44</v>
      </c>
      <c r="U234" s="11">
        <f>SUM(LARGE(E234:M234, 1), LARGE(E234:M234, 2), LARGE(E234:M234, 3), LARGE(E234:M234, 4), LARGE(E234:M234, 5))</f>
        <v>352</v>
      </c>
      <c r="V234" s="11">
        <f>U234/5</f>
        <v>70.400000000000006</v>
      </c>
    </row>
    <row r="235" spans="1:22">
      <c r="A235" s="2">
        <v>233</v>
      </c>
      <c r="B235" s="2" t="s">
        <v>437</v>
      </c>
      <c r="C235" s="12" t="s">
        <v>709</v>
      </c>
      <c r="D235" s="2" t="s">
        <v>22</v>
      </c>
      <c r="E235" s="2">
        <v>67</v>
      </c>
      <c r="F235" s="2"/>
      <c r="G235" s="2">
        <v>71</v>
      </c>
      <c r="H235" s="2"/>
      <c r="I235" s="2"/>
      <c r="J235" s="2">
        <v>63</v>
      </c>
      <c r="K235" s="2">
        <v>62</v>
      </c>
      <c r="L235" s="2">
        <v>53</v>
      </c>
      <c r="M235" s="2">
        <v>87</v>
      </c>
      <c r="N235" s="2">
        <v>403</v>
      </c>
      <c r="O235" s="2">
        <v>67.17</v>
      </c>
      <c r="P235" s="8">
        <f>LARGE(E235:M235,1)</f>
        <v>87</v>
      </c>
      <c r="Q235" s="8">
        <f>LARGE(E235:M235,2)</f>
        <v>71</v>
      </c>
      <c r="R235" s="8">
        <f>LARGE(E235:M235,3)</f>
        <v>67</v>
      </c>
      <c r="S235" s="8">
        <f>LARGE(E235:M235,4)</f>
        <v>63</v>
      </c>
      <c r="T235" s="8">
        <f>LARGE(E235:M235,5)</f>
        <v>62</v>
      </c>
      <c r="U235" s="11">
        <f>SUM(LARGE(E235:M235, 1), LARGE(E235:M235, 2), LARGE(E235:M235, 3), LARGE(E235:M235, 4), LARGE(E235:M235, 5))</f>
        <v>350</v>
      </c>
      <c r="V235" s="11">
        <f>U235/5</f>
        <v>70</v>
      </c>
    </row>
    <row r="236" spans="1:22">
      <c r="A236" s="2">
        <v>234</v>
      </c>
      <c r="B236" s="2" t="s">
        <v>353</v>
      </c>
      <c r="C236" s="12" t="s">
        <v>667</v>
      </c>
      <c r="D236" s="2" t="s">
        <v>22</v>
      </c>
      <c r="E236" s="2">
        <v>73</v>
      </c>
      <c r="F236" s="2"/>
      <c r="G236" s="2">
        <v>86</v>
      </c>
      <c r="H236" s="2"/>
      <c r="I236" s="2">
        <v>46</v>
      </c>
      <c r="J236" s="2">
        <v>42</v>
      </c>
      <c r="K236" s="2">
        <v>67</v>
      </c>
      <c r="L236" s="2"/>
      <c r="M236" s="2">
        <v>76</v>
      </c>
      <c r="N236" s="2">
        <v>390</v>
      </c>
      <c r="O236" s="2">
        <v>65</v>
      </c>
      <c r="P236" s="8">
        <f>LARGE(E236:M236,1)</f>
        <v>86</v>
      </c>
      <c r="Q236" s="8">
        <f>LARGE(E236:M236,2)</f>
        <v>76</v>
      </c>
      <c r="R236" s="8">
        <f>LARGE(E236:M236,3)</f>
        <v>73</v>
      </c>
      <c r="S236" s="8">
        <f>LARGE(E236:M236,4)</f>
        <v>67</v>
      </c>
      <c r="T236" s="8">
        <f>LARGE(E236:M236,5)</f>
        <v>46</v>
      </c>
      <c r="U236" s="11">
        <f>SUM(LARGE(E236:M236, 1), LARGE(E236:M236, 2), LARGE(E236:M236, 3), LARGE(E236:M236, 4), LARGE(E236:M236, 5))</f>
        <v>348</v>
      </c>
      <c r="V236" s="11">
        <f>U236/5</f>
        <v>69.599999999999994</v>
      </c>
    </row>
    <row r="237" spans="1:22">
      <c r="A237" s="2">
        <v>235</v>
      </c>
      <c r="B237" s="2" t="s">
        <v>329</v>
      </c>
      <c r="C237" s="12" t="s">
        <v>655</v>
      </c>
      <c r="D237" s="2" t="s">
        <v>17</v>
      </c>
      <c r="E237" s="2">
        <v>67</v>
      </c>
      <c r="F237" s="2">
        <v>65</v>
      </c>
      <c r="G237" s="2"/>
      <c r="H237" s="2"/>
      <c r="I237" s="2"/>
      <c r="J237" s="2">
        <v>45</v>
      </c>
      <c r="K237" s="2">
        <v>65</v>
      </c>
      <c r="L237" s="2">
        <v>35</v>
      </c>
      <c r="M237" s="2">
        <v>81</v>
      </c>
      <c r="N237" s="2">
        <v>358</v>
      </c>
      <c r="O237" s="2">
        <v>59.67</v>
      </c>
      <c r="P237" s="8">
        <f>LARGE(E237:M237,1)</f>
        <v>81</v>
      </c>
      <c r="Q237" s="8">
        <f>LARGE(E237:M237,2)</f>
        <v>67</v>
      </c>
      <c r="R237" s="8">
        <f>LARGE(E237:M237,3)</f>
        <v>65</v>
      </c>
      <c r="S237" s="8">
        <f>LARGE(E237:M237,4)</f>
        <v>65</v>
      </c>
      <c r="T237" s="8">
        <f>LARGE(E237:M237,5)</f>
        <v>45</v>
      </c>
      <c r="U237" s="11">
        <f>SUM(LARGE(E237:M237, 1), LARGE(E237:M237, 2), LARGE(E237:M237, 3), LARGE(E237:M237, 4), LARGE(E237:M237, 5))</f>
        <v>323</v>
      </c>
      <c r="V237" s="11">
        <f>U237/5</f>
        <v>64.599999999999994</v>
      </c>
    </row>
    <row r="238" spans="1:22">
      <c r="A238" s="2">
        <v>236</v>
      </c>
      <c r="B238" s="2" t="s">
        <v>411</v>
      </c>
      <c r="C238" s="12" t="s">
        <v>696</v>
      </c>
      <c r="D238" s="2" t="s">
        <v>22</v>
      </c>
      <c r="E238" s="2">
        <v>71</v>
      </c>
      <c r="F238" s="2">
        <v>77</v>
      </c>
      <c r="G238" s="2"/>
      <c r="H238" s="2"/>
      <c r="I238" s="2"/>
      <c r="J238" s="2">
        <v>42</v>
      </c>
      <c r="K238" s="2">
        <v>64</v>
      </c>
      <c r="L238" s="2">
        <v>33</v>
      </c>
      <c r="M238" s="2">
        <v>66</v>
      </c>
      <c r="N238" s="2">
        <v>353</v>
      </c>
      <c r="O238" s="2">
        <v>58.83</v>
      </c>
      <c r="P238" s="8">
        <f>LARGE(E238:M238,1)</f>
        <v>77</v>
      </c>
      <c r="Q238" s="8">
        <f>LARGE(E238:M238,2)</f>
        <v>71</v>
      </c>
      <c r="R238" s="8">
        <f>LARGE(E238:M238,3)</f>
        <v>66</v>
      </c>
      <c r="S238" s="8">
        <f>LARGE(E238:M238,4)</f>
        <v>64</v>
      </c>
      <c r="T238" s="8">
        <f>LARGE(E238:M238,5)</f>
        <v>42</v>
      </c>
      <c r="U238" s="11">
        <f>SUM(LARGE(E238:M238, 1), LARGE(E238:M238, 2), LARGE(E238:M238, 3), LARGE(E238:M238, 4), LARGE(E238:M238, 5))</f>
        <v>320</v>
      </c>
      <c r="V238" s="11">
        <f>U238/5</f>
        <v>64</v>
      </c>
    </row>
    <row r="239" spans="1:22">
      <c r="A239" s="2">
        <v>237</v>
      </c>
      <c r="B239" s="2" t="s">
        <v>116</v>
      </c>
      <c r="C239" s="12" t="s">
        <v>549</v>
      </c>
      <c r="D239" s="2" t="s">
        <v>22</v>
      </c>
      <c r="E239" s="2">
        <v>62</v>
      </c>
      <c r="F239" s="2">
        <v>74</v>
      </c>
      <c r="G239" s="2"/>
      <c r="H239" s="2"/>
      <c r="I239" s="2"/>
      <c r="J239" s="2">
        <v>38</v>
      </c>
      <c r="K239" s="2">
        <v>57</v>
      </c>
      <c r="L239" s="2">
        <v>33</v>
      </c>
      <c r="M239" s="2">
        <v>82</v>
      </c>
      <c r="N239" s="2">
        <v>346</v>
      </c>
      <c r="O239" s="2">
        <v>57.67</v>
      </c>
      <c r="P239" s="8">
        <f>LARGE(E239:M239,1)</f>
        <v>82</v>
      </c>
      <c r="Q239" s="8">
        <f>LARGE(E239:M239,2)</f>
        <v>74</v>
      </c>
      <c r="R239" s="8">
        <f>LARGE(E239:M239,3)</f>
        <v>62</v>
      </c>
      <c r="S239" s="8">
        <f>LARGE(E239:M239,4)</f>
        <v>57</v>
      </c>
      <c r="T239" s="8">
        <f>LARGE(E239:M239,5)</f>
        <v>38</v>
      </c>
      <c r="U239" s="11">
        <f>SUM(LARGE(E239:M239, 1), LARGE(E239:M239, 2), LARGE(E239:M239, 3), LARGE(E239:M239, 4), LARGE(E239:M239, 5))</f>
        <v>313</v>
      </c>
      <c r="V239" s="11">
        <f>U239/5</f>
        <v>62.6</v>
      </c>
    </row>
    <row r="240" spans="1:22">
      <c r="A240" s="2">
        <v>238</v>
      </c>
      <c r="B240" s="2" t="s">
        <v>477</v>
      </c>
      <c r="C240" s="12" t="s">
        <v>729</v>
      </c>
      <c r="D240" s="2" t="s">
        <v>22</v>
      </c>
      <c r="E240" s="2">
        <v>62</v>
      </c>
      <c r="F240" s="2"/>
      <c r="G240" s="2">
        <v>61</v>
      </c>
      <c r="H240" s="2"/>
      <c r="I240" s="2">
        <v>49</v>
      </c>
      <c r="J240" s="2">
        <v>42</v>
      </c>
      <c r="K240" s="2">
        <v>59</v>
      </c>
      <c r="L240" s="2"/>
      <c r="M240" s="2">
        <v>80</v>
      </c>
      <c r="N240" s="2">
        <v>353</v>
      </c>
      <c r="O240" s="2">
        <v>58.83</v>
      </c>
      <c r="P240" s="8">
        <f>LARGE(E240:M240,1)</f>
        <v>80</v>
      </c>
      <c r="Q240" s="8">
        <f>LARGE(E240:M240,2)</f>
        <v>62</v>
      </c>
      <c r="R240" s="8">
        <f>LARGE(E240:M240,3)</f>
        <v>61</v>
      </c>
      <c r="S240" s="8">
        <f>LARGE(E240:M240,4)</f>
        <v>59</v>
      </c>
      <c r="T240" s="8">
        <f>LARGE(E240:M240,5)</f>
        <v>49</v>
      </c>
      <c r="U240" s="11">
        <f>SUM(LARGE(E240:M240, 1), LARGE(E240:M240, 2), LARGE(E240:M240, 3), LARGE(E240:M240, 4), LARGE(E240:M240, 5))</f>
        <v>311</v>
      </c>
      <c r="V240" s="11">
        <f>U240/5</f>
        <v>62.2</v>
      </c>
    </row>
    <row r="241" spans="1:22">
      <c r="A241" s="2">
        <v>239</v>
      </c>
      <c r="B241" s="2" t="s">
        <v>459</v>
      </c>
      <c r="C241" s="12" t="s">
        <v>720</v>
      </c>
      <c r="D241" s="2" t="s">
        <v>17</v>
      </c>
      <c r="E241" s="2">
        <v>62</v>
      </c>
      <c r="F241" s="2"/>
      <c r="G241" s="2">
        <v>66</v>
      </c>
      <c r="H241" s="2"/>
      <c r="I241" s="2"/>
      <c r="J241" s="2">
        <v>36</v>
      </c>
      <c r="K241" s="2">
        <v>53</v>
      </c>
      <c r="L241" s="2">
        <v>28</v>
      </c>
      <c r="M241" s="2">
        <v>68</v>
      </c>
      <c r="N241" s="2">
        <v>313</v>
      </c>
      <c r="O241" s="2">
        <v>52.17</v>
      </c>
      <c r="P241" s="8">
        <f>LARGE(E241:M241,1)</f>
        <v>68</v>
      </c>
      <c r="Q241" s="8">
        <f>LARGE(E241:M241,2)</f>
        <v>66</v>
      </c>
      <c r="R241" s="8">
        <f>LARGE(E241:M241,3)</f>
        <v>62</v>
      </c>
      <c r="S241" s="8">
        <f>LARGE(E241:M241,4)</f>
        <v>53</v>
      </c>
      <c r="T241" s="8">
        <f>LARGE(E241:M241,5)</f>
        <v>36</v>
      </c>
      <c r="U241" s="11">
        <f>SUM(LARGE(E241:M241, 1), LARGE(E241:M241, 2), LARGE(E241:M241, 3), LARGE(E241:M241, 4), LARGE(E241:M241, 5))</f>
        <v>285</v>
      </c>
      <c r="V241" s="11">
        <f>U241/5</f>
        <v>57</v>
      </c>
    </row>
  </sheetData>
  <sortState ref="B4:W242">
    <sortCondition descending="1" ref="U4:U242"/>
  </sortState>
  <mergeCells count="1">
    <mergeCell ref="B1:M1"/>
  </mergeCells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2"/>
  <sheetViews>
    <sheetView topLeftCell="A124" workbookViewId="0">
      <selection activeCell="B223" sqref="B1:B1048576"/>
    </sheetView>
  </sheetViews>
  <sheetFormatPr defaultRowHeight="15"/>
  <cols>
    <col min="1" max="1" width="12" customWidth="1"/>
    <col min="2" max="2" width="46.42578125" style="7" customWidth="1"/>
    <col min="3" max="3" width="19.28515625" customWidth="1"/>
    <col min="4" max="4" width="8.42578125" customWidth="1"/>
    <col min="5" max="13" width="7.42578125" customWidth="1"/>
    <col min="14" max="14" width="12" customWidth="1"/>
  </cols>
  <sheetData>
    <row r="1" spans="1:21" ht="18.7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21">
      <c r="A3" s="1" t="s">
        <v>1</v>
      </c>
      <c r="B3" s="5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493</v>
      </c>
      <c r="L3" s="1" t="s">
        <v>12</v>
      </c>
      <c r="M3" s="1" t="s">
        <v>13</v>
      </c>
      <c r="N3" s="1" t="s">
        <v>14</v>
      </c>
      <c r="O3" s="9" t="s">
        <v>494</v>
      </c>
      <c r="P3" s="9" t="s">
        <v>495</v>
      </c>
      <c r="Q3" s="9" t="s">
        <v>496</v>
      </c>
      <c r="R3" s="9" t="s">
        <v>497</v>
      </c>
      <c r="S3" s="9" t="s">
        <v>498</v>
      </c>
      <c r="T3" s="10" t="s">
        <v>499</v>
      </c>
      <c r="U3" s="10" t="s">
        <v>500</v>
      </c>
    </row>
    <row r="4" spans="1:21">
      <c r="A4" s="2" t="s">
        <v>15</v>
      </c>
      <c r="B4" s="12" t="s">
        <v>501</v>
      </c>
      <c r="C4" s="2" t="s">
        <v>17</v>
      </c>
      <c r="D4" s="2">
        <v>91</v>
      </c>
      <c r="E4" s="2"/>
      <c r="F4" s="2">
        <v>97</v>
      </c>
      <c r="G4" s="2"/>
      <c r="H4" s="2"/>
      <c r="I4" s="2">
        <v>81</v>
      </c>
      <c r="J4" s="2">
        <v>92</v>
      </c>
      <c r="K4" s="2">
        <v>85</v>
      </c>
      <c r="L4" s="2">
        <v>94</v>
      </c>
      <c r="M4" s="2">
        <v>540</v>
      </c>
      <c r="N4" s="2">
        <v>90</v>
      </c>
      <c r="O4" s="8">
        <f>LARGE(D4:L4,1)</f>
        <v>97</v>
      </c>
      <c r="P4" s="8">
        <f>LARGE(D4:L4,2)</f>
        <v>94</v>
      </c>
      <c r="Q4" s="8">
        <f>LARGE(D4:L4,3)</f>
        <v>92</v>
      </c>
      <c r="R4" s="8">
        <f>LARGE(D4:L4,4)</f>
        <v>91</v>
      </c>
      <c r="S4" s="8">
        <f>LARGE(D4:L4,5)</f>
        <v>85</v>
      </c>
      <c r="T4" s="11">
        <f>SUM(LARGE(D4:L4, 1), LARGE(D4:L4, 2), LARGE(D4:L4, 3), LARGE(D4:L4, 4), LARGE(D4:L4, 5))</f>
        <v>459</v>
      </c>
      <c r="U4" s="11">
        <f t="shared" ref="U4" si="0">T4/5</f>
        <v>91.8</v>
      </c>
    </row>
    <row r="5" spans="1:21">
      <c r="A5" s="2" t="s">
        <v>18</v>
      </c>
      <c r="B5" s="12" t="s">
        <v>502</v>
      </c>
      <c r="C5" s="2" t="s">
        <v>17</v>
      </c>
      <c r="D5" s="2">
        <v>90</v>
      </c>
      <c r="E5" s="2"/>
      <c r="F5" s="2"/>
      <c r="G5" s="2">
        <v>73</v>
      </c>
      <c r="H5" s="2">
        <v>61</v>
      </c>
      <c r="I5" s="2">
        <v>76</v>
      </c>
      <c r="J5" s="2">
        <v>86</v>
      </c>
      <c r="K5" s="2"/>
      <c r="L5" s="2">
        <v>100</v>
      </c>
      <c r="M5" s="2">
        <v>486</v>
      </c>
      <c r="N5" s="2">
        <v>81</v>
      </c>
      <c r="O5" s="8">
        <f t="shared" ref="O5:O68" si="1">LARGE(D5:L5,1)</f>
        <v>100</v>
      </c>
      <c r="P5" s="8">
        <f t="shared" ref="P5:P68" si="2">LARGE(D5:L5,2)</f>
        <v>90</v>
      </c>
      <c r="Q5" s="8">
        <f t="shared" ref="Q5:Q68" si="3">LARGE(D5:L5,3)</f>
        <v>86</v>
      </c>
      <c r="R5" s="8">
        <f t="shared" ref="R5:R68" si="4">LARGE(D5:L5,4)</f>
        <v>76</v>
      </c>
      <c r="S5" s="8">
        <f t="shared" ref="S5:S68" si="5">LARGE(D5:L5,5)</f>
        <v>73</v>
      </c>
      <c r="T5" s="11">
        <f t="shared" ref="T5:T68" si="6">SUM(LARGE(D5:L5, 1), LARGE(D5:L5, 2), LARGE(D5:L5, 3), LARGE(D5:L5, 4), LARGE(D5:L5, 5))</f>
        <v>425</v>
      </c>
      <c r="U5" s="11">
        <f t="shared" ref="U5:U68" si="7">T5/5</f>
        <v>85</v>
      </c>
    </row>
    <row r="6" spans="1:21">
      <c r="A6" s="2" t="s">
        <v>20</v>
      </c>
      <c r="B6" s="12" t="s">
        <v>503</v>
      </c>
      <c r="C6" s="2" t="s">
        <v>22</v>
      </c>
      <c r="D6" s="2">
        <v>95</v>
      </c>
      <c r="E6" s="2">
        <v>93</v>
      </c>
      <c r="F6" s="2"/>
      <c r="G6" s="2"/>
      <c r="H6" s="2">
        <v>99</v>
      </c>
      <c r="I6" s="2">
        <v>88</v>
      </c>
      <c r="J6" s="2">
        <v>93</v>
      </c>
      <c r="K6" s="2"/>
      <c r="L6" s="2">
        <v>100</v>
      </c>
      <c r="M6" s="2">
        <v>568</v>
      </c>
      <c r="N6" s="2">
        <v>94.67</v>
      </c>
      <c r="O6" s="8">
        <f t="shared" si="1"/>
        <v>100</v>
      </c>
      <c r="P6" s="8">
        <f t="shared" si="2"/>
        <v>99</v>
      </c>
      <c r="Q6" s="8">
        <f t="shared" si="3"/>
        <v>95</v>
      </c>
      <c r="R6" s="8">
        <f t="shared" si="4"/>
        <v>93</v>
      </c>
      <c r="S6" s="8">
        <f t="shared" si="5"/>
        <v>93</v>
      </c>
      <c r="T6" s="11">
        <f t="shared" si="6"/>
        <v>480</v>
      </c>
      <c r="U6" s="11">
        <f t="shared" si="7"/>
        <v>96</v>
      </c>
    </row>
    <row r="7" spans="1:21">
      <c r="A7" s="2" t="s">
        <v>23</v>
      </c>
      <c r="B7" s="13" t="s">
        <v>503</v>
      </c>
      <c r="C7" s="2" t="s">
        <v>22</v>
      </c>
      <c r="D7" s="2">
        <v>80</v>
      </c>
      <c r="E7" s="2">
        <v>86</v>
      </c>
      <c r="F7" s="2"/>
      <c r="G7" s="2"/>
      <c r="H7" s="2">
        <v>60</v>
      </c>
      <c r="I7" s="2">
        <v>74</v>
      </c>
      <c r="J7" s="2">
        <v>90</v>
      </c>
      <c r="K7" s="2"/>
      <c r="L7" s="2">
        <v>92</v>
      </c>
      <c r="M7" s="2">
        <v>482</v>
      </c>
      <c r="N7" s="2">
        <v>80.33</v>
      </c>
      <c r="O7" s="8">
        <f t="shared" si="1"/>
        <v>92</v>
      </c>
      <c r="P7" s="8">
        <f t="shared" si="2"/>
        <v>90</v>
      </c>
      <c r="Q7" s="8">
        <f t="shared" si="3"/>
        <v>86</v>
      </c>
      <c r="R7" s="8">
        <f t="shared" si="4"/>
        <v>80</v>
      </c>
      <c r="S7" s="8">
        <f t="shared" si="5"/>
        <v>74</v>
      </c>
      <c r="T7" s="11">
        <f t="shared" si="6"/>
        <v>422</v>
      </c>
      <c r="U7" s="11">
        <f t="shared" si="7"/>
        <v>84.4</v>
      </c>
    </row>
    <row r="8" spans="1:21">
      <c r="A8" s="2" t="s">
        <v>24</v>
      </c>
      <c r="B8" s="12" t="s">
        <v>503</v>
      </c>
      <c r="C8" s="2" t="s">
        <v>22</v>
      </c>
      <c r="D8" s="2">
        <v>73</v>
      </c>
      <c r="E8" s="2">
        <v>79</v>
      </c>
      <c r="F8" s="2"/>
      <c r="G8" s="2"/>
      <c r="H8" s="2"/>
      <c r="I8" s="2">
        <v>53</v>
      </c>
      <c r="J8" s="2">
        <v>79</v>
      </c>
      <c r="K8" s="2">
        <v>75</v>
      </c>
      <c r="L8" s="2">
        <v>89</v>
      </c>
      <c r="M8" s="2">
        <v>448</v>
      </c>
      <c r="N8" s="2">
        <v>74.67</v>
      </c>
      <c r="O8" s="8">
        <f t="shared" si="1"/>
        <v>89</v>
      </c>
      <c r="P8" s="8">
        <f t="shared" si="2"/>
        <v>79</v>
      </c>
      <c r="Q8" s="8">
        <f t="shared" si="3"/>
        <v>79</v>
      </c>
      <c r="R8" s="8">
        <f t="shared" si="4"/>
        <v>75</v>
      </c>
      <c r="S8" s="8">
        <f t="shared" si="5"/>
        <v>73</v>
      </c>
      <c r="T8" s="11">
        <f t="shared" si="6"/>
        <v>395</v>
      </c>
      <c r="U8" s="11">
        <f t="shared" si="7"/>
        <v>79</v>
      </c>
    </row>
    <row r="9" spans="1:21">
      <c r="A9" s="2" t="s">
        <v>26</v>
      </c>
      <c r="B9" s="12" t="s">
        <v>504</v>
      </c>
      <c r="C9" s="2" t="s">
        <v>22</v>
      </c>
      <c r="D9" s="2">
        <v>91</v>
      </c>
      <c r="E9" s="2"/>
      <c r="F9" s="2">
        <v>96</v>
      </c>
      <c r="G9" s="2"/>
      <c r="H9" s="2"/>
      <c r="I9" s="2">
        <v>84</v>
      </c>
      <c r="J9" s="2">
        <v>98</v>
      </c>
      <c r="K9" s="2">
        <v>95</v>
      </c>
      <c r="L9" s="2">
        <v>98</v>
      </c>
      <c r="M9" s="2">
        <v>562</v>
      </c>
      <c r="N9" s="2">
        <v>93.67</v>
      </c>
      <c r="O9" s="8">
        <f t="shared" si="1"/>
        <v>98</v>
      </c>
      <c r="P9" s="8">
        <f t="shared" si="2"/>
        <v>98</v>
      </c>
      <c r="Q9" s="8">
        <f t="shared" si="3"/>
        <v>96</v>
      </c>
      <c r="R9" s="8">
        <f t="shared" si="4"/>
        <v>95</v>
      </c>
      <c r="S9" s="8">
        <f t="shared" si="5"/>
        <v>91</v>
      </c>
      <c r="T9" s="11">
        <f t="shared" si="6"/>
        <v>478</v>
      </c>
      <c r="U9" s="11">
        <f t="shared" si="7"/>
        <v>95.6</v>
      </c>
    </row>
    <row r="10" spans="1:21">
      <c r="A10" s="2" t="s">
        <v>28</v>
      </c>
      <c r="B10" s="12" t="s">
        <v>505</v>
      </c>
      <c r="C10" s="2" t="s">
        <v>22</v>
      </c>
      <c r="D10" s="2">
        <v>87</v>
      </c>
      <c r="E10" s="2"/>
      <c r="F10" s="2"/>
      <c r="G10" s="2">
        <v>96</v>
      </c>
      <c r="H10" s="2"/>
      <c r="I10" s="2">
        <v>86</v>
      </c>
      <c r="J10" s="2">
        <v>84</v>
      </c>
      <c r="K10" s="2">
        <v>97</v>
      </c>
      <c r="L10" s="2">
        <v>95</v>
      </c>
      <c r="M10" s="2">
        <v>545</v>
      </c>
      <c r="N10" s="2">
        <v>90.83</v>
      </c>
      <c r="O10" s="8">
        <f t="shared" si="1"/>
        <v>97</v>
      </c>
      <c r="P10" s="8">
        <f t="shared" si="2"/>
        <v>96</v>
      </c>
      <c r="Q10" s="8">
        <f t="shared" si="3"/>
        <v>95</v>
      </c>
      <c r="R10" s="8">
        <f t="shared" si="4"/>
        <v>87</v>
      </c>
      <c r="S10" s="8">
        <f t="shared" si="5"/>
        <v>86</v>
      </c>
      <c r="T10" s="11">
        <f t="shared" si="6"/>
        <v>461</v>
      </c>
      <c r="U10" s="11">
        <f t="shared" si="7"/>
        <v>92.2</v>
      </c>
    </row>
    <row r="11" spans="1:21">
      <c r="A11" s="2" t="s">
        <v>30</v>
      </c>
      <c r="B11" s="13" t="s">
        <v>506</v>
      </c>
      <c r="C11" s="2" t="s">
        <v>22</v>
      </c>
      <c r="D11" s="2">
        <v>86</v>
      </c>
      <c r="E11" s="2">
        <v>87</v>
      </c>
      <c r="F11" s="2"/>
      <c r="G11" s="2"/>
      <c r="H11" s="2">
        <v>60</v>
      </c>
      <c r="I11" s="2">
        <v>66</v>
      </c>
      <c r="J11" s="2">
        <v>75</v>
      </c>
      <c r="K11" s="2"/>
      <c r="L11" s="2">
        <v>88</v>
      </c>
      <c r="M11" s="2">
        <v>462</v>
      </c>
      <c r="N11" s="2">
        <v>77</v>
      </c>
      <c r="O11" s="8">
        <f t="shared" si="1"/>
        <v>88</v>
      </c>
      <c r="P11" s="8">
        <f t="shared" si="2"/>
        <v>87</v>
      </c>
      <c r="Q11" s="8">
        <f t="shared" si="3"/>
        <v>86</v>
      </c>
      <c r="R11" s="8">
        <f t="shared" si="4"/>
        <v>75</v>
      </c>
      <c r="S11" s="8">
        <f t="shared" si="5"/>
        <v>66</v>
      </c>
      <c r="T11" s="11">
        <f t="shared" si="6"/>
        <v>402</v>
      </c>
      <c r="U11" s="11">
        <f t="shared" si="7"/>
        <v>80.400000000000006</v>
      </c>
    </row>
    <row r="12" spans="1:21">
      <c r="A12" s="2" t="s">
        <v>32</v>
      </c>
      <c r="B12" s="13" t="s">
        <v>507</v>
      </c>
      <c r="C12" s="2" t="s">
        <v>17</v>
      </c>
      <c r="D12" s="2">
        <v>96</v>
      </c>
      <c r="E12" s="2"/>
      <c r="F12" s="2">
        <v>98</v>
      </c>
      <c r="G12" s="2"/>
      <c r="H12" s="2">
        <v>95</v>
      </c>
      <c r="I12" s="2">
        <v>88</v>
      </c>
      <c r="J12" s="2">
        <v>99</v>
      </c>
      <c r="K12" s="2"/>
      <c r="L12" s="2">
        <v>99</v>
      </c>
      <c r="M12" s="2">
        <v>575</v>
      </c>
      <c r="N12" s="2">
        <v>95.83</v>
      </c>
      <c r="O12" s="8">
        <f t="shared" si="1"/>
        <v>99</v>
      </c>
      <c r="P12" s="8">
        <f t="shared" si="2"/>
        <v>99</v>
      </c>
      <c r="Q12" s="8">
        <f t="shared" si="3"/>
        <v>98</v>
      </c>
      <c r="R12" s="8">
        <f t="shared" si="4"/>
        <v>96</v>
      </c>
      <c r="S12" s="8">
        <f t="shared" si="5"/>
        <v>95</v>
      </c>
      <c r="T12" s="11">
        <f t="shared" si="6"/>
        <v>487</v>
      </c>
      <c r="U12" s="11">
        <f t="shared" si="7"/>
        <v>97.4</v>
      </c>
    </row>
    <row r="13" spans="1:21">
      <c r="A13" s="2" t="s">
        <v>34</v>
      </c>
      <c r="B13" s="13" t="s">
        <v>508</v>
      </c>
      <c r="C13" s="2" t="s">
        <v>17</v>
      </c>
      <c r="D13" s="2">
        <v>93</v>
      </c>
      <c r="E13" s="2">
        <v>92</v>
      </c>
      <c r="F13" s="2"/>
      <c r="G13" s="2"/>
      <c r="H13" s="2"/>
      <c r="I13" s="2">
        <v>92</v>
      </c>
      <c r="J13" s="2">
        <v>93</v>
      </c>
      <c r="K13" s="2">
        <v>98</v>
      </c>
      <c r="L13" s="2">
        <v>97</v>
      </c>
      <c r="M13" s="2">
        <v>565</v>
      </c>
      <c r="N13" s="2">
        <v>94.17</v>
      </c>
      <c r="O13" s="8">
        <f t="shared" si="1"/>
        <v>98</v>
      </c>
      <c r="P13" s="8">
        <f t="shared" si="2"/>
        <v>97</v>
      </c>
      <c r="Q13" s="8">
        <f t="shared" si="3"/>
        <v>93</v>
      </c>
      <c r="R13" s="8">
        <f t="shared" si="4"/>
        <v>93</v>
      </c>
      <c r="S13" s="8">
        <f t="shared" si="5"/>
        <v>92</v>
      </c>
      <c r="T13" s="11">
        <f t="shared" si="6"/>
        <v>473</v>
      </c>
      <c r="U13" s="11">
        <f t="shared" si="7"/>
        <v>94.6</v>
      </c>
    </row>
    <row r="14" spans="1:21">
      <c r="A14" s="2" t="s">
        <v>36</v>
      </c>
      <c r="B14" s="13" t="s">
        <v>509</v>
      </c>
      <c r="C14" s="2" t="s">
        <v>17</v>
      </c>
      <c r="D14" s="2">
        <v>94</v>
      </c>
      <c r="E14" s="2">
        <v>89</v>
      </c>
      <c r="F14" s="2"/>
      <c r="G14" s="2"/>
      <c r="H14" s="2">
        <v>90</v>
      </c>
      <c r="I14" s="2">
        <v>87</v>
      </c>
      <c r="J14" s="2">
        <v>96</v>
      </c>
      <c r="K14" s="2"/>
      <c r="L14" s="2">
        <v>100</v>
      </c>
      <c r="M14" s="2">
        <v>556</v>
      </c>
      <c r="N14" s="2">
        <v>92.67</v>
      </c>
      <c r="O14" s="8">
        <f t="shared" si="1"/>
        <v>100</v>
      </c>
      <c r="P14" s="8">
        <f t="shared" si="2"/>
        <v>96</v>
      </c>
      <c r="Q14" s="8">
        <f t="shared" si="3"/>
        <v>94</v>
      </c>
      <c r="R14" s="8">
        <f t="shared" si="4"/>
        <v>90</v>
      </c>
      <c r="S14" s="8">
        <f t="shared" si="5"/>
        <v>89</v>
      </c>
      <c r="T14" s="11">
        <f t="shared" si="6"/>
        <v>469</v>
      </c>
      <c r="U14" s="11">
        <f t="shared" si="7"/>
        <v>93.8</v>
      </c>
    </row>
    <row r="15" spans="1:21">
      <c r="A15" s="2" t="s">
        <v>38</v>
      </c>
      <c r="B15" s="12" t="s">
        <v>510</v>
      </c>
      <c r="C15" s="2" t="s">
        <v>17</v>
      </c>
      <c r="D15" s="2">
        <v>95</v>
      </c>
      <c r="E15" s="2"/>
      <c r="F15" s="2">
        <v>91</v>
      </c>
      <c r="G15" s="2"/>
      <c r="H15" s="2"/>
      <c r="I15" s="2">
        <v>87</v>
      </c>
      <c r="J15" s="2">
        <v>99</v>
      </c>
      <c r="K15" s="2">
        <v>90</v>
      </c>
      <c r="L15" s="2">
        <v>99</v>
      </c>
      <c r="M15" s="2">
        <v>561</v>
      </c>
      <c r="N15" s="2">
        <v>93.5</v>
      </c>
      <c r="O15" s="8">
        <f t="shared" si="1"/>
        <v>99</v>
      </c>
      <c r="P15" s="8">
        <f t="shared" si="2"/>
        <v>99</v>
      </c>
      <c r="Q15" s="8">
        <f t="shared" si="3"/>
        <v>95</v>
      </c>
      <c r="R15" s="8">
        <f t="shared" si="4"/>
        <v>91</v>
      </c>
      <c r="S15" s="8">
        <f t="shared" si="5"/>
        <v>90</v>
      </c>
      <c r="T15" s="11">
        <f t="shared" si="6"/>
        <v>474</v>
      </c>
      <c r="U15" s="11">
        <f t="shared" si="7"/>
        <v>94.8</v>
      </c>
    </row>
    <row r="16" spans="1:21">
      <c r="A16" s="2" t="s">
        <v>40</v>
      </c>
      <c r="B16" s="12" t="s">
        <v>511</v>
      </c>
      <c r="C16" s="2" t="s">
        <v>17</v>
      </c>
      <c r="D16" s="2">
        <v>92</v>
      </c>
      <c r="E16" s="2"/>
      <c r="F16" s="2">
        <v>82</v>
      </c>
      <c r="G16" s="2"/>
      <c r="H16" s="2"/>
      <c r="I16" s="2">
        <v>61</v>
      </c>
      <c r="J16" s="2">
        <v>84</v>
      </c>
      <c r="K16" s="2">
        <v>81</v>
      </c>
      <c r="L16" s="2">
        <v>95</v>
      </c>
      <c r="M16" s="2">
        <v>495</v>
      </c>
      <c r="N16" s="2">
        <v>82.5</v>
      </c>
      <c r="O16" s="8">
        <f t="shared" si="1"/>
        <v>95</v>
      </c>
      <c r="P16" s="8">
        <f t="shared" si="2"/>
        <v>92</v>
      </c>
      <c r="Q16" s="8">
        <f t="shared" si="3"/>
        <v>84</v>
      </c>
      <c r="R16" s="8">
        <f t="shared" si="4"/>
        <v>82</v>
      </c>
      <c r="S16" s="8">
        <f t="shared" si="5"/>
        <v>81</v>
      </c>
      <c r="T16" s="11">
        <f t="shared" si="6"/>
        <v>434</v>
      </c>
      <c r="U16" s="11">
        <f t="shared" si="7"/>
        <v>86.8</v>
      </c>
    </row>
    <row r="17" spans="1:21">
      <c r="A17" s="2" t="s">
        <v>42</v>
      </c>
      <c r="B17" s="12" t="s">
        <v>512</v>
      </c>
      <c r="C17" s="2" t="s">
        <v>17</v>
      </c>
      <c r="D17" s="2">
        <v>90</v>
      </c>
      <c r="E17" s="2"/>
      <c r="F17" s="2"/>
      <c r="G17" s="2">
        <v>50</v>
      </c>
      <c r="H17" s="2"/>
      <c r="I17" s="2">
        <v>44</v>
      </c>
      <c r="J17" s="2">
        <v>78</v>
      </c>
      <c r="K17" s="2">
        <v>36</v>
      </c>
      <c r="L17" s="2">
        <v>90</v>
      </c>
      <c r="M17" s="2">
        <v>388</v>
      </c>
      <c r="N17" s="2">
        <v>64.67</v>
      </c>
      <c r="O17" s="8">
        <f t="shared" si="1"/>
        <v>90</v>
      </c>
      <c r="P17" s="8">
        <f t="shared" si="2"/>
        <v>90</v>
      </c>
      <c r="Q17" s="8">
        <f t="shared" si="3"/>
        <v>78</v>
      </c>
      <c r="R17" s="8">
        <f t="shared" si="4"/>
        <v>50</v>
      </c>
      <c r="S17" s="8">
        <f t="shared" si="5"/>
        <v>44</v>
      </c>
      <c r="T17" s="11">
        <f t="shared" si="6"/>
        <v>352</v>
      </c>
      <c r="U17" s="11">
        <f t="shared" si="7"/>
        <v>70.400000000000006</v>
      </c>
    </row>
    <row r="18" spans="1:21">
      <c r="A18" s="2" t="s">
        <v>44</v>
      </c>
      <c r="B18" s="13" t="s">
        <v>513</v>
      </c>
      <c r="C18" s="2" t="s">
        <v>22</v>
      </c>
      <c r="D18" s="2">
        <v>94</v>
      </c>
      <c r="E18" s="2">
        <v>95</v>
      </c>
      <c r="F18" s="2"/>
      <c r="G18" s="2"/>
      <c r="H18" s="2"/>
      <c r="I18" s="2">
        <v>74</v>
      </c>
      <c r="J18" s="2">
        <v>98</v>
      </c>
      <c r="K18" s="2">
        <v>69</v>
      </c>
      <c r="L18" s="2">
        <v>97</v>
      </c>
      <c r="M18" s="2">
        <v>527</v>
      </c>
      <c r="N18" s="2">
        <v>87.83</v>
      </c>
      <c r="O18" s="8">
        <f t="shared" si="1"/>
        <v>98</v>
      </c>
      <c r="P18" s="8">
        <f t="shared" si="2"/>
        <v>97</v>
      </c>
      <c r="Q18" s="8">
        <f t="shared" si="3"/>
        <v>95</v>
      </c>
      <c r="R18" s="8">
        <f t="shared" si="4"/>
        <v>94</v>
      </c>
      <c r="S18" s="8">
        <f t="shared" si="5"/>
        <v>74</v>
      </c>
      <c r="T18" s="11">
        <f t="shared" si="6"/>
        <v>458</v>
      </c>
      <c r="U18" s="11">
        <f t="shared" si="7"/>
        <v>91.6</v>
      </c>
    </row>
    <row r="19" spans="1:21">
      <c r="A19" s="2" t="s">
        <v>46</v>
      </c>
      <c r="B19" s="13" t="s">
        <v>514</v>
      </c>
      <c r="C19" s="2" t="s">
        <v>22</v>
      </c>
      <c r="D19" s="2">
        <v>89</v>
      </c>
      <c r="E19" s="2">
        <v>96</v>
      </c>
      <c r="F19" s="2"/>
      <c r="G19" s="2"/>
      <c r="H19" s="2">
        <v>81</v>
      </c>
      <c r="I19" s="2">
        <v>90</v>
      </c>
      <c r="J19" s="2">
        <v>92</v>
      </c>
      <c r="K19" s="2"/>
      <c r="L19" s="2">
        <v>96</v>
      </c>
      <c r="M19" s="2">
        <v>544</v>
      </c>
      <c r="N19" s="2">
        <v>90.67</v>
      </c>
      <c r="O19" s="8">
        <f t="shared" si="1"/>
        <v>96</v>
      </c>
      <c r="P19" s="8">
        <f t="shared" si="2"/>
        <v>96</v>
      </c>
      <c r="Q19" s="8">
        <f t="shared" si="3"/>
        <v>92</v>
      </c>
      <c r="R19" s="8">
        <f t="shared" si="4"/>
        <v>90</v>
      </c>
      <c r="S19" s="8">
        <f t="shared" si="5"/>
        <v>89</v>
      </c>
      <c r="T19" s="11">
        <f t="shared" si="6"/>
        <v>463</v>
      </c>
      <c r="U19" s="11">
        <f t="shared" si="7"/>
        <v>92.6</v>
      </c>
    </row>
    <row r="20" spans="1:21">
      <c r="A20" s="2" t="s">
        <v>48</v>
      </c>
      <c r="B20" s="12" t="s">
        <v>515</v>
      </c>
      <c r="C20" s="2" t="s">
        <v>17</v>
      </c>
      <c r="D20" s="2">
        <v>83</v>
      </c>
      <c r="E20" s="2"/>
      <c r="F20" s="2">
        <v>82</v>
      </c>
      <c r="G20" s="2"/>
      <c r="H20" s="2"/>
      <c r="I20" s="2">
        <v>59</v>
      </c>
      <c r="J20" s="2">
        <v>79</v>
      </c>
      <c r="K20" s="2">
        <v>61</v>
      </c>
      <c r="L20" s="2">
        <v>92</v>
      </c>
      <c r="M20" s="2">
        <v>456</v>
      </c>
      <c r="N20" s="2">
        <v>76</v>
      </c>
      <c r="O20" s="8">
        <f t="shared" si="1"/>
        <v>92</v>
      </c>
      <c r="P20" s="8">
        <f t="shared" si="2"/>
        <v>83</v>
      </c>
      <c r="Q20" s="8">
        <f t="shared" si="3"/>
        <v>82</v>
      </c>
      <c r="R20" s="8">
        <f t="shared" si="4"/>
        <v>79</v>
      </c>
      <c r="S20" s="8">
        <f t="shared" si="5"/>
        <v>61</v>
      </c>
      <c r="T20" s="11">
        <f t="shared" si="6"/>
        <v>397</v>
      </c>
      <c r="U20" s="11">
        <f t="shared" si="7"/>
        <v>79.400000000000006</v>
      </c>
    </row>
    <row r="21" spans="1:21">
      <c r="A21" s="2" t="s">
        <v>50</v>
      </c>
      <c r="B21" s="12" t="s">
        <v>516</v>
      </c>
      <c r="C21" s="2" t="s">
        <v>17</v>
      </c>
      <c r="D21" s="2">
        <v>94</v>
      </c>
      <c r="E21" s="2"/>
      <c r="F21" s="2">
        <v>99</v>
      </c>
      <c r="G21" s="2"/>
      <c r="H21" s="2"/>
      <c r="I21" s="2">
        <v>76</v>
      </c>
      <c r="J21" s="2">
        <v>88</v>
      </c>
      <c r="K21" s="2">
        <v>72</v>
      </c>
      <c r="L21" s="2">
        <v>99</v>
      </c>
      <c r="M21" s="2">
        <v>528</v>
      </c>
      <c r="N21" s="2">
        <v>88</v>
      </c>
      <c r="O21" s="8">
        <f t="shared" si="1"/>
        <v>99</v>
      </c>
      <c r="P21" s="8">
        <f t="shared" si="2"/>
        <v>99</v>
      </c>
      <c r="Q21" s="8">
        <f t="shared" si="3"/>
        <v>94</v>
      </c>
      <c r="R21" s="8">
        <f t="shared" si="4"/>
        <v>88</v>
      </c>
      <c r="S21" s="8">
        <f t="shared" si="5"/>
        <v>76</v>
      </c>
      <c r="T21" s="11">
        <f t="shared" si="6"/>
        <v>456</v>
      </c>
      <c r="U21" s="11">
        <f t="shared" si="7"/>
        <v>91.2</v>
      </c>
    </row>
    <row r="22" spans="1:21">
      <c r="A22" s="2" t="s">
        <v>52</v>
      </c>
      <c r="B22" s="12" t="s">
        <v>517</v>
      </c>
      <c r="C22" s="2" t="s">
        <v>22</v>
      </c>
      <c r="D22" s="2">
        <v>90</v>
      </c>
      <c r="E22" s="2"/>
      <c r="F22" s="2"/>
      <c r="G22" s="2">
        <v>75</v>
      </c>
      <c r="H22" s="2">
        <v>72</v>
      </c>
      <c r="I22" s="2">
        <v>90</v>
      </c>
      <c r="J22" s="2">
        <v>93</v>
      </c>
      <c r="K22" s="2"/>
      <c r="L22" s="2">
        <v>98</v>
      </c>
      <c r="M22" s="2">
        <v>518</v>
      </c>
      <c r="N22" s="2">
        <v>86.33</v>
      </c>
      <c r="O22" s="8">
        <f t="shared" si="1"/>
        <v>98</v>
      </c>
      <c r="P22" s="8">
        <f t="shared" si="2"/>
        <v>93</v>
      </c>
      <c r="Q22" s="8">
        <f t="shared" si="3"/>
        <v>90</v>
      </c>
      <c r="R22" s="8">
        <f t="shared" si="4"/>
        <v>90</v>
      </c>
      <c r="S22" s="8">
        <f t="shared" si="5"/>
        <v>75</v>
      </c>
      <c r="T22" s="11">
        <f t="shared" si="6"/>
        <v>446</v>
      </c>
      <c r="U22" s="11">
        <f t="shared" si="7"/>
        <v>89.2</v>
      </c>
    </row>
    <row r="23" spans="1:21">
      <c r="A23" s="2" t="s">
        <v>54</v>
      </c>
      <c r="B23" s="12" t="s">
        <v>518</v>
      </c>
      <c r="C23" s="2" t="s">
        <v>22</v>
      </c>
      <c r="D23" s="2">
        <v>86</v>
      </c>
      <c r="E23" s="2"/>
      <c r="F23" s="2">
        <v>90</v>
      </c>
      <c r="G23" s="2"/>
      <c r="H23" s="2">
        <v>59</v>
      </c>
      <c r="I23" s="2">
        <v>74</v>
      </c>
      <c r="J23" s="2">
        <v>68</v>
      </c>
      <c r="K23" s="2"/>
      <c r="L23" s="2">
        <v>95</v>
      </c>
      <c r="M23" s="2">
        <v>472</v>
      </c>
      <c r="N23" s="2">
        <v>78.67</v>
      </c>
      <c r="O23" s="8">
        <f t="shared" si="1"/>
        <v>95</v>
      </c>
      <c r="P23" s="8">
        <f t="shared" si="2"/>
        <v>90</v>
      </c>
      <c r="Q23" s="8">
        <f t="shared" si="3"/>
        <v>86</v>
      </c>
      <c r="R23" s="8">
        <f t="shared" si="4"/>
        <v>74</v>
      </c>
      <c r="S23" s="8">
        <f t="shared" si="5"/>
        <v>68</v>
      </c>
      <c r="T23" s="11">
        <f t="shared" si="6"/>
        <v>413</v>
      </c>
      <c r="U23" s="11">
        <f t="shared" si="7"/>
        <v>82.6</v>
      </c>
    </row>
    <row r="24" spans="1:21">
      <c r="A24" s="2" t="s">
        <v>56</v>
      </c>
      <c r="B24" s="13" t="s">
        <v>519</v>
      </c>
      <c r="C24" s="2" t="s">
        <v>22</v>
      </c>
      <c r="D24" s="2">
        <v>86</v>
      </c>
      <c r="E24" s="2">
        <v>71</v>
      </c>
      <c r="F24" s="2"/>
      <c r="G24" s="2"/>
      <c r="H24" s="2"/>
      <c r="I24" s="2">
        <v>49</v>
      </c>
      <c r="J24" s="2">
        <v>75</v>
      </c>
      <c r="K24" s="2">
        <v>63</v>
      </c>
      <c r="L24" s="2">
        <v>89</v>
      </c>
      <c r="M24" s="2">
        <v>433</v>
      </c>
      <c r="N24" s="2">
        <v>72.17</v>
      </c>
      <c r="O24" s="8">
        <f t="shared" si="1"/>
        <v>89</v>
      </c>
      <c r="P24" s="8">
        <f t="shared" si="2"/>
        <v>86</v>
      </c>
      <c r="Q24" s="8">
        <f t="shared" si="3"/>
        <v>75</v>
      </c>
      <c r="R24" s="8">
        <f t="shared" si="4"/>
        <v>71</v>
      </c>
      <c r="S24" s="8">
        <f t="shared" si="5"/>
        <v>63</v>
      </c>
      <c r="T24" s="11">
        <f t="shared" si="6"/>
        <v>384</v>
      </c>
      <c r="U24" s="11">
        <f t="shared" si="7"/>
        <v>76.8</v>
      </c>
    </row>
    <row r="25" spans="1:21">
      <c r="A25" s="2" t="s">
        <v>58</v>
      </c>
      <c r="B25" s="12" t="s">
        <v>520</v>
      </c>
      <c r="C25" s="2" t="s">
        <v>17</v>
      </c>
      <c r="D25" s="2">
        <v>91</v>
      </c>
      <c r="E25" s="2"/>
      <c r="F25" s="2">
        <v>94</v>
      </c>
      <c r="G25" s="2"/>
      <c r="H25" s="2"/>
      <c r="I25" s="2">
        <v>93</v>
      </c>
      <c r="J25" s="2">
        <v>94</v>
      </c>
      <c r="K25" s="2">
        <v>92</v>
      </c>
      <c r="L25" s="2">
        <v>100</v>
      </c>
      <c r="M25" s="2">
        <v>564</v>
      </c>
      <c r="N25" s="2">
        <v>94</v>
      </c>
      <c r="O25" s="8">
        <f t="shared" si="1"/>
        <v>100</v>
      </c>
      <c r="P25" s="8">
        <f t="shared" si="2"/>
        <v>94</v>
      </c>
      <c r="Q25" s="8">
        <f t="shared" si="3"/>
        <v>94</v>
      </c>
      <c r="R25" s="8">
        <f t="shared" si="4"/>
        <v>93</v>
      </c>
      <c r="S25" s="8">
        <f t="shared" si="5"/>
        <v>92</v>
      </c>
      <c r="T25" s="11">
        <f t="shared" si="6"/>
        <v>473</v>
      </c>
      <c r="U25" s="11">
        <f t="shared" si="7"/>
        <v>94.6</v>
      </c>
    </row>
    <row r="26" spans="1:21">
      <c r="A26" s="2" t="s">
        <v>60</v>
      </c>
      <c r="B26" s="12" t="s">
        <v>521</v>
      </c>
      <c r="C26" s="2" t="s">
        <v>17</v>
      </c>
      <c r="D26" s="2">
        <v>93</v>
      </c>
      <c r="E26" s="2"/>
      <c r="F26" s="2"/>
      <c r="G26" s="2">
        <v>68</v>
      </c>
      <c r="H26" s="2"/>
      <c r="I26" s="2">
        <v>85</v>
      </c>
      <c r="J26" s="2">
        <v>85</v>
      </c>
      <c r="K26" s="2">
        <v>80</v>
      </c>
      <c r="L26" s="2">
        <v>95</v>
      </c>
      <c r="M26" s="2">
        <v>506</v>
      </c>
      <c r="N26" s="2">
        <v>84.33</v>
      </c>
      <c r="O26" s="8">
        <f t="shared" si="1"/>
        <v>95</v>
      </c>
      <c r="P26" s="8">
        <f t="shared" si="2"/>
        <v>93</v>
      </c>
      <c r="Q26" s="8">
        <f t="shared" si="3"/>
        <v>85</v>
      </c>
      <c r="R26" s="8">
        <f t="shared" si="4"/>
        <v>85</v>
      </c>
      <c r="S26" s="8">
        <f t="shared" si="5"/>
        <v>80</v>
      </c>
      <c r="T26" s="11">
        <f t="shared" si="6"/>
        <v>438</v>
      </c>
      <c r="U26" s="11">
        <f t="shared" si="7"/>
        <v>87.6</v>
      </c>
    </row>
    <row r="27" spans="1:21">
      <c r="A27" s="2" t="s">
        <v>62</v>
      </c>
      <c r="B27" s="13" t="s">
        <v>522</v>
      </c>
      <c r="C27" s="2" t="s">
        <v>22</v>
      </c>
      <c r="D27" s="2">
        <v>93</v>
      </c>
      <c r="E27" s="2"/>
      <c r="F27" s="2">
        <v>98</v>
      </c>
      <c r="G27" s="2"/>
      <c r="H27" s="2">
        <v>100</v>
      </c>
      <c r="I27" s="2">
        <v>97</v>
      </c>
      <c r="J27" s="2">
        <v>85</v>
      </c>
      <c r="K27" s="2"/>
      <c r="L27" s="2">
        <v>98</v>
      </c>
      <c r="M27" s="2">
        <v>571</v>
      </c>
      <c r="N27" s="2">
        <v>95.17</v>
      </c>
      <c r="O27" s="8">
        <f t="shared" si="1"/>
        <v>100</v>
      </c>
      <c r="P27" s="8">
        <f t="shared" si="2"/>
        <v>98</v>
      </c>
      <c r="Q27" s="8">
        <f t="shared" si="3"/>
        <v>98</v>
      </c>
      <c r="R27" s="8">
        <f t="shared" si="4"/>
        <v>97</v>
      </c>
      <c r="S27" s="8">
        <f t="shared" si="5"/>
        <v>93</v>
      </c>
      <c r="T27" s="11">
        <f t="shared" si="6"/>
        <v>486</v>
      </c>
      <c r="U27" s="11">
        <f t="shared" si="7"/>
        <v>97.2</v>
      </c>
    </row>
    <row r="28" spans="1:21">
      <c r="A28" s="2" t="s">
        <v>64</v>
      </c>
      <c r="B28" s="13" t="s">
        <v>523</v>
      </c>
      <c r="C28" s="2" t="s">
        <v>22</v>
      </c>
      <c r="D28" s="2">
        <v>84</v>
      </c>
      <c r="E28" s="2">
        <v>88</v>
      </c>
      <c r="F28" s="2"/>
      <c r="G28" s="2"/>
      <c r="H28" s="2"/>
      <c r="I28" s="2">
        <v>76</v>
      </c>
      <c r="J28" s="2">
        <v>91</v>
      </c>
      <c r="K28" s="2">
        <v>77</v>
      </c>
      <c r="L28" s="2">
        <v>80</v>
      </c>
      <c r="M28" s="2">
        <v>496</v>
      </c>
      <c r="N28" s="2">
        <v>82.67</v>
      </c>
      <c r="O28" s="8">
        <f t="shared" si="1"/>
        <v>91</v>
      </c>
      <c r="P28" s="8">
        <f t="shared" si="2"/>
        <v>88</v>
      </c>
      <c r="Q28" s="8">
        <f t="shared" si="3"/>
        <v>84</v>
      </c>
      <c r="R28" s="8">
        <f t="shared" si="4"/>
        <v>80</v>
      </c>
      <c r="S28" s="8">
        <f t="shared" si="5"/>
        <v>77</v>
      </c>
      <c r="T28" s="11">
        <f t="shared" si="6"/>
        <v>420</v>
      </c>
      <c r="U28" s="11">
        <f t="shared" si="7"/>
        <v>84</v>
      </c>
    </row>
    <row r="29" spans="1:21">
      <c r="A29" s="2" t="s">
        <v>66</v>
      </c>
      <c r="B29" s="13" t="s">
        <v>524</v>
      </c>
      <c r="C29" s="2" t="s">
        <v>22</v>
      </c>
      <c r="D29" s="2">
        <v>92</v>
      </c>
      <c r="E29" s="2"/>
      <c r="F29" s="2">
        <v>100</v>
      </c>
      <c r="G29" s="2"/>
      <c r="H29" s="2">
        <v>81</v>
      </c>
      <c r="I29" s="2">
        <v>91</v>
      </c>
      <c r="J29" s="2">
        <v>94</v>
      </c>
      <c r="K29" s="2"/>
      <c r="L29" s="2">
        <v>99</v>
      </c>
      <c r="M29" s="2">
        <v>557</v>
      </c>
      <c r="N29" s="2">
        <v>92.83</v>
      </c>
      <c r="O29" s="8">
        <f t="shared" si="1"/>
        <v>100</v>
      </c>
      <c r="P29" s="8">
        <f t="shared" si="2"/>
        <v>99</v>
      </c>
      <c r="Q29" s="8">
        <f t="shared" si="3"/>
        <v>94</v>
      </c>
      <c r="R29" s="8">
        <f t="shared" si="4"/>
        <v>92</v>
      </c>
      <c r="S29" s="8">
        <f t="shared" si="5"/>
        <v>91</v>
      </c>
      <c r="T29" s="11">
        <f t="shared" si="6"/>
        <v>476</v>
      </c>
      <c r="U29" s="11">
        <f t="shared" si="7"/>
        <v>95.2</v>
      </c>
    </row>
    <row r="30" spans="1:21">
      <c r="A30" s="2" t="s">
        <v>68</v>
      </c>
      <c r="B30" s="13" t="s">
        <v>525</v>
      </c>
      <c r="C30" s="2" t="s">
        <v>17</v>
      </c>
      <c r="D30" s="2">
        <v>95</v>
      </c>
      <c r="E30" s="2">
        <v>93</v>
      </c>
      <c r="F30" s="2"/>
      <c r="G30" s="2"/>
      <c r="H30" s="2">
        <v>95</v>
      </c>
      <c r="I30" s="2">
        <v>97</v>
      </c>
      <c r="J30" s="2">
        <v>96</v>
      </c>
      <c r="K30" s="2"/>
      <c r="L30" s="2">
        <v>98</v>
      </c>
      <c r="M30" s="2">
        <v>574</v>
      </c>
      <c r="N30" s="2">
        <v>95.67</v>
      </c>
      <c r="O30" s="8">
        <f t="shared" si="1"/>
        <v>98</v>
      </c>
      <c r="P30" s="8">
        <f t="shared" si="2"/>
        <v>97</v>
      </c>
      <c r="Q30" s="8">
        <f t="shared" si="3"/>
        <v>96</v>
      </c>
      <c r="R30" s="8">
        <f t="shared" si="4"/>
        <v>95</v>
      </c>
      <c r="S30" s="8">
        <f t="shared" si="5"/>
        <v>95</v>
      </c>
      <c r="T30" s="11">
        <f t="shared" si="6"/>
        <v>481</v>
      </c>
      <c r="U30" s="11">
        <f t="shared" si="7"/>
        <v>96.2</v>
      </c>
    </row>
    <row r="31" spans="1:21">
      <c r="A31" s="2" t="s">
        <v>70</v>
      </c>
      <c r="B31" s="13" t="s">
        <v>526</v>
      </c>
      <c r="C31" s="2" t="s">
        <v>22</v>
      </c>
      <c r="D31" s="2">
        <v>89</v>
      </c>
      <c r="E31" s="2">
        <v>76</v>
      </c>
      <c r="F31" s="2"/>
      <c r="G31" s="2"/>
      <c r="H31" s="2">
        <v>59</v>
      </c>
      <c r="I31" s="2">
        <v>57</v>
      </c>
      <c r="J31" s="2">
        <v>84</v>
      </c>
      <c r="K31" s="2"/>
      <c r="L31" s="2">
        <v>89</v>
      </c>
      <c r="M31" s="2">
        <v>454</v>
      </c>
      <c r="N31" s="2">
        <v>75.67</v>
      </c>
      <c r="O31" s="8">
        <f t="shared" si="1"/>
        <v>89</v>
      </c>
      <c r="P31" s="8">
        <f t="shared" si="2"/>
        <v>89</v>
      </c>
      <c r="Q31" s="8">
        <f t="shared" si="3"/>
        <v>84</v>
      </c>
      <c r="R31" s="8">
        <f t="shared" si="4"/>
        <v>76</v>
      </c>
      <c r="S31" s="8">
        <f t="shared" si="5"/>
        <v>59</v>
      </c>
      <c r="T31" s="11">
        <f t="shared" si="6"/>
        <v>397</v>
      </c>
      <c r="U31" s="11">
        <f t="shared" si="7"/>
        <v>79.400000000000006</v>
      </c>
    </row>
    <row r="32" spans="1:21">
      <c r="A32" s="2" t="s">
        <v>72</v>
      </c>
      <c r="B32" s="12" t="s">
        <v>527</v>
      </c>
      <c r="C32" s="2" t="s">
        <v>17</v>
      </c>
      <c r="D32" s="2">
        <v>92</v>
      </c>
      <c r="E32" s="2"/>
      <c r="F32" s="2">
        <v>99</v>
      </c>
      <c r="G32" s="2"/>
      <c r="H32" s="2">
        <v>88</v>
      </c>
      <c r="I32" s="2">
        <v>91</v>
      </c>
      <c r="J32" s="2">
        <v>86</v>
      </c>
      <c r="K32" s="2"/>
      <c r="L32" s="2">
        <v>98</v>
      </c>
      <c r="M32" s="2">
        <v>554</v>
      </c>
      <c r="N32" s="2">
        <v>92.33</v>
      </c>
      <c r="O32" s="8">
        <f t="shared" si="1"/>
        <v>99</v>
      </c>
      <c r="P32" s="8">
        <f t="shared" si="2"/>
        <v>98</v>
      </c>
      <c r="Q32" s="8">
        <f t="shared" si="3"/>
        <v>92</v>
      </c>
      <c r="R32" s="8">
        <f t="shared" si="4"/>
        <v>91</v>
      </c>
      <c r="S32" s="8">
        <f t="shared" si="5"/>
        <v>88</v>
      </c>
      <c r="T32" s="11">
        <f t="shared" si="6"/>
        <v>468</v>
      </c>
      <c r="U32" s="11">
        <f t="shared" si="7"/>
        <v>93.6</v>
      </c>
    </row>
    <row r="33" spans="1:21">
      <c r="A33" s="2" t="s">
        <v>74</v>
      </c>
      <c r="B33" s="13" t="s">
        <v>528</v>
      </c>
      <c r="C33" s="2" t="s">
        <v>17</v>
      </c>
      <c r="D33" s="2">
        <v>97</v>
      </c>
      <c r="E33" s="2"/>
      <c r="F33" s="2">
        <v>98</v>
      </c>
      <c r="G33" s="2"/>
      <c r="H33" s="2">
        <v>92</v>
      </c>
      <c r="I33" s="2">
        <v>76</v>
      </c>
      <c r="J33" s="2">
        <v>81</v>
      </c>
      <c r="K33" s="2"/>
      <c r="L33" s="2">
        <v>98</v>
      </c>
      <c r="M33" s="2">
        <v>542</v>
      </c>
      <c r="N33" s="2">
        <v>90.33</v>
      </c>
      <c r="O33" s="8">
        <f t="shared" si="1"/>
        <v>98</v>
      </c>
      <c r="P33" s="8">
        <f t="shared" si="2"/>
        <v>98</v>
      </c>
      <c r="Q33" s="8">
        <f t="shared" si="3"/>
        <v>97</v>
      </c>
      <c r="R33" s="8">
        <f t="shared" si="4"/>
        <v>92</v>
      </c>
      <c r="S33" s="8">
        <f t="shared" si="5"/>
        <v>81</v>
      </c>
      <c r="T33" s="11">
        <f t="shared" si="6"/>
        <v>466</v>
      </c>
      <c r="U33" s="11">
        <f t="shared" si="7"/>
        <v>93.2</v>
      </c>
    </row>
    <row r="34" spans="1:21">
      <c r="A34" s="2" t="s">
        <v>76</v>
      </c>
      <c r="B34" s="13" t="s">
        <v>529</v>
      </c>
      <c r="C34" s="2" t="s">
        <v>22</v>
      </c>
      <c r="D34" s="2">
        <v>95</v>
      </c>
      <c r="E34" s="2"/>
      <c r="F34" s="2">
        <v>87</v>
      </c>
      <c r="G34" s="2"/>
      <c r="H34" s="2">
        <v>89</v>
      </c>
      <c r="I34" s="2">
        <v>84</v>
      </c>
      <c r="J34" s="2">
        <v>75</v>
      </c>
      <c r="K34" s="2"/>
      <c r="L34" s="2">
        <v>99</v>
      </c>
      <c r="M34" s="2">
        <v>529</v>
      </c>
      <c r="N34" s="2">
        <v>88.17</v>
      </c>
      <c r="O34" s="8">
        <f t="shared" si="1"/>
        <v>99</v>
      </c>
      <c r="P34" s="8">
        <f t="shared" si="2"/>
        <v>95</v>
      </c>
      <c r="Q34" s="8">
        <f t="shared" si="3"/>
        <v>89</v>
      </c>
      <c r="R34" s="8">
        <f t="shared" si="4"/>
        <v>87</v>
      </c>
      <c r="S34" s="8">
        <f t="shared" si="5"/>
        <v>84</v>
      </c>
      <c r="T34" s="11">
        <f t="shared" si="6"/>
        <v>454</v>
      </c>
      <c r="U34" s="11">
        <f t="shared" si="7"/>
        <v>90.8</v>
      </c>
    </row>
    <row r="35" spans="1:21">
      <c r="A35" s="2" t="s">
        <v>78</v>
      </c>
      <c r="B35" s="12" t="s">
        <v>530</v>
      </c>
      <c r="C35" s="2" t="s">
        <v>22</v>
      </c>
      <c r="D35" s="2">
        <v>88</v>
      </c>
      <c r="E35" s="2"/>
      <c r="F35" s="2">
        <v>84</v>
      </c>
      <c r="G35" s="2"/>
      <c r="H35" s="2">
        <v>78</v>
      </c>
      <c r="I35" s="2">
        <v>70</v>
      </c>
      <c r="J35" s="2">
        <v>81</v>
      </c>
      <c r="K35" s="2"/>
      <c r="L35" s="2">
        <v>96</v>
      </c>
      <c r="M35" s="2">
        <v>497</v>
      </c>
      <c r="N35" s="2">
        <v>82.83</v>
      </c>
      <c r="O35" s="8">
        <f t="shared" si="1"/>
        <v>96</v>
      </c>
      <c r="P35" s="8">
        <f t="shared" si="2"/>
        <v>88</v>
      </c>
      <c r="Q35" s="8">
        <f t="shared" si="3"/>
        <v>84</v>
      </c>
      <c r="R35" s="8">
        <f t="shared" si="4"/>
        <v>81</v>
      </c>
      <c r="S35" s="8">
        <f t="shared" si="5"/>
        <v>78</v>
      </c>
      <c r="T35" s="11">
        <f t="shared" si="6"/>
        <v>427</v>
      </c>
      <c r="U35" s="11">
        <f t="shared" si="7"/>
        <v>85.4</v>
      </c>
    </row>
    <row r="36" spans="1:21">
      <c r="A36" s="2" t="s">
        <v>80</v>
      </c>
      <c r="B36" s="13" t="s">
        <v>531</v>
      </c>
      <c r="C36" s="2" t="s">
        <v>17</v>
      </c>
      <c r="D36" s="2">
        <v>98</v>
      </c>
      <c r="E36" s="2"/>
      <c r="F36" s="2"/>
      <c r="G36" s="2">
        <v>99</v>
      </c>
      <c r="H36" s="2">
        <v>85</v>
      </c>
      <c r="I36" s="2">
        <v>90</v>
      </c>
      <c r="J36" s="2">
        <v>95</v>
      </c>
      <c r="K36" s="2"/>
      <c r="L36" s="2">
        <v>100</v>
      </c>
      <c r="M36" s="2">
        <v>567</v>
      </c>
      <c r="N36" s="2">
        <v>94.5</v>
      </c>
      <c r="O36" s="8">
        <f t="shared" si="1"/>
        <v>100</v>
      </c>
      <c r="P36" s="8">
        <f t="shared" si="2"/>
        <v>99</v>
      </c>
      <c r="Q36" s="8">
        <f t="shared" si="3"/>
        <v>98</v>
      </c>
      <c r="R36" s="8">
        <f t="shared" si="4"/>
        <v>95</v>
      </c>
      <c r="S36" s="8">
        <f t="shared" si="5"/>
        <v>90</v>
      </c>
      <c r="T36" s="11">
        <f t="shared" si="6"/>
        <v>482</v>
      </c>
      <c r="U36" s="11">
        <f t="shared" si="7"/>
        <v>96.4</v>
      </c>
    </row>
    <row r="37" spans="1:21">
      <c r="A37" s="2" t="s">
        <v>82</v>
      </c>
      <c r="B37" s="12" t="s">
        <v>532</v>
      </c>
      <c r="C37" s="2" t="s">
        <v>22</v>
      </c>
      <c r="D37" s="2">
        <v>91</v>
      </c>
      <c r="E37" s="2"/>
      <c r="F37" s="2">
        <v>99</v>
      </c>
      <c r="G37" s="2"/>
      <c r="H37" s="2"/>
      <c r="I37" s="2">
        <v>91</v>
      </c>
      <c r="J37" s="2">
        <v>90</v>
      </c>
      <c r="K37" s="2">
        <v>91</v>
      </c>
      <c r="L37" s="2">
        <v>97</v>
      </c>
      <c r="M37" s="2">
        <v>559</v>
      </c>
      <c r="N37" s="2">
        <v>93.17</v>
      </c>
      <c r="O37" s="8">
        <f t="shared" si="1"/>
        <v>99</v>
      </c>
      <c r="P37" s="8">
        <f t="shared" si="2"/>
        <v>97</v>
      </c>
      <c r="Q37" s="8">
        <f t="shared" si="3"/>
        <v>91</v>
      </c>
      <c r="R37" s="8">
        <f t="shared" si="4"/>
        <v>91</v>
      </c>
      <c r="S37" s="8">
        <f t="shared" si="5"/>
        <v>91</v>
      </c>
      <c r="T37" s="11">
        <f t="shared" si="6"/>
        <v>469</v>
      </c>
      <c r="U37" s="11">
        <f t="shared" si="7"/>
        <v>93.8</v>
      </c>
    </row>
    <row r="38" spans="1:21">
      <c r="A38" s="2" t="s">
        <v>84</v>
      </c>
      <c r="B38" s="12" t="s">
        <v>533</v>
      </c>
      <c r="C38" s="2" t="s">
        <v>22</v>
      </c>
      <c r="D38" s="2">
        <v>76</v>
      </c>
      <c r="E38" s="2"/>
      <c r="F38" s="2">
        <v>80</v>
      </c>
      <c r="G38" s="2"/>
      <c r="H38" s="2"/>
      <c r="I38" s="2">
        <v>60</v>
      </c>
      <c r="J38" s="2">
        <v>79</v>
      </c>
      <c r="K38" s="2">
        <v>78</v>
      </c>
      <c r="L38" s="2">
        <v>89</v>
      </c>
      <c r="M38" s="2">
        <v>462</v>
      </c>
      <c r="N38" s="2">
        <v>77</v>
      </c>
      <c r="O38" s="8">
        <f t="shared" si="1"/>
        <v>89</v>
      </c>
      <c r="P38" s="8">
        <f t="shared" si="2"/>
        <v>80</v>
      </c>
      <c r="Q38" s="8">
        <f t="shared" si="3"/>
        <v>79</v>
      </c>
      <c r="R38" s="8">
        <f t="shared" si="4"/>
        <v>78</v>
      </c>
      <c r="S38" s="8">
        <f t="shared" si="5"/>
        <v>76</v>
      </c>
      <c r="T38" s="11">
        <f t="shared" si="6"/>
        <v>402</v>
      </c>
      <c r="U38" s="11">
        <f t="shared" si="7"/>
        <v>80.400000000000006</v>
      </c>
    </row>
    <row r="39" spans="1:21">
      <c r="A39" s="2" t="s">
        <v>86</v>
      </c>
      <c r="B39" s="13" t="s">
        <v>534</v>
      </c>
      <c r="C39" s="2" t="s">
        <v>17</v>
      </c>
      <c r="D39" s="2">
        <v>91</v>
      </c>
      <c r="E39" s="2"/>
      <c r="F39" s="2"/>
      <c r="G39" s="2">
        <v>74</v>
      </c>
      <c r="H39" s="2">
        <v>73</v>
      </c>
      <c r="I39" s="2">
        <v>77</v>
      </c>
      <c r="J39" s="2">
        <v>95</v>
      </c>
      <c r="K39" s="2"/>
      <c r="L39" s="2">
        <v>99</v>
      </c>
      <c r="M39" s="2">
        <v>509</v>
      </c>
      <c r="N39" s="2">
        <v>84.83</v>
      </c>
      <c r="O39" s="8">
        <f t="shared" si="1"/>
        <v>99</v>
      </c>
      <c r="P39" s="8">
        <f t="shared" si="2"/>
        <v>95</v>
      </c>
      <c r="Q39" s="8">
        <f t="shared" si="3"/>
        <v>91</v>
      </c>
      <c r="R39" s="8">
        <f t="shared" si="4"/>
        <v>77</v>
      </c>
      <c r="S39" s="8">
        <f t="shared" si="5"/>
        <v>74</v>
      </c>
      <c r="T39" s="11">
        <f t="shared" si="6"/>
        <v>436</v>
      </c>
      <c r="U39" s="11">
        <f t="shared" si="7"/>
        <v>87.2</v>
      </c>
    </row>
    <row r="40" spans="1:21">
      <c r="A40" s="2" t="s">
        <v>88</v>
      </c>
      <c r="B40" s="13" t="s">
        <v>535</v>
      </c>
      <c r="C40" s="2" t="s">
        <v>17</v>
      </c>
      <c r="D40" s="2">
        <v>94</v>
      </c>
      <c r="E40" s="2">
        <v>93</v>
      </c>
      <c r="F40" s="2"/>
      <c r="G40" s="2"/>
      <c r="H40" s="2"/>
      <c r="I40" s="2">
        <v>49</v>
      </c>
      <c r="J40" s="2">
        <v>90</v>
      </c>
      <c r="K40" s="2">
        <v>70</v>
      </c>
      <c r="L40" s="2">
        <v>81</v>
      </c>
      <c r="M40" s="2">
        <v>477</v>
      </c>
      <c r="N40" s="2">
        <v>79.5</v>
      </c>
      <c r="O40" s="8">
        <f t="shared" si="1"/>
        <v>94</v>
      </c>
      <c r="P40" s="8">
        <f t="shared" si="2"/>
        <v>93</v>
      </c>
      <c r="Q40" s="8">
        <f t="shared" si="3"/>
        <v>90</v>
      </c>
      <c r="R40" s="8">
        <f t="shared" si="4"/>
        <v>81</v>
      </c>
      <c r="S40" s="8">
        <f t="shared" si="5"/>
        <v>70</v>
      </c>
      <c r="T40" s="11">
        <f t="shared" si="6"/>
        <v>428</v>
      </c>
      <c r="U40" s="11">
        <f t="shared" si="7"/>
        <v>85.6</v>
      </c>
    </row>
    <row r="41" spans="1:21">
      <c r="A41" s="2" t="s">
        <v>90</v>
      </c>
      <c r="B41" s="12" t="s">
        <v>536</v>
      </c>
      <c r="C41" s="2" t="s">
        <v>17</v>
      </c>
      <c r="D41" s="2">
        <v>89</v>
      </c>
      <c r="E41" s="2"/>
      <c r="F41" s="2">
        <v>92</v>
      </c>
      <c r="G41" s="2"/>
      <c r="H41" s="2">
        <v>78</v>
      </c>
      <c r="I41" s="2">
        <v>70</v>
      </c>
      <c r="J41" s="2">
        <v>92</v>
      </c>
      <c r="K41" s="2"/>
      <c r="L41" s="2">
        <v>98</v>
      </c>
      <c r="M41" s="2">
        <v>519</v>
      </c>
      <c r="N41" s="2">
        <v>86.5</v>
      </c>
      <c r="O41" s="8">
        <f t="shared" si="1"/>
        <v>98</v>
      </c>
      <c r="P41" s="8">
        <f t="shared" si="2"/>
        <v>92</v>
      </c>
      <c r="Q41" s="8">
        <f t="shared" si="3"/>
        <v>92</v>
      </c>
      <c r="R41" s="8">
        <f t="shared" si="4"/>
        <v>89</v>
      </c>
      <c r="S41" s="8">
        <f t="shared" si="5"/>
        <v>78</v>
      </c>
      <c r="T41" s="11">
        <f t="shared" si="6"/>
        <v>449</v>
      </c>
      <c r="U41" s="11">
        <f t="shared" si="7"/>
        <v>89.8</v>
      </c>
    </row>
    <row r="42" spans="1:21">
      <c r="A42" s="2" t="s">
        <v>92</v>
      </c>
      <c r="B42" s="12" t="s">
        <v>537</v>
      </c>
      <c r="C42" s="2" t="s">
        <v>17</v>
      </c>
      <c r="D42" s="2">
        <v>85</v>
      </c>
      <c r="E42" s="2">
        <v>81</v>
      </c>
      <c r="F42" s="2"/>
      <c r="G42" s="2"/>
      <c r="H42" s="2"/>
      <c r="I42" s="2">
        <v>51</v>
      </c>
      <c r="J42" s="2">
        <v>80</v>
      </c>
      <c r="K42" s="2">
        <v>55</v>
      </c>
      <c r="L42" s="2">
        <v>89</v>
      </c>
      <c r="M42" s="2">
        <v>441</v>
      </c>
      <c r="N42" s="2">
        <v>73.5</v>
      </c>
      <c r="O42" s="8">
        <f t="shared" si="1"/>
        <v>89</v>
      </c>
      <c r="P42" s="8">
        <f t="shared" si="2"/>
        <v>85</v>
      </c>
      <c r="Q42" s="8">
        <f t="shared" si="3"/>
        <v>81</v>
      </c>
      <c r="R42" s="8">
        <f t="shared" si="4"/>
        <v>80</v>
      </c>
      <c r="S42" s="8">
        <f t="shared" si="5"/>
        <v>55</v>
      </c>
      <c r="T42" s="11">
        <f t="shared" si="6"/>
        <v>390</v>
      </c>
      <c r="U42" s="11">
        <f t="shared" si="7"/>
        <v>78</v>
      </c>
    </row>
    <row r="43" spans="1:21">
      <c r="A43" s="2" t="s">
        <v>94</v>
      </c>
      <c r="B43" s="13" t="s">
        <v>538</v>
      </c>
      <c r="C43" s="2" t="s">
        <v>22</v>
      </c>
      <c r="D43" s="2">
        <v>87</v>
      </c>
      <c r="E43" s="2">
        <v>76</v>
      </c>
      <c r="F43" s="2"/>
      <c r="G43" s="2"/>
      <c r="H43" s="2">
        <v>82</v>
      </c>
      <c r="I43" s="2">
        <v>85</v>
      </c>
      <c r="J43" s="2">
        <v>92</v>
      </c>
      <c r="K43" s="2"/>
      <c r="L43" s="2">
        <v>96</v>
      </c>
      <c r="M43" s="2">
        <v>518</v>
      </c>
      <c r="N43" s="2">
        <v>86.33</v>
      </c>
      <c r="O43" s="8">
        <f t="shared" si="1"/>
        <v>96</v>
      </c>
      <c r="P43" s="8">
        <f t="shared" si="2"/>
        <v>92</v>
      </c>
      <c r="Q43" s="8">
        <f t="shared" si="3"/>
        <v>87</v>
      </c>
      <c r="R43" s="8">
        <f t="shared" si="4"/>
        <v>85</v>
      </c>
      <c r="S43" s="8">
        <f t="shared" si="5"/>
        <v>82</v>
      </c>
      <c r="T43" s="11">
        <f t="shared" si="6"/>
        <v>442</v>
      </c>
      <c r="U43" s="11">
        <f t="shared" si="7"/>
        <v>88.4</v>
      </c>
    </row>
    <row r="44" spans="1:21">
      <c r="A44" s="2" t="s">
        <v>96</v>
      </c>
      <c r="B44" s="12" t="s">
        <v>539</v>
      </c>
      <c r="C44" s="2" t="s">
        <v>17</v>
      </c>
      <c r="D44" s="2">
        <v>81</v>
      </c>
      <c r="E44" s="2"/>
      <c r="F44" s="2">
        <v>81</v>
      </c>
      <c r="G44" s="2"/>
      <c r="H44" s="2"/>
      <c r="I44" s="2">
        <v>59</v>
      </c>
      <c r="J44" s="2">
        <v>79</v>
      </c>
      <c r="K44" s="2">
        <v>83</v>
      </c>
      <c r="L44" s="2">
        <v>91</v>
      </c>
      <c r="M44" s="2">
        <v>474</v>
      </c>
      <c r="N44" s="2">
        <v>79</v>
      </c>
      <c r="O44" s="8">
        <f t="shared" si="1"/>
        <v>91</v>
      </c>
      <c r="P44" s="8">
        <f t="shared" si="2"/>
        <v>83</v>
      </c>
      <c r="Q44" s="8">
        <f t="shared" si="3"/>
        <v>81</v>
      </c>
      <c r="R44" s="8">
        <f t="shared" si="4"/>
        <v>81</v>
      </c>
      <c r="S44" s="8">
        <f t="shared" si="5"/>
        <v>79</v>
      </c>
      <c r="T44" s="11">
        <f t="shared" si="6"/>
        <v>415</v>
      </c>
      <c r="U44" s="11">
        <f t="shared" si="7"/>
        <v>83</v>
      </c>
    </row>
    <row r="45" spans="1:21">
      <c r="A45" s="2" t="s">
        <v>98</v>
      </c>
      <c r="B45" s="12" t="s">
        <v>540</v>
      </c>
      <c r="C45" s="2" t="s">
        <v>17</v>
      </c>
      <c r="D45" s="2">
        <v>94</v>
      </c>
      <c r="E45" s="2"/>
      <c r="F45" s="2">
        <v>96</v>
      </c>
      <c r="G45" s="2"/>
      <c r="H45" s="2">
        <v>69</v>
      </c>
      <c r="I45" s="2">
        <v>85</v>
      </c>
      <c r="J45" s="2">
        <v>95</v>
      </c>
      <c r="K45" s="2"/>
      <c r="L45" s="2">
        <v>97</v>
      </c>
      <c r="M45" s="2">
        <v>536</v>
      </c>
      <c r="N45" s="2">
        <v>89.33</v>
      </c>
      <c r="O45" s="8">
        <f t="shared" si="1"/>
        <v>97</v>
      </c>
      <c r="P45" s="8">
        <f t="shared" si="2"/>
        <v>96</v>
      </c>
      <c r="Q45" s="8">
        <f t="shared" si="3"/>
        <v>95</v>
      </c>
      <c r="R45" s="8">
        <f t="shared" si="4"/>
        <v>94</v>
      </c>
      <c r="S45" s="8">
        <f t="shared" si="5"/>
        <v>85</v>
      </c>
      <c r="T45" s="11">
        <f t="shared" si="6"/>
        <v>467</v>
      </c>
      <c r="U45" s="11">
        <f t="shared" si="7"/>
        <v>93.4</v>
      </c>
    </row>
    <row r="46" spans="1:21">
      <c r="A46" s="2" t="s">
        <v>100</v>
      </c>
      <c r="B46" s="12" t="s">
        <v>541</v>
      </c>
      <c r="C46" s="2" t="s">
        <v>22</v>
      </c>
      <c r="D46" s="2">
        <v>86</v>
      </c>
      <c r="E46" s="2"/>
      <c r="F46" s="2">
        <v>98</v>
      </c>
      <c r="G46" s="2"/>
      <c r="H46" s="2">
        <v>83</v>
      </c>
      <c r="I46" s="2">
        <v>70</v>
      </c>
      <c r="J46" s="2">
        <v>77</v>
      </c>
      <c r="K46" s="2"/>
      <c r="L46" s="2">
        <v>97</v>
      </c>
      <c r="M46" s="2">
        <v>511</v>
      </c>
      <c r="N46" s="2">
        <v>85.17</v>
      </c>
      <c r="O46" s="8">
        <f t="shared" si="1"/>
        <v>98</v>
      </c>
      <c r="P46" s="8">
        <f t="shared" si="2"/>
        <v>97</v>
      </c>
      <c r="Q46" s="8">
        <f t="shared" si="3"/>
        <v>86</v>
      </c>
      <c r="R46" s="8">
        <f t="shared" si="4"/>
        <v>83</v>
      </c>
      <c r="S46" s="8">
        <f t="shared" si="5"/>
        <v>77</v>
      </c>
      <c r="T46" s="11">
        <f t="shared" si="6"/>
        <v>441</v>
      </c>
      <c r="U46" s="11">
        <f t="shared" si="7"/>
        <v>88.2</v>
      </c>
    </row>
    <row r="47" spans="1:21">
      <c r="A47" s="2" t="s">
        <v>102</v>
      </c>
      <c r="B47" s="13" t="s">
        <v>542</v>
      </c>
      <c r="C47" s="2" t="s">
        <v>17</v>
      </c>
      <c r="D47" s="2">
        <v>95</v>
      </c>
      <c r="E47" s="2"/>
      <c r="F47" s="2">
        <v>100</v>
      </c>
      <c r="G47" s="2"/>
      <c r="H47" s="2">
        <v>89</v>
      </c>
      <c r="I47" s="2">
        <v>92</v>
      </c>
      <c r="J47" s="2">
        <v>95</v>
      </c>
      <c r="K47" s="2"/>
      <c r="L47" s="2">
        <v>99</v>
      </c>
      <c r="M47" s="2">
        <v>570</v>
      </c>
      <c r="N47" s="2">
        <v>95</v>
      </c>
      <c r="O47" s="8">
        <f t="shared" si="1"/>
        <v>100</v>
      </c>
      <c r="P47" s="8">
        <f t="shared" si="2"/>
        <v>99</v>
      </c>
      <c r="Q47" s="8">
        <f t="shared" si="3"/>
        <v>95</v>
      </c>
      <c r="R47" s="8">
        <f t="shared" si="4"/>
        <v>95</v>
      </c>
      <c r="S47" s="8">
        <f t="shared" si="5"/>
        <v>92</v>
      </c>
      <c r="T47" s="11">
        <f t="shared" si="6"/>
        <v>481</v>
      </c>
      <c r="U47" s="11">
        <f t="shared" si="7"/>
        <v>96.2</v>
      </c>
    </row>
    <row r="48" spans="1:21">
      <c r="A48" s="2" t="s">
        <v>104</v>
      </c>
      <c r="B48" s="13" t="s">
        <v>543</v>
      </c>
      <c r="C48" s="2" t="s">
        <v>17</v>
      </c>
      <c r="D48" s="2">
        <v>86</v>
      </c>
      <c r="E48" s="2">
        <v>88</v>
      </c>
      <c r="F48" s="2"/>
      <c r="G48" s="2"/>
      <c r="H48" s="2">
        <v>73</v>
      </c>
      <c r="I48" s="2">
        <v>73</v>
      </c>
      <c r="J48" s="2">
        <v>91</v>
      </c>
      <c r="K48" s="2"/>
      <c r="L48" s="2">
        <v>99</v>
      </c>
      <c r="M48" s="2">
        <v>510</v>
      </c>
      <c r="N48" s="2">
        <v>85</v>
      </c>
      <c r="O48" s="8">
        <f t="shared" si="1"/>
        <v>99</v>
      </c>
      <c r="P48" s="8">
        <f t="shared" si="2"/>
        <v>91</v>
      </c>
      <c r="Q48" s="8">
        <f t="shared" si="3"/>
        <v>88</v>
      </c>
      <c r="R48" s="8">
        <f t="shared" si="4"/>
        <v>86</v>
      </c>
      <c r="S48" s="8">
        <f t="shared" si="5"/>
        <v>73</v>
      </c>
      <c r="T48" s="11">
        <f t="shared" si="6"/>
        <v>437</v>
      </c>
      <c r="U48" s="11">
        <f t="shared" si="7"/>
        <v>87.4</v>
      </c>
    </row>
    <row r="49" spans="1:21">
      <c r="A49" s="2" t="s">
        <v>106</v>
      </c>
      <c r="B49" s="12" t="s">
        <v>544</v>
      </c>
      <c r="C49" s="2" t="s">
        <v>17</v>
      </c>
      <c r="D49" s="2">
        <v>86</v>
      </c>
      <c r="E49" s="2"/>
      <c r="F49" s="2">
        <v>87</v>
      </c>
      <c r="G49" s="2"/>
      <c r="H49" s="2">
        <v>52</v>
      </c>
      <c r="I49" s="2">
        <v>53</v>
      </c>
      <c r="J49" s="2">
        <v>85</v>
      </c>
      <c r="K49" s="2"/>
      <c r="L49" s="2">
        <v>92</v>
      </c>
      <c r="M49" s="2">
        <v>455</v>
      </c>
      <c r="N49" s="2">
        <v>75.83</v>
      </c>
      <c r="O49" s="8">
        <f t="shared" si="1"/>
        <v>92</v>
      </c>
      <c r="P49" s="8">
        <f t="shared" si="2"/>
        <v>87</v>
      </c>
      <c r="Q49" s="8">
        <f t="shared" si="3"/>
        <v>86</v>
      </c>
      <c r="R49" s="8">
        <f t="shared" si="4"/>
        <v>85</v>
      </c>
      <c r="S49" s="8">
        <f t="shared" si="5"/>
        <v>53</v>
      </c>
      <c r="T49" s="11">
        <f t="shared" si="6"/>
        <v>403</v>
      </c>
      <c r="U49" s="11">
        <f t="shared" si="7"/>
        <v>80.599999999999994</v>
      </c>
    </row>
    <row r="50" spans="1:21">
      <c r="A50" s="2" t="s">
        <v>108</v>
      </c>
      <c r="B50" s="12" t="s">
        <v>545</v>
      </c>
      <c r="C50" s="2" t="s">
        <v>17</v>
      </c>
      <c r="D50" s="2">
        <v>90</v>
      </c>
      <c r="E50" s="2"/>
      <c r="F50" s="2">
        <v>82</v>
      </c>
      <c r="G50" s="2"/>
      <c r="H50" s="2"/>
      <c r="I50" s="2">
        <v>69</v>
      </c>
      <c r="J50" s="2">
        <v>75</v>
      </c>
      <c r="K50" s="2">
        <v>65</v>
      </c>
      <c r="L50" s="2">
        <v>91</v>
      </c>
      <c r="M50" s="2">
        <v>472</v>
      </c>
      <c r="N50" s="2">
        <v>78.67</v>
      </c>
      <c r="O50" s="8">
        <f t="shared" si="1"/>
        <v>91</v>
      </c>
      <c r="P50" s="8">
        <f t="shared" si="2"/>
        <v>90</v>
      </c>
      <c r="Q50" s="8">
        <f t="shared" si="3"/>
        <v>82</v>
      </c>
      <c r="R50" s="8">
        <f t="shared" si="4"/>
        <v>75</v>
      </c>
      <c r="S50" s="8">
        <f t="shared" si="5"/>
        <v>69</v>
      </c>
      <c r="T50" s="11">
        <f t="shared" si="6"/>
        <v>407</v>
      </c>
      <c r="U50" s="11">
        <f t="shared" si="7"/>
        <v>81.400000000000006</v>
      </c>
    </row>
    <row r="51" spans="1:21">
      <c r="A51" s="2" t="s">
        <v>110</v>
      </c>
      <c r="B51" s="12" t="s">
        <v>546</v>
      </c>
      <c r="C51" s="2" t="s">
        <v>17</v>
      </c>
      <c r="D51" s="2">
        <v>92</v>
      </c>
      <c r="E51" s="2"/>
      <c r="F51" s="2">
        <v>96</v>
      </c>
      <c r="G51" s="2"/>
      <c r="H51" s="2"/>
      <c r="I51" s="2">
        <v>83</v>
      </c>
      <c r="J51" s="2">
        <v>93</v>
      </c>
      <c r="K51" s="2">
        <v>75</v>
      </c>
      <c r="L51" s="2">
        <v>98</v>
      </c>
      <c r="M51" s="2">
        <v>537</v>
      </c>
      <c r="N51" s="2">
        <v>89.5</v>
      </c>
      <c r="O51" s="8">
        <f t="shared" si="1"/>
        <v>98</v>
      </c>
      <c r="P51" s="8">
        <f t="shared" si="2"/>
        <v>96</v>
      </c>
      <c r="Q51" s="8">
        <f t="shared" si="3"/>
        <v>93</v>
      </c>
      <c r="R51" s="8">
        <f t="shared" si="4"/>
        <v>92</v>
      </c>
      <c r="S51" s="8">
        <f t="shared" si="5"/>
        <v>83</v>
      </c>
      <c r="T51" s="11">
        <f t="shared" si="6"/>
        <v>462</v>
      </c>
      <c r="U51" s="11">
        <f t="shared" si="7"/>
        <v>92.4</v>
      </c>
    </row>
    <row r="52" spans="1:21">
      <c r="A52" s="2" t="s">
        <v>112</v>
      </c>
      <c r="B52" s="12" t="s">
        <v>547</v>
      </c>
      <c r="C52" s="2" t="s">
        <v>22</v>
      </c>
      <c r="D52" s="2">
        <v>85</v>
      </c>
      <c r="E52" s="2">
        <v>89</v>
      </c>
      <c r="F52" s="2"/>
      <c r="G52" s="2"/>
      <c r="H52" s="2">
        <v>93</v>
      </c>
      <c r="I52" s="2">
        <v>88</v>
      </c>
      <c r="J52" s="2">
        <v>91</v>
      </c>
      <c r="K52" s="2"/>
      <c r="L52" s="2">
        <v>99</v>
      </c>
      <c r="M52" s="2">
        <v>545</v>
      </c>
      <c r="N52" s="2">
        <v>90.83</v>
      </c>
      <c r="O52" s="8">
        <f t="shared" si="1"/>
        <v>99</v>
      </c>
      <c r="P52" s="8">
        <f t="shared" si="2"/>
        <v>93</v>
      </c>
      <c r="Q52" s="8">
        <f t="shared" si="3"/>
        <v>91</v>
      </c>
      <c r="R52" s="8">
        <f t="shared" si="4"/>
        <v>89</v>
      </c>
      <c r="S52" s="8">
        <f t="shared" si="5"/>
        <v>88</v>
      </c>
      <c r="T52" s="11">
        <f t="shared" si="6"/>
        <v>460</v>
      </c>
      <c r="U52" s="11">
        <f t="shared" si="7"/>
        <v>92</v>
      </c>
    </row>
    <row r="53" spans="1:21">
      <c r="A53" s="2" t="s">
        <v>114</v>
      </c>
      <c r="B53" s="12" t="s">
        <v>548</v>
      </c>
      <c r="C53" s="2" t="s">
        <v>22</v>
      </c>
      <c r="D53" s="2">
        <v>80</v>
      </c>
      <c r="E53" s="2"/>
      <c r="F53" s="2">
        <v>77</v>
      </c>
      <c r="G53" s="2"/>
      <c r="H53" s="2"/>
      <c r="I53" s="2">
        <v>57</v>
      </c>
      <c r="J53" s="2">
        <v>73</v>
      </c>
      <c r="K53" s="2">
        <v>78</v>
      </c>
      <c r="L53" s="2">
        <v>95</v>
      </c>
      <c r="M53" s="2">
        <v>460</v>
      </c>
      <c r="N53" s="2">
        <v>76.67</v>
      </c>
      <c r="O53" s="8">
        <f t="shared" si="1"/>
        <v>95</v>
      </c>
      <c r="P53" s="8">
        <f t="shared" si="2"/>
        <v>80</v>
      </c>
      <c r="Q53" s="8">
        <f t="shared" si="3"/>
        <v>78</v>
      </c>
      <c r="R53" s="8">
        <f t="shared" si="4"/>
        <v>77</v>
      </c>
      <c r="S53" s="8">
        <f t="shared" si="5"/>
        <v>73</v>
      </c>
      <c r="T53" s="11">
        <f t="shared" si="6"/>
        <v>403</v>
      </c>
      <c r="U53" s="11">
        <f t="shared" si="7"/>
        <v>80.599999999999994</v>
      </c>
    </row>
    <row r="54" spans="1:21">
      <c r="A54" s="2" t="s">
        <v>116</v>
      </c>
      <c r="B54" s="12" t="s">
        <v>549</v>
      </c>
      <c r="C54" s="2" t="s">
        <v>22</v>
      </c>
      <c r="D54" s="2">
        <v>62</v>
      </c>
      <c r="E54" s="2">
        <v>74</v>
      </c>
      <c r="F54" s="2"/>
      <c r="G54" s="2"/>
      <c r="H54" s="2"/>
      <c r="I54" s="2">
        <v>38</v>
      </c>
      <c r="J54" s="2">
        <v>57</v>
      </c>
      <c r="K54" s="2">
        <v>33</v>
      </c>
      <c r="L54" s="2">
        <v>82</v>
      </c>
      <c r="M54" s="2">
        <v>346</v>
      </c>
      <c r="N54" s="2">
        <v>57.67</v>
      </c>
      <c r="O54" s="8">
        <f t="shared" si="1"/>
        <v>82</v>
      </c>
      <c r="P54" s="8">
        <f t="shared" si="2"/>
        <v>74</v>
      </c>
      <c r="Q54" s="8">
        <f t="shared" si="3"/>
        <v>62</v>
      </c>
      <c r="R54" s="8">
        <f t="shared" si="4"/>
        <v>57</v>
      </c>
      <c r="S54" s="8">
        <f t="shared" si="5"/>
        <v>38</v>
      </c>
      <c r="T54" s="11">
        <f t="shared" si="6"/>
        <v>313</v>
      </c>
      <c r="U54" s="11">
        <f t="shared" si="7"/>
        <v>62.6</v>
      </c>
    </row>
    <row r="55" spans="1:21">
      <c r="A55" s="2" t="s">
        <v>118</v>
      </c>
      <c r="B55" s="12" t="s">
        <v>550</v>
      </c>
      <c r="C55" s="2" t="s">
        <v>17</v>
      </c>
      <c r="D55" s="2">
        <v>93</v>
      </c>
      <c r="E55" s="2">
        <v>93</v>
      </c>
      <c r="F55" s="2"/>
      <c r="G55" s="2"/>
      <c r="H55" s="2"/>
      <c r="I55" s="2">
        <v>93</v>
      </c>
      <c r="J55" s="2">
        <v>97</v>
      </c>
      <c r="K55" s="2">
        <v>79</v>
      </c>
      <c r="L55" s="2">
        <v>94</v>
      </c>
      <c r="M55" s="2">
        <v>549</v>
      </c>
      <c r="N55" s="2">
        <v>91.5</v>
      </c>
      <c r="O55" s="8">
        <f t="shared" si="1"/>
        <v>97</v>
      </c>
      <c r="P55" s="8">
        <f t="shared" si="2"/>
        <v>94</v>
      </c>
      <c r="Q55" s="8">
        <f t="shared" si="3"/>
        <v>93</v>
      </c>
      <c r="R55" s="8">
        <f t="shared" si="4"/>
        <v>93</v>
      </c>
      <c r="S55" s="8">
        <f t="shared" si="5"/>
        <v>93</v>
      </c>
      <c r="T55" s="11">
        <f t="shared" si="6"/>
        <v>470</v>
      </c>
      <c r="U55" s="11">
        <f t="shared" si="7"/>
        <v>94</v>
      </c>
    </row>
    <row r="56" spans="1:21">
      <c r="A56" s="2" t="s">
        <v>120</v>
      </c>
      <c r="B56" s="12" t="s">
        <v>551</v>
      </c>
      <c r="C56" s="2" t="s">
        <v>22</v>
      </c>
      <c r="D56" s="2">
        <v>88</v>
      </c>
      <c r="E56" s="2"/>
      <c r="F56" s="2">
        <v>87</v>
      </c>
      <c r="G56" s="2"/>
      <c r="H56" s="2"/>
      <c r="I56" s="2">
        <v>75</v>
      </c>
      <c r="J56" s="2">
        <v>84</v>
      </c>
      <c r="K56" s="2">
        <v>90</v>
      </c>
      <c r="L56" s="2">
        <v>92</v>
      </c>
      <c r="M56" s="2">
        <v>516</v>
      </c>
      <c r="N56" s="2">
        <v>86</v>
      </c>
      <c r="O56" s="8">
        <f t="shared" si="1"/>
        <v>92</v>
      </c>
      <c r="P56" s="8">
        <f t="shared" si="2"/>
        <v>90</v>
      </c>
      <c r="Q56" s="8">
        <f t="shared" si="3"/>
        <v>88</v>
      </c>
      <c r="R56" s="8">
        <f t="shared" si="4"/>
        <v>87</v>
      </c>
      <c r="S56" s="8">
        <f t="shared" si="5"/>
        <v>84</v>
      </c>
      <c r="T56" s="11">
        <f t="shared" si="6"/>
        <v>441</v>
      </c>
      <c r="U56" s="11">
        <f t="shared" si="7"/>
        <v>88.2</v>
      </c>
    </row>
    <row r="57" spans="1:21">
      <c r="A57" s="2" t="s">
        <v>122</v>
      </c>
      <c r="B57" s="13" t="s">
        <v>552</v>
      </c>
      <c r="C57" s="2" t="s">
        <v>22</v>
      </c>
      <c r="D57" s="2">
        <v>85</v>
      </c>
      <c r="E57" s="2">
        <v>91</v>
      </c>
      <c r="F57" s="2"/>
      <c r="G57" s="2"/>
      <c r="H57" s="2"/>
      <c r="I57" s="2">
        <v>88</v>
      </c>
      <c r="J57" s="2">
        <v>98</v>
      </c>
      <c r="K57" s="2">
        <v>94</v>
      </c>
      <c r="L57" s="2">
        <v>100</v>
      </c>
      <c r="M57" s="2">
        <v>556</v>
      </c>
      <c r="N57" s="2">
        <v>92.67</v>
      </c>
      <c r="O57" s="8">
        <f t="shared" si="1"/>
        <v>100</v>
      </c>
      <c r="P57" s="8">
        <f t="shared" si="2"/>
        <v>98</v>
      </c>
      <c r="Q57" s="8">
        <f t="shared" si="3"/>
        <v>94</v>
      </c>
      <c r="R57" s="8">
        <f t="shared" si="4"/>
        <v>91</v>
      </c>
      <c r="S57" s="8">
        <f t="shared" si="5"/>
        <v>88</v>
      </c>
      <c r="T57" s="11">
        <f t="shared" si="6"/>
        <v>471</v>
      </c>
      <c r="U57" s="11">
        <f t="shared" si="7"/>
        <v>94.2</v>
      </c>
    </row>
    <row r="58" spans="1:21">
      <c r="A58" s="2" t="s">
        <v>124</v>
      </c>
      <c r="B58" s="13" t="s">
        <v>553</v>
      </c>
      <c r="C58" s="2" t="s">
        <v>22</v>
      </c>
      <c r="D58" s="2">
        <v>92</v>
      </c>
      <c r="E58" s="2"/>
      <c r="F58" s="2">
        <v>98</v>
      </c>
      <c r="G58" s="2"/>
      <c r="H58" s="2">
        <v>95</v>
      </c>
      <c r="I58" s="2">
        <v>88</v>
      </c>
      <c r="J58" s="2">
        <v>94</v>
      </c>
      <c r="K58" s="2"/>
      <c r="L58" s="2">
        <v>98</v>
      </c>
      <c r="M58" s="2">
        <v>565</v>
      </c>
      <c r="N58" s="2">
        <v>94.17</v>
      </c>
      <c r="O58" s="8">
        <f t="shared" si="1"/>
        <v>98</v>
      </c>
      <c r="P58" s="8">
        <f t="shared" si="2"/>
        <v>98</v>
      </c>
      <c r="Q58" s="8">
        <f t="shared" si="3"/>
        <v>95</v>
      </c>
      <c r="R58" s="8">
        <f t="shared" si="4"/>
        <v>94</v>
      </c>
      <c r="S58" s="8">
        <f t="shared" si="5"/>
        <v>92</v>
      </c>
      <c r="T58" s="11">
        <f t="shared" si="6"/>
        <v>477</v>
      </c>
      <c r="U58" s="11">
        <f t="shared" si="7"/>
        <v>95.4</v>
      </c>
    </row>
    <row r="59" spans="1:21">
      <c r="A59" s="2" t="s">
        <v>126</v>
      </c>
      <c r="B59" s="12" t="s">
        <v>554</v>
      </c>
      <c r="C59" s="2" t="s">
        <v>17</v>
      </c>
      <c r="D59" s="2">
        <v>87</v>
      </c>
      <c r="E59" s="2"/>
      <c r="F59" s="2">
        <v>92</v>
      </c>
      <c r="G59" s="2"/>
      <c r="H59" s="2"/>
      <c r="I59" s="2">
        <v>91</v>
      </c>
      <c r="J59" s="2">
        <v>92</v>
      </c>
      <c r="K59" s="2">
        <v>90</v>
      </c>
      <c r="L59" s="2">
        <v>98</v>
      </c>
      <c r="M59" s="2">
        <v>550</v>
      </c>
      <c r="N59" s="2">
        <v>91.67</v>
      </c>
      <c r="O59" s="8">
        <f t="shared" si="1"/>
        <v>98</v>
      </c>
      <c r="P59" s="8">
        <f t="shared" si="2"/>
        <v>92</v>
      </c>
      <c r="Q59" s="8">
        <f t="shared" si="3"/>
        <v>92</v>
      </c>
      <c r="R59" s="8">
        <f t="shared" si="4"/>
        <v>91</v>
      </c>
      <c r="S59" s="8">
        <f t="shared" si="5"/>
        <v>90</v>
      </c>
      <c r="T59" s="11">
        <f t="shared" si="6"/>
        <v>463</v>
      </c>
      <c r="U59" s="11">
        <f t="shared" si="7"/>
        <v>92.6</v>
      </c>
    </row>
    <row r="60" spans="1:21">
      <c r="A60" s="2" t="s">
        <v>128</v>
      </c>
      <c r="B60" s="12" t="s">
        <v>555</v>
      </c>
      <c r="C60" s="2" t="s">
        <v>22</v>
      </c>
      <c r="D60" s="2">
        <v>98</v>
      </c>
      <c r="E60" s="2"/>
      <c r="F60" s="2">
        <v>99</v>
      </c>
      <c r="G60" s="2"/>
      <c r="H60" s="2"/>
      <c r="I60" s="2">
        <v>79</v>
      </c>
      <c r="J60" s="2">
        <v>96</v>
      </c>
      <c r="K60" s="2">
        <v>88</v>
      </c>
      <c r="L60" s="2">
        <v>98</v>
      </c>
      <c r="M60" s="2">
        <v>558</v>
      </c>
      <c r="N60" s="2">
        <v>93</v>
      </c>
      <c r="O60" s="8">
        <f t="shared" si="1"/>
        <v>99</v>
      </c>
      <c r="P60" s="8">
        <f t="shared" si="2"/>
        <v>98</v>
      </c>
      <c r="Q60" s="8">
        <f t="shared" si="3"/>
        <v>98</v>
      </c>
      <c r="R60" s="8">
        <f t="shared" si="4"/>
        <v>96</v>
      </c>
      <c r="S60" s="8">
        <f t="shared" si="5"/>
        <v>88</v>
      </c>
      <c r="T60" s="11">
        <f t="shared" si="6"/>
        <v>479</v>
      </c>
      <c r="U60" s="11">
        <f t="shared" si="7"/>
        <v>95.8</v>
      </c>
    </row>
    <row r="61" spans="1:21">
      <c r="A61" s="2" t="s">
        <v>130</v>
      </c>
      <c r="B61" s="13" t="s">
        <v>556</v>
      </c>
      <c r="C61" s="2" t="s">
        <v>17</v>
      </c>
      <c r="D61" s="2">
        <v>96</v>
      </c>
      <c r="E61" s="2"/>
      <c r="F61" s="2"/>
      <c r="G61" s="2">
        <v>100</v>
      </c>
      <c r="H61" s="2">
        <v>95</v>
      </c>
      <c r="I61" s="2">
        <v>96</v>
      </c>
      <c r="J61" s="2">
        <v>97</v>
      </c>
      <c r="K61" s="2"/>
      <c r="L61" s="2">
        <v>100</v>
      </c>
      <c r="M61" s="2">
        <v>584</v>
      </c>
      <c r="N61" s="2">
        <v>97.33</v>
      </c>
      <c r="O61" s="8">
        <f t="shared" si="1"/>
        <v>100</v>
      </c>
      <c r="P61" s="8">
        <f t="shared" si="2"/>
        <v>100</v>
      </c>
      <c r="Q61" s="8">
        <f t="shared" si="3"/>
        <v>97</v>
      </c>
      <c r="R61" s="8">
        <f t="shared" si="4"/>
        <v>96</v>
      </c>
      <c r="S61" s="8">
        <f t="shared" si="5"/>
        <v>96</v>
      </c>
      <c r="T61" s="11">
        <f t="shared" si="6"/>
        <v>489</v>
      </c>
      <c r="U61" s="11">
        <f t="shared" si="7"/>
        <v>97.8</v>
      </c>
    </row>
    <row r="62" spans="1:21">
      <c r="A62" s="2" t="s">
        <v>132</v>
      </c>
      <c r="B62" s="13" t="s">
        <v>557</v>
      </c>
      <c r="C62" s="2" t="s">
        <v>17</v>
      </c>
      <c r="D62" s="2">
        <v>98</v>
      </c>
      <c r="E62" s="2"/>
      <c r="F62" s="2">
        <v>96</v>
      </c>
      <c r="G62" s="2"/>
      <c r="H62" s="2">
        <v>74</v>
      </c>
      <c r="I62" s="2">
        <v>85</v>
      </c>
      <c r="J62" s="2">
        <v>95</v>
      </c>
      <c r="K62" s="2"/>
      <c r="L62" s="2">
        <v>97</v>
      </c>
      <c r="M62" s="2">
        <v>545</v>
      </c>
      <c r="N62" s="2">
        <v>90.83</v>
      </c>
      <c r="O62" s="8">
        <f t="shared" si="1"/>
        <v>98</v>
      </c>
      <c r="P62" s="8">
        <f t="shared" si="2"/>
        <v>97</v>
      </c>
      <c r="Q62" s="8">
        <f t="shared" si="3"/>
        <v>96</v>
      </c>
      <c r="R62" s="8">
        <f t="shared" si="4"/>
        <v>95</v>
      </c>
      <c r="S62" s="8">
        <f t="shared" si="5"/>
        <v>85</v>
      </c>
      <c r="T62" s="11">
        <f t="shared" si="6"/>
        <v>471</v>
      </c>
      <c r="U62" s="11">
        <f t="shared" si="7"/>
        <v>94.2</v>
      </c>
    </row>
    <row r="63" spans="1:21">
      <c r="A63" s="2" t="s">
        <v>134</v>
      </c>
      <c r="B63" s="13" t="s">
        <v>558</v>
      </c>
      <c r="C63" s="2" t="s">
        <v>22</v>
      </c>
      <c r="D63" s="2">
        <v>96</v>
      </c>
      <c r="E63" s="2">
        <v>88</v>
      </c>
      <c r="F63" s="2"/>
      <c r="G63" s="2"/>
      <c r="H63" s="2">
        <v>90</v>
      </c>
      <c r="I63" s="2">
        <v>96</v>
      </c>
      <c r="J63" s="2">
        <v>99</v>
      </c>
      <c r="K63" s="2"/>
      <c r="L63" s="2">
        <v>99</v>
      </c>
      <c r="M63" s="2">
        <v>568</v>
      </c>
      <c r="N63" s="2">
        <v>94.67</v>
      </c>
      <c r="O63" s="8">
        <f t="shared" si="1"/>
        <v>99</v>
      </c>
      <c r="P63" s="8">
        <f t="shared" si="2"/>
        <v>99</v>
      </c>
      <c r="Q63" s="8">
        <f t="shared" si="3"/>
        <v>96</v>
      </c>
      <c r="R63" s="8">
        <f t="shared" si="4"/>
        <v>96</v>
      </c>
      <c r="S63" s="8">
        <f t="shared" si="5"/>
        <v>90</v>
      </c>
      <c r="T63" s="11">
        <f t="shared" si="6"/>
        <v>480</v>
      </c>
      <c r="U63" s="11">
        <f t="shared" si="7"/>
        <v>96</v>
      </c>
    </row>
    <row r="64" spans="1:21">
      <c r="A64" s="2" t="s">
        <v>136</v>
      </c>
      <c r="B64" s="13" t="s">
        <v>559</v>
      </c>
      <c r="C64" s="2" t="s">
        <v>22</v>
      </c>
      <c r="D64" s="2">
        <v>83</v>
      </c>
      <c r="E64" s="2"/>
      <c r="F64" s="2">
        <v>92</v>
      </c>
      <c r="G64" s="2"/>
      <c r="H64" s="2">
        <v>95</v>
      </c>
      <c r="I64" s="2">
        <v>82</v>
      </c>
      <c r="J64" s="2">
        <v>86</v>
      </c>
      <c r="K64" s="2"/>
      <c r="L64" s="2">
        <v>98</v>
      </c>
      <c r="M64" s="2">
        <v>536</v>
      </c>
      <c r="N64" s="2">
        <v>89.33</v>
      </c>
      <c r="O64" s="8">
        <f t="shared" si="1"/>
        <v>98</v>
      </c>
      <c r="P64" s="8">
        <f t="shared" si="2"/>
        <v>95</v>
      </c>
      <c r="Q64" s="8">
        <f t="shared" si="3"/>
        <v>92</v>
      </c>
      <c r="R64" s="8">
        <f t="shared" si="4"/>
        <v>86</v>
      </c>
      <c r="S64" s="8">
        <f t="shared" si="5"/>
        <v>83</v>
      </c>
      <c r="T64" s="11">
        <f t="shared" si="6"/>
        <v>454</v>
      </c>
      <c r="U64" s="11">
        <f t="shared" si="7"/>
        <v>90.8</v>
      </c>
    </row>
    <row r="65" spans="1:21">
      <c r="A65" s="2" t="s">
        <v>138</v>
      </c>
      <c r="B65" s="13" t="s">
        <v>560</v>
      </c>
      <c r="C65" s="2" t="s">
        <v>22</v>
      </c>
      <c r="D65" s="2">
        <v>99</v>
      </c>
      <c r="E65" s="2"/>
      <c r="F65" s="2"/>
      <c r="G65" s="2">
        <v>98</v>
      </c>
      <c r="H65" s="2">
        <v>99</v>
      </c>
      <c r="I65" s="2">
        <v>94</v>
      </c>
      <c r="J65" s="2">
        <v>99</v>
      </c>
      <c r="K65" s="2"/>
      <c r="L65" s="2">
        <v>100</v>
      </c>
      <c r="M65" s="2">
        <v>589</v>
      </c>
      <c r="N65" s="2">
        <v>98.17</v>
      </c>
      <c r="O65" s="8">
        <f t="shared" si="1"/>
        <v>100</v>
      </c>
      <c r="P65" s="8">
        <f t="shared" si="2"/>
        <v>99</v>
      </c>
      <c r="Q65" s="8">
        <f t="shared" si="3"/>
        <v>99</v>
      </c>
      <c r="R65" s="8">
        <f t="shared" si="4"/>
        <v>99</v>
      </c>
      <c r="S65" s="8">
        <f t="shared" si="5"/>
        <v>98</v>
      </c>
      <c r="T65" s="11">
        <f t="shared" si="6"/>
        <v>495</v>
      </c>
      <c r="U65" s="11">
        <f t="shared" si="7"/>
        <v>99</v>
      </c>
    </row>
    <row r="66" spans="1:21">
      <c r="A66" s="2" t="s">
        <v>140</v>
      </c>
      <c r="B66" s="12" t="s">
        <v>561</v>
      </c>
      <c r="C66" s="2" t="s">
        <v>22</v>
      </c>
      <c r="D66" s="2">
        <v>88</v>
      </c>
      <c r="E66" s="2"/>
      <c r="F66" s="2"/>
      <c r="G66" s="2">
        <v>68</v>
      </c>
      <c r="H66" s="2"/>
      <c r="I66" s="2">
        <v>83</v>
      </c>
      <c r="J66" s="2">
        <v>95</v>
      </c>
      <c r="K66" s="2">
        <v>91</v>
      </c>
      <c r="L66" s="2">
        <v>95</v>
      </c>
      <c r="M66" s="2">
        <v>520</v>
      </c>
      <c r="N66" s="2">
        <v>86.67</v>
      </c>
      <c r="O66" s="8">
        <f t="shared" si="1"/>
        <v>95</v>
      </c>
      <c r="P66" s="8">
        <f t="shared" si="2"/>
        <v>95</v>
      </c>
      <c r="Q66" s="8">
        <f t="shared" si="3"/>
        <v>91</v>
      </c>
      <c r="R66" s="8">
        <f t="shared" si="4"/>
        <v>88</v>
      </c>
      <c r="S66" s="8">
        <f t="shared" si="5"/>
        <v>83</v>
      </c>
      <c r="T66" s="11">
        <f t="shared" si="6"/>
        <v>452</v>
      </c>
      <c r="U66" s="11">
        <f t="shared" si="7"/>
        <v>90.4</v>
      </c>
    </row>
    <row r="67" spans="1:21">
      <c r="A67" s="2" t="s">
        <v>142</v>
      </c>
      <c r="B67" s="13" t="s">
        <v>562</v>
      </c>
      <c r="C67" s="2" t="s">
        <v>17</v>
      </c>
      <c r="D67" s="2">
        <v>92</v>
      </c>
      <c r="E67" s="2"/>
      <c r="F67" s="2"/>
      <c r="G67" s="2">
        <v>78</v>
      </c>
      <c r="H67" s="2"/>
      <c r="I67" s="2">
        <v>54</v>
      </c>
      <c r="J67" s="2">
        <v>86</v>
      </c>
      <c r="K67" s="2">
        <v>60</v>
      </c>
      <c r="L67" s="2">
        <v>92</v>
      </c>
      <c r="M67" s="2">
        <v>462</v>
      </c>
      <c r="N67" s="2">
        <v>77</v>
      </c>
      <c r="O67" s="8">
        <f t="shared" si="1"/>
        <v>92</v>
      </c>
      <c r="P67" s="8">
        <f t="shared" si="2"/>
        <v>92</v>
      </c>
      <c r="Q67" s="8">
        <f t="shared" si="3"/>
        <v>86</v>
      </c>
      <c r="R67" s="8">
        <f t="shared" si="4"/>
        <v>78</v>
      </c>
      <c r="S67" s="8">
        <f t="shared" si="5"/>
        <v>60</v>
      </c>
      <c r="T67" s="11">
        <f t="shared" si="6"/>
        <v>408</v>
      </c>
      <c r="U67" s="11">
        <f t="shared" si="7"/>
        <v>81.599999999999994</v>
      </c>
    </row>
    <row r="68" spans="1:21">
      <c r="A68" s="2" t="s">
        <v>144</v>
      </c>
      <c r="B68" s="12" t="s">
        <v>563</v>
      </c>
      <c r="C68" s="2" t="s">
        <v>17</v>
      </c>
      <c r="D68" s="2">
        <v>87</v>
      </c>
      <c r="E68" s="2">
        <v>85</v>
      </c>
      <c r="F68" s="2"/>
      <c r="G68" s="2"/>
      <c r="H68" s="2"/>
      <c r="I68" s="2">
        <v>63</v>
      </c>
      <c r="J68" s="2">
        <v>68</v>
      </c>
      <c r="K68" s="2">
        <v>62</v>
      </c>
      <c r="L68" s="2">
        <v>90</v>
      </c>
      <c r="M68" s="2">
        <v>455</v>
      </c>
      <c r="N68" s="2">
        <v>75.83</v>
      </c>
      <c r="O68" s="8">
        <f t="shared" si="1"/>
        <v>90</v>
      </c>
      <c r="P68" s="8">
        <f t="shared" si="2"/>
        <v>87</v>
      </c>
      <c r="Q68" s="8">
        <f t="shared" si="3"/>
        <v>85</v>
      </c>
      <c r="R68" s="8">
        <f t="shared" si="4"/>
        <v>68</v>
      </c>
      <c r="S68" s="8">
        <f t="shared" si="5"/>
        <v>63</v>
      </c>
      <c r="T68" s="11">
        <f t="shared" si="6"/>
        <v>393</v>
      </c>
      <c r="U68" s="11">
        <f t="shared" si="7"/>
        <v>78.599999999999994</v>
      </c>
    </row>
    <row r="69" spans="1:21">
      <c r="A69" s="2" t="s">
        <v>146</v>
      </c>
      <c r="B69" s="12" t="s">
        <v>564</v>
      </c>
      <c r="C69" s="2" t="s">
        <v>17</v>
      </c>
      <c r="D69" s="2">
        <v>93</v>
      </c>
      <c r="E69" s="2"/>
      <c r="F69" s="2"/>
      <c r="G69" s="2">
        <v>90</v>
      </c>
      <c r="H69" s="2">
        <v>69</v>
      </c>
      <c r="I69" s="2">
        <v>86</v>
      </c>
      <c r="J69" s="2">
        <v>92</v>
      </c>
      <c r="K69" s="2"/>
      <c r="L69" s="2">
        <v>100</v>
      </c>
      <c r="M69" s="2">
        <v>530</v>
      </c>
      <c r="N69" s="2">
        <v>88.33</v>
      </c>
      <c r="O69" s="8">
        <f t="shared" ref="O69:O132" si="8">LARGE(D69:L69,1)</f>
        <v>100</v>
      </c>
      <c r="P69" s="8">
        <f t="shared" ref="P69:P132" si="9">LARGE(D69:L69,2)</f>
        <v>93</v>
      </c>
      <c r="Q69" s="8">
        <f t="shared" ref="Q69:Q132" si="10">LARGE(D69:L69,3)</f>
        <v>92</v>
      </c>
      <c r="R69" s="8">
        <f t="shared" ref="R69:R132" si="11">LARGE(D69:L69,4)</f>
        <v>90</v>
      </c>
      <c r="S69" s="8">
        <f t="shared" ref="S69:S132" si="12">LARGE(D69:L69,5)</f>
        <v>86</v>
      </c>
      <c r="T69" s="11">
        <f t="shared" ref="T69:T132" si="13">SUM(LARGE(D69:L69, 1), LARGE(D69:L69, 2), LARGE(D69:L69, 3), LARGE(D69:L69, 4), LARGE(D69:L69, 5))</f>
        <v>461</v>
      </c>
      <c r="U69" s="11">
        <f t="shared" ref="U69:U132" si="14">T69/5</f>
        <v>92.2</v>
      </c>
    </row>
    <row r="70" spans="1:21">
      <c r="A70" s="2" t="s">
        <v>148</v>
      </c>
      <c r="B70" s="13" t="s">
        <v>565</v>
      </c>
      <c r="C70" s="2" t="s">
        <v>17</v>
      </c>
      <c r="D70" s="2">
        <v>94</v>
      </c>
      <c r="E70" s="2"/>
      <c r="F70" s="2"/>
      <c r="G70" s="2">
        <v>83</v>
      </c>
      <c r="H70" s="2">
        <v>85</v>
      </c>
      <c r="I70" s="2">
        <v>92</v>
      </c>
      <c r="J70" s="2">
        <v>91</v>
      </c>
      <c r="K70" s="2"/>
      <c r="L70" s="2">
        <v>99</v>
      </c>
      <c r="M70" s="2">
        <v>544</v>
      </c>
      <c r="N70" s="2">
        <v>90.67</v>
      </c>
      <c r="O70" s="8">
        <f t="shared" si="8"/>
        <v>99</v>
      </c>
      <c r="P70" s="8">
        <f t="shared" si="9"/>
        <v>94</v>
      </c>
      <c r="Q70" s="8">
        <f t="shared" si="10"/>
        <v>92</v>
      </c>
      <c r="R70" s="8">
        <f t="shared" si="11"/>
        <v>91</v>
      </c>
      <c r="S70" s="8">
        <f t="shared" si="12"/>
        <v>85</v>
      </c>
      <c r="T70" s="11">
        <f t="shared" si="13"/>
        <v>461</v>
      </c>
      <c r="U70" s="11">
        <f t="shared" si="14"/>
        <v>92.2</v>
      </c>
    </row>
    <row r="71" spans="1:21">
      <c r="A71" s="2" t="s">
        <v>150</v>
      </c>
      <c r="B71" s="12" t="s">
        <v>566</v>
      </c>
      <c r="C71" s="2" t="s">
        <v>22</v>
      </c>
      <c r="D71" s="2">
        <v>92</v>
      </c>
      <c r="E71" s="2"/>
      <c r="F71" s="2">
        <v>94</v>
      </c>
      <c r="G71" s="2"/>
      <c r="H71" s="2">
        <v>85</v>
      </c>
      <c r="I71" s="2">
        <v>94</v>
      </c>
      <c r="J71" s="2">
        <v>98</v>
      </c>
      <c r="K71" s="2"/>
      <c r="L71" s="2">
        <v>100</v>
      </c>
      <c r="M71" s="2">
        <v>563</v>
      </c>
      <c r="N71" s="2">
        <v>93.83</v>
      </c>
      <c r="O71" s="8">
        <f t="shared" si="8"/>
        <v>100</v>
      </c>
      <c r="P71" s="8">
        <f t="shared" si="9"/>
        <v>98</v>
      </c>
      <c r="Q71" s="8">
        <f t="shared" si="10"/>
        <v>94</v>
      </c>
      <c r="R71" s="8">
        <f t="shared" si="11"/>
        <v>94</v>
      </c>
      <c r="S71" s="8">
        <f t="shared" si="12"/>
        <v>92</v>
      </c>
      <c r="T71" s="11">
        <f t="shared" si="13"/>
        <v>478</v>
      </c>
      <c r="U71" s="11">
        <f t="shared" si="14"/>
        <v>95.6</v>
      </c>
    </row>
    <row r="72" spans="1:21">
      <c r="A72" s="2" t="s">
        <v>152</v>
      </c>
      <c r="B72" s="12" t="s">
        <v>567</v>
      </c>
      <c r="C72" s="2" t="s">
        <v>17</v>
      </c>
      <c r="D72" s="2">
        <v>95</v>
      </c>
      <c r="E72" s="2"/>
      <c r="F72" s="2">
        <v>96</v>
      </c>
      <c r="G72" s="2"/>
      <c r="H72" s="2">
        <v>61</v>
      </c>
      <c r="I72" s="2">
        <v>64</v>
      </c>
      <c r="J72" s="2">
        <v>91</v>
      </c>
      <c r="K72" s="2"/>
      <c r="L72" s="2">
        <v>98</v>
      </c>
      <c r="M72" s="2">
        <v>505</v>
      </c>
      <c r="N72" s="2">
        <v>84.17</v>
      </c>
      <c r="O72" s="8">
        <f t="shared" si="8"/>
        <v>98</v>
      </c>
      <c r="P72" s="8">
        <f t="shared" si="9"/>
        <v>96</v>
      </c>
      <c r="Q72" s="8">
        <f t="shared" si="10"/>
        <v>95</v>
      </c>
      <c r="R72" s="8">
        <f t="shared" si="11"/>
        <v>91</v>
      </c>
      <c r="S72" s="8">
        <f t="shared" si="12"/>
        <v>64</v>
      </c>
      <c r="T72" s="11">
        <f t="shared" si="13"/>
        <v>444</v>
      </c>
      <c r="U72" s="11">
        <f t="shared" si="14"/>
        <v>88.8</v>
      </c>
    </row>
    <row r="73" spans="1:21">
      <c r="A73" s="2" t="s">
        <v>154</v>
      </c>
      <c r="B73" s="12" t="s">
        <v>568</v>
      </c>
      <c r="C73" s="2" t="s">
        <v>22</v>
      </c>
      <c r="D73" s="2">
        <v>83</v>
      </c>
      <c r="E73" s="2">
        <v>82</v>
      </c>
      <c r="F73" s="2"/>
      <c r="G73" s="2"/>
      <c r="H73" s="2"/>
      <c r="I73" s="2">
        <v>69</v>
      </c>
      <c r="J73" s="2">
        <v>80</v>
      </c>
      <c r="K73" s="2">
        <v>79</v>
      </c>
      <c r="L73" s="2">
        <v>86</v>
      </c>
      <c r="M73" s="2">
        <v>479</v>
      </c>
      <c r="N73" s="2">
        <v>79.83</v>
      </c>
      <c r="O73" s="8">
        <f t="shared" si="8"/>
        <v>86</v>
      </c>
      <c r="P73" s="8">
        <f t="shared" si="9"/>
        <v>83</v>
      </c>
      <c r="Q73" s="8">
        <f t="shared" si="10"/>
        <v>82</v>
      </c>
      <c r="R73" s="8">
        <f t="shared" si="11"/>
        <v>80</v>
      </c>
      <c r="S73" s="8">
        <f t="shared" si="12"/>
        <v>79</v>
      </c>
      <c r="T73" s="11">
        <f t="shared" si="13"/>
        <v>410</v>
      </c>
      <c r="U73" s="11">
        <f t="shared" si="14"/>
        <v>82</v>
      </c>
    </row>
    <row r="74" spans="1:21">
      <c r="A74" s="2" t="s">
        <v>156</v>
      </c>
      <c r="B74" s="12" t="s">
        <v>569</v>
      </c>
      <c r="C74" s="2" t="s">
        <v>17</v>
      </c>
      <c r="D74" s="2">
        <v>80</v>
      </c>
      <c r="E74" s="2"/>
      <c r="F74" s="2">
        <v>83</v>
      </c>
      <c r="G74" s="2"/>
      <c r="H74" s="2"/>
      <c r="I74" s="2">
        <v>55</v>
      </c>
      <c r="J74" s="2">
        <v>61</v>
      </c>
      <c r="K74" s="2">
        <v>66</v>
      </c>
      <c r="L74" s="2">
        <v>86</v>
      </c>
      <c r="M74" s="2">
        <v>431</v>
      </c>
      <c r="N74" s="2">
        <v>71.83</v>
      </c>
      <c r="O74" s="8">
        <f t="shared" si="8"/>
        <v>86</v>
      </c>
      <c r="P74" s="8">
        <f t="shared" si="9"/>
        <v>83</v>
      </c>
      <c r="Q74" s="8">
        <f t="shared" si="10"/>
        <v>80</v>
      </c>
      <c r="R74" s="8">
        <f t="shared" si="11"/>
        <v>66</v>
      </c>
      <c r="S74" s="8">
        <f t="shared" si="12"/>
        <v>61</v>
      </c>
      <c r="T74" s="11">
        <f t="shared" si="13"/>
        <v>376</v>
      </c>
      <c r="U74" s="11">
        <f t="shared" si="14"/>
        <v>75.2</v>
      </c>
    </row>
    <row r="75" spans="1:21">
      <c r="A75" s="2" t="s">
        <v>158</v>
      </c>
      <c r="B75" s="12" t="s">
        <v>570</v>
      </c>
      <c r="C75" s="2" t="s">
        <v>22</v>
      </c>
      <c r="D75" s="2">
        <v>96</v>
      </c>
      <c r="E75" s="2"/>
      <c r="F75" s="2">
        <v>99</v>
      </c>
      <c r="G75" s="2"/>
      <c r="H75" s="2">
        <v>91</v>
      </c>
      <c r="I75" s="2">
        <v>94</v>
      </c>
      <c r="J75" s="2">
        <v>98</v>
      </c>
      <c r="K75" s="2"/>
      <c r="L75" s="2">
        <v>99</v>
      </c>
      <c r="M75" s="2">
        <v>577</v>
      </c>
      <c r="N75" s="2">
        <v>96.17</v>
      </c>
      <c r="O75" s="8">
        <f t="shared" si="8"/>
        <v>99</v>
      </c>
      <c r="P75" s="8">
        <f t="shared" si="9"/>
        <v>99</v>
      </c>
      <c r="Q75" s="8">
        <f t="shared" si="10"/>
        <v>98</v>
      </c>
      <c r="R75" s="8">
        <f t="shared" si="11"/>
        <v>96</v>
      </c>
      <c r="S75" s="8">
        <f t="shared" si="12"/>
        <v>94</v>
      </c>
      <c r="T75" s="11">
        <f t="shared" si="13"/>
        <v>486</v>
      </c>
      <c r="U75" s="11">
        <f t="shared" si="14"/>
        <v>97.2</v>
      </c>
    </row>
    <row r="76" spans="1:21">
      <c r="A76" s="2" t="s">
        <v>160</v>
      </c>
      <c r="B76" s="13" t="s">
        <v>570</v>
      </c>
      <c r="C76" s="2" t="s">
        <v>22</v>
      </c>
      <c r="D76" s="2">
        <v>88</v>
      </c>
      <c r="E76" s="2"/>
      <c r="F76" s="2">
        <v>94</v>
      </c>
      <c r="G76" s="2"/>
      <c r="H76" s="2">
        <v>81</v>
      </c>
      <c r="I76" s="2">
        <v>76</v>
      </c>
      <c r="J76" s="2">
        <v>87</v>
      </c>
      <c r="K76" s="2"/>
      <c r="L76" s="2">
        <v>96</v>
      </c>
      <c r="M76" s="2">
        <v>522</v>
      </c>
      <c r="N76" s="2">
        <v>87</v>
      </c>
      <c r="O76" s="8">
        <f t="shared" si="8"/>
        <v>96</v>
      </c>
      <c r="P76" s="8">
        <f t="shared" si="9"/>
        <v>94</v>
      </c>
      <c r="Q76" s="8">
        <f t="shared" si="10"/>
        <v>88</v>
      </c>
      <c r="R76" s="8">
        <f t="shared" si="11"/>
        <v>87</v>
      </c>
      <c r="S76" s="8">
        <f t="shared" si="12"/>
        <v>81</v>
      </c>
      <c r="T76" s="11">
        <f t="shared" si="13"/>
        <v>446</v>
      </c>
      <c r="U76" s="11">
        <f t="shared" si="14"/>
        <v>89.2</v>
      </c>
    </row>
    <row r="77" spans="1:21">
      <c r="A77" s="2" t="s">
        <v>161</v>
      </c>
      <c r="B77" s="12" t="s">
        <v>571</v>
      </c>
      <c r="C77" s="2" t="s">
        <v>22</v>
      </c>
      <c r="D77" s="2">
        <v>84</v>
      </c>
      <c r="E77" s="2"/>
      <c r="F77" s="2">
        <v>94</v>
      </c>
      <c r="G77" s="2"/>
      <c r="H77" s="2"/>
      <c r="I77" s="2">
        <v>86</v>
      </c>
      <c r="J77" s="2">
        <v>99</v>
      </c>
      <c r="K77" s="2">
        <v>76</v>
      </c>
      <c r="L77" s="2">
        <v>97</v>
      </c>
      <c r="M77" s="2">
        <v>536</v>
      </c>
      <c r="N77" s="2">
        <v>89.33</v>
      </c>
      <c r="O77" s="8">
        <f t="shared" si="8"/>
        <v>99</v>
      </c>
      <c r="P77" s="8">
        <f t="shared" si="9"/>
        <v>97</v>
      </c>
      <c r="Q77" s="8">
        <f t="shared" si="10"/>
        <v>94</v>
      </c>
      <c r="R77" s="8">
        <f t="shared" si="11"/>
        <v>86</v>
      </c>
      <c r="S77" s="8">
        <f t="shared" si="12"/>
        <v>84</v>
      </c>
      <c r="T77" s="11">
        <f t="shared" si="13"/>
        <v>460</v>
      </c>
      <c r="U77" s="11">
        <f t="shared" si="14"/>
        <v>92</v>
      </c>
    </row>
    <row r="78" spans="1:21">
      <c r="A78" s="2" t="s">
        <v>163</v>
      </c>
      <c r="B78" s="12" t="s">
        <v>572</v>
      </c>
      <c r="C78" s="2" t="s">
        <v>22</v>
      </c>
      <c r="D78" s="2">
        <v>84</v>
      </c>
      <c r="E78" s="2"/>
      <c r="F78" s="2">
        <v>72</v>
      </c>
      <c r="G78" s="2"/>
      <c r="H78" s="2"/>
      <c r="I78" s="2">
        <v>48</v>
      </c>
      <c r="J78" s="2">
        <v>63</v>
      </c>
      <c r="K78" s="2">
        <v>60</v>
      </c>
      <c r="L78" s="2">
        <v>88</v>
      </c>
      <c r="M78" s="2">
        <v>415</v>
      </c>
      <c r="N78" s="2">
        <v>69.17</v>
      </c>
      <c r="O78" s="8">
        <f t="shared" si="8"/>
        <v>88</v>
      </c>
      <c r="P78" s="8">
        <f t="shared" si="9"/>
        <v>84</v>
      </c>
      <c r="Q78" s="8">
        <f t="shared" si="10"/>
        <v>72</v>
      </c>
      <c r="R78" s="8">
        <f t="shared" si="11"/>
        <v>63</v>
      </c>
      <c r="S78" s="8">
        <f t="shared" si="12"/>
        <v>60</v>
      </c>
      <c r="T78" s="11">
        <f t="shared" si="13"/>
        <v>367</v>
      </c>
      <c r="U78" s="11">
        <f t="shared" si="14"/>
        <v>73.400000000000006</v>
      </c>
    </row>
    <row r="79" spans="1:21">
      <c r="A79" s="2" t="s">
        <v>165</v>
      </c>
      <c r="B79" s="13" t="s">
        <v>573</v>
      </c>
      <c r="C79" s="2" t="s">
        <v>22</v>
      </c>
      <c r="D79" s="2">
        <v>90</v>
      </c>
      <c r="E79" s="2"/>
      <c r="F79" s="2">
        <v>84</v>
      </c>
      <c r="G79" s="2"/>
      <c r="H79" s="2">
        <v>70</v>
      </c>
      <c r="I79" s="2">
        <v>77</v>
      </c>
      <c r="J79" s="2">
        <v>90</v>
      </c>
      <c r="K79" s="2"/>
      <c r="L79" s="2">
        <v>94</v>
      </c>
      <c r="M79" s="2">
        <v>505</v>
      </c>
      <c r="N79" s="2">
        <v>84.17</v>
      </c>
      <c r="O79" s="8">
        <f t="shared" si="8"/>
        <v>94</v>
      </c>
      <c r="P79" s="8">
        <f t="shared" si="9"/>
        <v>90</v>
      </c>
      <c r="Q79" s="8">
        <f t="shared" si="10"/>
        <v>90</v>
      </c>
      <c r="R79" s="8">
        <f t="shared" si="11"/>
        <v>84</v>
      </c>
      <c r="S79" s="8">
        <f t="shared" si="12"/>
        <v>77</v>
      </c>
      <c r="T79" s="11">
        <f t="shared" si="13"/>
        <v>435</v>
      </c>
      <c r="U79" s="11">
        <f t="shared" si="14"/>
        <v>87</v>
      </c>
    </row>
    <row r="80" spans="1:21">
      <c r="A80" s="2" t="s">
        <v>167</v>
      </c>
      <c r="B80" s="12" t="s">
        <v>574</v>
      </c>
      <c r="C80" s="2" t="s">
        <v>17</v>
      </c>
      <c r="D80" s="2">
        <v>90</v>
      </c>
      <c r="E80" s="2">
        <v>90</v>
      </c>
      <c r="F80" s="2"/>
      <c r="G80" s="2"/>
      <c r="H80" s="2"/>
      <c r="I80" s="2">
        <v>92</v>
      </c>
      <c r="J80" s="2">
        <v>85</v>
      </c>
      <c r="K80" s="2">
        <v>89</v>
      </c>
      <c r="L80" s="2">
        <v>98</v>
      </c>
      <c r="M80" s="2">
        <v>544</v>
      </c>
      <c r="N80" s="2">
        <v>90.67</v>
      </c>
      <c r="O80" s="8">
        <f t="shared" si="8"/>
        <v>98</v>
      </c>
      <c r="P80" s="8">
        <f t="shared" si="9"/>
        <v>92</v>
      </c>
      <c r="Q80" s="8">
        <f t="shared" si="10"/>
        <v>90</v>
      </c>
      <c r="R80" s="8">
        <f t="shared" si="11"/>
        <v>90</v>
      </c>
      <c r="S80" s="8">
        <f t="shared" si="12"/>
        <v>89</v>
      </c>
      <c r="T80" s="11">
        <f t="shared" si="13"/>
        <v>459</v>
      </c>
      <c r="U80" s="11">
        <f t="shared" si="14"/>
        <v>91.8</v>
      </c>
    </row>
    <row r="81" spans="1:21">
      <c r="A81" s="2" t="s">
        <v>169</v>
      </c>
      <c r="B81" s="12" t="s">
        <v>575</v>
      </c>
      <c r="C81" s="2" t="s">
        <v>17</v>
      </c>
      <c r="D81" s="2">
        <v>83</v>
      </c>
      <c r="E81" s="2"/>
      <c r="F81" s="2">
        <v>74</v>
      </c>
      <c r="G81" s="2"/>
      <c r="H81" s="2">
        <v>65</v>
      </c>
      <c r="I81" s="2">
        <v>52</v>
      </c>
      <c r="J81" s="2">
        <v>79</v>
      </c>
      <c r="K81" s="2"/>
      <c r="L81" s="2">
        <v>85</v>
      </c>
      <c r="M81" s="2">
        <v>438</v>
      </c>
      <c r="N81" s="2">
        <v>73</v>
      </c>
      <c r="O81" s="8">
        <f t="shared" si="8"/>
        <v>85</v>
      </c>
      <c r="P81" s="8">
        <f t="shared" si="9"/>
        <v>83</v>
      </c>
      <c r="Q81" s="8">
        <f t="shared" si="10"/>
        <v>79</v>
      </c>
      <c r="R81" s="8">
        <f t="shared" si="11"/>
        <v>74</v>
      </c>
      <c r="S81" s="8">
        <f t="shared" si="12"/>
        <v>65</v>
      </c>
      <c r="T81" s="11">
        <f t="shared" si="13"/>
        <v>386</v>
      </c>
      <c r="U81" s="11">
        <f t="shared" si="14"/>
        <v>77.2</v>
      </c>
    </row>
    <row r="82" spans="1:21">
      <c r="A82" s="2" t="s">
        <v>171</v>
      </c>
      <c r="B82" s="13" t="s">
        <v>576</v>
      </c>
      <c r="C82" s="2" t="s">
        <v>17</v>
      </c>
      <c r="D82" s="2">
        <v>97</v>
      </c>
      <c r="E82" s="2"/>
      <c r="F82" s="2"/>
      <c r="G82" s="2">
        <v>99</v>
      </c>
      <c r="H82" s="2">
        <v>98</v>
      </c>
      <c r="I82" s="2">
        <v>97</v>
      </c>
      <c r="J82" s="2">
        <v>100</v>
      </c>
      <c r="K82" s="2"/>
      <c r="L82" s="2">
        <v>98</v>
      </c>
      <c r="M82" s="2">
        <v>589</v>
      </c>
      <c r="N82" s="2">
        <v>98.17</v>
      </c>
      <c r="O82" s="8">
        <f t="shared" si="8"/>
        <v>100</v>
      </c>
      <c r="P82" s="8">
        <f t="shared" si="9"/>
        <v>99</v>
      </c>
      <c r="Q82" s="8">
        <f t="shared" si="10"/>
        <v>98</v>
      </c>
      <c r="R82" s="8">
        <f t="shared" si="11"/>
        <v>98</v>
      </c>
      <c r="S82" s="8">
        <f t="shared" si="12"/>
        <v>97</v>
      </c>
      <c r="T82" s="11">
        <f t="shared" si="13"/>
        <v>492</v>
      </c>
      <c r="U82" s="11">
        <f t="shared" si="14"/>
        <v>98.4</v>
      </c>
    </row>
    <row r="83" spans="1:21">
      <c r="A83" s="2" t="s">
        <v>173</v>
      </c>
      <c r="B83" s="12" t="s">
        <v>577</v>
      </c>
      <c r="C83" s="2" t="s">
        <v>22</v>
      </c>
      <c r="D83" s="2">
        <v>90</v>
      </c>
      <c r="E83" s="2">
        <v>92</v>
      </c>
      <c r="F83" s="2"/>
      <c r="G83" s="2"/>
      <c r="H83" s="2"/>
      <c r="I83" s="2">
        <v>73</v>
      </c>
      <c r="J83" s="2">
        <v>83</v>
      </c>
      <c r="K83" s="2">
        <v>71</v>
      </c>
      <c r="L83" s="2">
        <v>91</v>
      </c>
      <c r="M83" s="2">
        <v>500</v>
      </c>
      <c r="N83" s="2">
        <v>83.33</v>
      </c>
      <c r="O83" s="8">
        <f t="shared" si="8"/>
        <v>92</v>
      </c>
      <c r="P83" s="8">
        <f t="shared" si="9"/>
        <v>91</v>
      </c>
      <c r="Q83" s="8">
        <f t="shared" si="10"/>
        <v>90</v>
      </c>
      <c r="R83" s="8">
        <f t="shared" si="11"/>
        <v>83</v>
      </c>
      <c r="S83" s="8">
        <f t="shared" si="12"/>
        <v>73</v>
      </c>
      <c r="T83" s="11">
        <f t="shared" si="13"/>
        <v>429</v>
      </c>
      <c r="U83" s="11">
        <f t="shared" si="14"/>
        <v>85.8</v>
      </c>
    </row>
    <row r="84" spans="1:21">
      <c r="A84" s="2" t="s">
        <v>175</v>
      </c>
      <c r="B84" s="12" t="s">
        <v>578</v>
      </c>
      <c r="C84" s="2" t="s">
        <v>22</v>
      </c>
      <c r="D84" s="2">
        <v>88</v>
      </c>
      <c r="E84" s="2"/>
      <c r="F84" s="2">
        <v>99</v>
      </c>
      <c r="G84" s="2"/>
      <c r="H84" s="2">
        <v>88</v>
      </c>
      <c r="I84" s="2">
        <v>89</v>
      </c>
      <c r="J84" s="2">
        <v>98</v>
      </c>
      <c r="K84" s="2"/>
      <c r="L84" s="2">
        <v>95</v>
      </c>
      <c r="M84" s="2">
        <v>557</v>
      </c>
      <c r="N84" s="2">
        <v>92.83</v>
      </c>
      <c r="O84" s="8">
        <f t="shared" si="8"/>
        <v>99</v>
      </c>
      <c r="P84" s="8">
        <f t="shared" si="9"/>
        <v>98</v>
      </c>
      <c r="Q84" s="8">
        <f t="shared" si="10"/>
        <v>95</v>
      </c>
      <c r="R84" s="8">
        <f t="shared" si="11"/>
        <v>89</v>
      </c>
      <c r="S84" s="8">
        <f t="shared" si="12"/>
        <v>88</v>
      </c>
      <c r="T84" s="11">
        <f t="shared" si="13"/>
        <v>469</v>
      </c>
      <c r="U84" s="11">
        <f t="shared" si="14"/>
        <v>93.8</v>
      </c>
    </row>
    <row r="85" spans="1:21">
      <c r="A85" s="2" t="s">
        <v>177</v>
      </c>
      <c r="B85" s="13" t="s">
        <v>579</v>
      </c>
      <c r="C85" s="2" t="s">
        <v>17</v>
      </c>
      <c r="D85" s="2">
        <v>97</v>
      </c>
      <c r="E85" s="2"/>
      <c r="F85" s="2"/>
      <c r="G85" s="2">
        <v>97</v>
      </c>
      <c r="H85" s="2">
        <v>94</v>
      </c>
      <c r="I85" s="2">
        <v>95</v>
      </c>
      <c r="J85" s="2">
        <v>96</v>
      </c>
      <c r="K85" s="2"/>
      <c r="L85" s="2">
        <v>99</v>
      </c>
      <c r="M85" s="2">
        <v>578</v>
      </c>
      <c r="N85" s="2">
        <v>96.33</v>
      </c>
      <c r="O85" s="8">
        <f t="shared" si="8"/>
        <v>99</v>
      </c>
      <c r="P85" s="8">
        <f t="shared" si="9"/>
        <v>97</v>
      </c>
      <c r="Q85" s="8">
        <f t="shared" si="10"/>
        <v>97</v>
      </c>
      <c r="R85" s="8">
        <f t="shared" si="11"/>
        <v>96</v>
      </c>
      <c r="S85" s="8">
        <f t="shared" si="12"/>
        <v>95</v>
      </c>
      <c r="T85" s="11">
        <f t="shared" si="13"/>
        <v>484</v>
      </c>
      <c r="U85" s="11">
        <f t="shared" si="14"/>
        <v>96.8</v>
      </c>
    </row>
    <row r="86" spans="1:21">
      <c r="A86" s="2" t="s">
        <v>179</v>
      </c>
      <c r="B86" s="12" t="s">
        <v>580</v>
      </c>
      <c r="C86" s="2" t="s">
        <v>17</v>
      </c>
      <c r="D86" s="2">
        <v>97</v>
      </c>
      <c r="E86" s="2"/>
      <c r="F86" s="2">
        <v>94</v>
      </c>
      <c r="G86" s="2"/>
      <c r="H86" s="2">
        <v>63</v>
      </c>
      <c r="I86" s="2">
        <v>70</v>
      </c>
      <c r="J86" s="2">
        <v>93</v>
      </c>
      <c r="K86" s="2"/>
      <c r="L86" s="2">
        <v>96</v>
      </c>
      <c r="M86" s="2">
        <v>513</v>
      </c>
      <c r="N86" s="2">
        <v>85.5</v>
      </c>
      <c r="O86" s="8">
        <f t="shared" si="8"/>
        <v>97</v>
      </c>
      <c r="P86" s="8">
        <f t="shared" si="9"/>
        <v>96</v>
      </c>
      <c r="Q86" s="8">
        <f t="shared" si="10"/>
        <v>94</v>
      </c>
      <c r="R86" s="8">
        <f t="shared" si="11"/>
        <v>93</v>
      </c>
      <c r="S86" s="8">
        <f t="shared" si="12"/>
        <v>70</v>
      </c>
      <c r="T86" s="11">
        <f t="shared" si="13"/>
        <v>450</v>
      </c>
      <c r="U86" s="11">
        <f t="shared" si="14"/>
        <v>90</v>
      </c>
    </row>
    <row r="87" spans="1:21">
      <c r="A87" s="2" t="s">
        <v>181</v>
      </c>
      <c r="B87" s="12" t="s">
        <v>581</v>
      </c>
      <c r="C87" s="2" t="s">
        <v>22</v>
      </c>
      <c r="D87" s="2">
        <v>87</v>
      </c>
      <c r="E87" s="2"/>
      <c r="F87" s="2">
        <v>85</v>
      </c>
      <c r="G87" s="2"/>
      <c r="H87" s="2">
        <v>76</v>
      </c>
      <c r="I87" s="2">
        <v>78</v>
      </c>
      <c r="J87" s="2">
        <v>90</v>
      </c>
      <c r="K87" s="2"/>
      <c r="L87" s="2">
        <v>98</v>
      </c>
      <c r="M87" s="2">
        <v>514</v>
      </c>
      <c r="N87" s="2">
        <v>85.67</v>
      </c>
      <c r="O87" s="8">
        <f t="shared" si="8"/>
        <v>98</v>
      </c>
      <c r="P87" s="8">
        <f t="shared" si="9"/>
        <v>90</v>
      </c>
      <c r="Q87" s="8">
        <f t="shared" si="10"/>
        <v>87</v>
      </c>
      <c r="R87" s="8">
        <f t="shared" si="11"/>
        <v>85</v>
      </c>
      <c r="S87" s="8">
        <f t="shared" si="12"/>
        <v>78</v>
      </c>
      <c r="T87" s="11">
        <f t="shared" si="13"/>
        <v>438</v>
      </c>
      <c r="U87" s="11">
        <f t="shared" si="14"/>
        <v>87.6</v>
      </c>
    </row>
    <row r="88" spans="1:21">
      <c r="A88" s="2" t="s">
        <v>183</v>
      </c>
      <c r="B88" s="12" t="s">
        <v>582</v>
      </c>
      <c r="C88" s="2" t="s">
        <v>22</v>
      </c>
      <c r="D88" s="2">
        <v>94</v>
      </c>
      <c r="E88" s="2">
        <v>92</v>
      </c>
      <c r="F88" s="2"/>
      <c r="G88" s="2"/>
      <c r="H88" s="2">
        <v>72</v>
      </c>
      <c r="I88" s="2">
        <v>62</v>
      </c>
      <c r="J88" s="2">
        <v>81</v>
      </c>
      <c r="K88" s="2"/>
      <c r="L88" s="2">
        <v>94</v>
      </c>
      <c r="M88" s="2">
        <v>495</v>
      </c>
      <c r="N88" s="2">
        <v>82.5</v>
      </c>
      <c r="O88" s="8">
        <f t="shared" si="8"/>
        <v>94</v>
      </c>
      <c r="P88" s="8">
        <f t="shared" si="9"/>
        <v>94</v>
      </c>
      <c r="Q88" s="8">
        <f t="shared" si="10"/>
        <v>92</v>
      </c>
      <c r="R88" s="8">
        <f t="shared" si="11"/>
        <v>81</v>
      </c>
      <c r="S88" s="8">
        <f t="shared" si="12"/>
        <v>72</v>
      </c>
      <c r="T88" s="11">
        <f t="shared" si="13"/>
        <v>433</v>
      </c>
      <c r="U88" s="11">
        <f t="shared" si="14"/>
        <v>86.6</v>
      </c>
    </row>
    <row r="89" spans="1:21">
      <c r="A89" s="2" t="s">
        <v>185</v>
      </c>
      <c r="B89" s="13" t="s">
        <v>583</v>
      </c>
      <c r="C89" s="2" t="s">
        <v>22</v>
      </c>
      <c r="D89" s="2">
        <v>87</v>
      </c>
      <c r="E89" s="2"/>
      <c r="F89" s="2">
        <v>98</v>
      </c>
      <c r="G89" s="2"/>
      <c r="H89" s="2">
        <v>89</v>
      </c>
      <c r="I89" s="2">
        <v>90</v>
      </c>
      <c r="J89" s="2">
        <v>96</v>
      </c>
      <c r="K89" s="2"/>
      <c r="L89" s="2">
        <v>99</v>
      </c>
      <c r="M89" s="2">
        <v>559</v>
      </c>
      <c r="N89" s="2">
        <v>93.17</v>
      </c>
      <c r="O89" s="8">
        <f t="shared" si="8"/>
        <v>99</v>
      </c>
      <c r="P89" s="8">
        <f t="shared" si="9"/>
        <v>98</v>
      </c>
      <c r="Q89" s="8">
        <f t="shared" si="10"/>
        <v>96</v>
      </c>
      <c r="R89" s="8">
        <f t="shared" si="11"/>
        <v>90</v>
      </c>
      <c r="S89" s="8">
        <f t="shared" si="12"/>
        <v>89</v>
      </c>
      <c r="T89" s="11">
        <f t="shared" si="13"/>
        <v>472</v>
      </c>
      <c r="U89" s="11">
        <f t="shared" si="14"/>
        <v>94.4</v>
      </c>
    </row>
    <row r="90" spans="1:21">
      <c r="A90" s="2" t="s">
        <v>187</v>
      </c>
      <c r="B90" s="12" t="s">
        <v>584</v>
      </c>
      <c r="C90" s="2" t="s">
        <v>22</v>
      </c>
      <c r="D90" s="2">
        <v>92</v>
      </c>
      <c r="E90" s="2"/>
      <c r="F90" s="2">
        <v>84</v>
      </c>
      <c r="G90" s="2"/>
      <c r="H90" s="2">
        <v>74</v>
      </c>
      <c r="I90" s="2">
        <v>70</v>
      </c>
      <c r="J90" s="2">
        <v>82</v>
      </c>
      <c r="K90" s="2"/>
      <c r="L90" s="2">
        <v>92</v>
      </c>
      <c r="M90" s="2">
        <v>494</v>
      </c>
      <c r="N90" s="2">
        <v>82.33</v>
      </c>
      <c r="O90" s="8">
        <f t="shared" si="8"/>
        <v>92</v>
      </c>
      <c r="P90" s="8">
        <f t="shared" si="9"/>
        <v>92</v>
      </c>
      <c r="Q90" s="8">
        <f t="shared" si="10"/>
        <v>84</v>
      </c>
      <c r="R90" s="8">
        <f t="shared" si="11"/>
        <v>82</v>
      </c>
      <c r="S90" s="8">
        <f t="shared" si="12"/>
        <v>74</v>
      </c>
      <c r="T90" s="11">
        <f t="shared" si="13"/>
        <v>424</v>
      </c>
      <c r="U90" s="11">
        <f t="shared" si="14"/>
        <v>84.8</v>
      </c>
    </row>
    <row r="91" spans="1:21">
      <c r="A91" s="2" t="s">
        <v>189</v>
      </c>
      <c r="B91" s="13" t="s">
        <v>585</v>
      </c>
      <c r="C91" s="2" t="s">
        <v>22</v>
      </c>
      <c r="D91" s="2">
        <v>87</v>
      </c>
      <c r="E91" s="2">
        <v>90</v>
      </c>
      <c r="F91" s="2"/>
      <c r="G91" s="2"/>
      <c r="H91" s="2">
        <v>94</v>
      </c>
      <c r="I91" s="2">
        <v>81</v>
      </c>
      <c r="J91" s="2">
        <v>91</v>
      </c>
      <c r="K91" s="2"/>
      <c r="L91" s="2">
        <v>97</v>
      </c>
      <c r="M91" s="2">
        <v>540</v>
      </c>
      <c r="N91" s="2">
        <v>90</v>
      </c>
      <c r="O91" s="8">
        <f t="shared" si="8"/>
        <v>97</v>
      </c>
      <c r="P91" s="8">
        <f t="shared" si="9"/>
        <v>94</v>
      </c>
      <c r="Q91" s="8">
        <f t="shared" si="10"/>
        <v>91</v>
      </c>
      <c r="R91" s="8">
        <f t="shared" si="11"/>
        <v>90</v>
      </c>
      <c r="S91" s="8">
        <f t="shared" si="12"/>
        <v>87</v>
      </c>
      <c r="T91" s="11">
        <f t="shared" si="13"/>
        <v>459</v>
      </c>
      <c r="U91" s="11">
        <f t="shared" si="14"/>
        <v>91.8</v>
      </c>
    </row>
    <row r="92" spans="1:21">
      <c r="A92" s="2" t="s">
        <v>191</v>
      </c>
      <c r="B92" s="13" t="s">
        <v>586</v>
      </c>
      <c r="C92" s="2" t="s">
        <v>22</v>
      </c>
      <c r="D92" s="2">
        <v>91</v>
      </c>
      <c r="E92" s="2">
        <v>89</v>
      </c>
      <c r="F92" s="2"/>
      <c r="G92" s="2"/>
      <c r="H92" s="2"/>
      <c r="I92" s="2">
        <v>94</v>
      </c>
      <c r="J92" s="2">
        <v>83</v>
      </c>
      <c r="K92" s="2">
        <v>89</v>
      </c>
      <c r="L92" s="2">
        <v>99</v>
      </c>
      <c r="M92" s="2">
        <v>545</v>
      </c>
      <c r="N92" s="2">
        <v>90.83</v>
      </c>
      <c r="O92" s="8">
        <f t="shared" si="8"/>
        <v>99</v>
      </c>
      <c r="P92" s="8">
        <f t="shared" si="9"/>
        <v>94</v>
      </c>
      <c r="Q92" s="8">
        <f t="shared" si="10"/>
        <v>91</v>
      </c>
      <c r="R92" s="8">
        <f t="shared" si="11"/>
        <v>89</v>
      </c>
      <c r="S92" s="8">
        <f t="shared" si="12"/>
        <v>89</v>
      </c>
      <c r="T92" s="11">
        <f t="shared" si="13"/>
        <v>462</v>
      </c>
      <c r="U92" s="11">
        <f t="shared" si="14"/>
        <v>92.4</v>
      </c>
    </row>
    <row r="93" spans="1:21">
      <c r="A93" s="2" t="s">
        <v>193</v>
      </c>
      <c r="B93" s="12" t="s">
        <v>587</v>
      </c>
      <c r="C93" s="2" t="s">
        <v>17</v>
      </c>
      <c r="D93" s="2">
        <v>97</v>
      </c>
      <c r="E93" s="2"/>
      <c r="F93" s="2">
        <v>98</v>
      </c>
      <c r="G93" s="2"/>
      <c r="H93" s="2">
        <v>75</v>
      </c>
      <c r="I93" s="2">
        <v>88</v>
      </c>
      <c r="J93" s="2">
        <v>98</v>
      </c>
      <c r="K93" s="2"/>
      <c r="L93" s="2">
        <v>98</v>
      </c>
      <c r="M93" s="2">
        <v>554</v>
      </c>
      <c r="N93" s="2">
        <v>92.33</v>
      </c>
      <c r="O93" s="8">
        <f t="shared" si="8"/>
        <v>98</v>
      </c>
      <c r="P93" s="8">
        <f t="shared" si="9"/>
        <v>98</v>
      </c>
      <c r="Q93" s="8">
        <f t="shared" si="10"/>
        <v>98</v>
      </c>
      <c r="R93" s="8">
        <f t="shared" si="11"/>
        <v>97</v>
      </c>
      <c r="S93" s="8">
        <f t="shared" si="12"/>
        <v>88</v>
      </c>
      <c r="T93" s="11">
        <f t="shared" si="13"/>
        <v>479</v>
      </c>
      <c r="U93" s="11">
        <f t="shared" si="14"/>
        <v>95.8</v>
      </c>
    </row>
    <row r="94" spans="1:21">
      <c r="A94" s="2" t="s">
        <v>195</v>
      </c>
      <c r="B94" s="12" t="s">
        <v>588</v>
      </c>
      <c r="C94" s="2" t="s">
        <v>17</v>
      </c>
      <c r="D94" s="2">
        <v>93</v>
      </c>
      <c r="E94" s="2"/>
      <c r="F94" s="2">
        <v>88</v>
      </c>
      <c r="G94" s="2"/>
      <c r="H94" s="2">
        <v>70</v>
      </c>
      <c r="I94" s="2">
        <v>80</v>
      </c>
      <c r="J94" s="2">
        <v>81</v>
      </c>
      <c r="K94" s="2"/>
      <c r="L94" s="2">
        <v>97</v>
      </c>
      <c r="M94" s="2">
        <v>509</v>
      </c>
      <c r="N94" s="2">
        <v>84.83</v>
      </c>
      <c r="O94" s="8">
        <f t="shared" si="8"/>
        <v>97</v>
      </c>
      <c r="P94" s="8">
        <f t="shared" si="9"/>
        <v>93</v>
      </c>
      <c r="Q94" s="8">
        <f t="shared" si="10"/>
        <v>88</v>
      </c>
      <c r="R94" s="8">
        <f t="shared" si="11"/>
        <v>81</v>
      </c>
      <c r="S94" s="8">
        <f t="shared" si="12"/>
        <v>80</v>
      </c>
      <c r="T94" s="11">
        <f t="shared" si="13"/>
        <v>439</v>
      </c>
      <c r="U94" s="11">
        <f t="shared" si="14"/>
        <v>87.8</v>
      </c>
    </row>
    <row r="95" spans="1:21">
      <c r="A95" s="2" t="s">
        <v>197</v>
      </c>
      <c r="B95" s="12" t="s">
        <v>589</v>
      </c>
      <c r="C95" s="2" t="s">
        <v>17</v>
      </c>
      <c r="D95" s="2">
        <v>91</v>
      </c>
      <c r="E95" s="2"/>
      <c r="F95" s="2">
        <v>97</v>
      </c>
      <c r="G95" s="2"/>
      <c r="H95" s="2">
        <v>72</v>
      </c>
      <c r="I95" s="2">
        <v>88</v>
      </c>
      <c r="J95" s="2">
        <v>98</v>
      </c>
      <c r="K95" s="2"/>
      <c r="L95" s="2">
        <v>98</v>
      </c>
      <c r="M95" s="2">
        <v>544</v>
      </c>
      <c r="N95" s="2">
        <v>90.67</v>
      </c>
      <c r="O95" s="8">
        <f t="shared" si="8"/>
        <v>98</v>
      </c>
      <c r="P95" s="8">
        <f t="shared" si="9"/>
        <v>98</v>
      </c>
      <c r="Q95" s="8">
        <f t="shared" si="10"/>
        <v>97</v>
      </c>
      <c r="R95" s="8">
        <f t="shared" si="11"/>
        <v>91</v>
      </c>
      <c r="S95" s="8">
        <f t="shared" si="12"/>
        <v>88</v>
      </c>
      <c r="T95" s="11">
        <f t="shared" si="13"/>
        <v>472</v>
      </c>
      <c r="U95" s="11">
        <f t="shared" si="14"/>
        <v>94.4</v>
      </c>
    </row>
    <row r="96" spans="1:21">
      <c r="A96" s="2" t="s">
        <v>199</v>
      </c>
      <c r="B96" s="13" t="s">
        <v>590</v>
      </c>
      <c r="C96" s="2" t="s">
        <v>22</v>
      </c>
      <c r="D96" s="2">
        <v>92</v>
      </c>
      <c r="E96" s="2">
        <v>76</v>
      </c>
      <c r="F96" s="2"/>
      <c r="G96" s="2"/>
      <c r="H96" s="2"/>
      <c r="I96" s="2">
        <v>89</v>
      </c>
      <c r="J96" s="2">
        <v>92</v>
      </c>
      <c r="K96" s="2">
        <v>88</v>
      </c>
      <c r="L96" s="2">
        <v>98</v>
      </c>
      <c r="M96" s="2">
        <v>535</v>
      </c>
      <c r="N96" s="2">
        <v>89.17</v>
      </c>
      <c r="O96" s="8">
        <f t="shared" si="8"/>
        <v>98</v>
      </c>
      <c r="P96" s="8">
        <f t="shared" si="9"/>
        <v>92</v>
      </c>
      <c r="Q96" s="8">
        <f t="shared" si="10"/>
        <v>92</v>
      </c>
      <c r="R96" s="8">
        <f t="shared" si="11"/>
        <v>89</v>
      </c>
      <c r="S96" s="8">
        <f t="shared" si="12"/>
        <v>88</v>
      </c>
      <c r="T96" s="11">
        <f t="shared" si="13"/>
        <v>459</v>
      </c>
      <c r="U96" s="11">
        <f t="shared" si="14"/>
        <v>91.8</v>
      </c>
    </row>
    <row r="97" spans="1:21">
      <c r="A97" s="2" t="s">
        <v>201</v>
      </c>
      <c r="B97" s="12" t="s">
        <v>591</v>
      </c>
      <c r="C97" s="2" t="s">
        <v>22</v>
      </c>
      <c r="D97" s="2">
        <v>82</v>
      </c>
      <c r="E97" s="2">
        <v>92</v>
      </c>
      <c r="F97" s="2"/>
      <c r="G97" s="2"/>
      <c r="H97" s="2">
        <v>66</v>
      </c>
      <c r="I97" s="2">
        <v>87</v>
      </c>
      <c r="J97" s="2">
        <v>90</v>
      </c>
      <c r="K97" s="2"/>
      <c r="L97" s="2">
        <v>96</v>
      </c>
      <c r="M97" s="2">
        <v>513</v>
      </c>
      <c r="N97" s="2">
        <v>85.5</v>
      </c>
      <c r="O97" s="8">
        <f t="shared" si="8"/>
        <v>96</v>
      </c>
      <c r="P97" s="8">
        <f t="shared" si="9"/>
        <v>92</v>
      </c>
      <c r="Q97" s="8">
        <f t="shared" si="10"/>
        <v>90</v>
      </c>
      <c r="R97" s="8">
        <f t="shared" si="11"/>
        <v>87</v>
      </c>
      <c r="S97" s="8">
        <f t="shared" si="12"/>
        <v>82</v>
      </c>
      <c r="T97" s="11">
        <f t="shared" si="13"/>
        <v>447</v>
      </c>
      <c r="U97" s="11">
        <f t="shared" si="14"/>
        <v>89.4</v>
      </c>
    </row>
    <row r="98" spans="1:21">
      <c r="A98" s="2" t="s">
        <v>203</v>
      </c>
      <c r="B98" s="12" t="s">
        <v>592</v>
      </c>
      <c r="C98" s="2" t="s">
        <v>22</v>
      </c>
      <c r="D98" s="2">
        <v>68</v>
      </c>
      <c r="E98" s="2">
        <v>83</v>
      </c>
      <c r="F98" s="2"/>
      <c r="G98" s="2"/>
      <c r="H98" s="2"/>
      <c r="I98" s="2">
        <v>64</v>
      </c>
      <c r="J98" s="2">
        <v>75</v>
      </c>
      <c r="K98" s="2">
        <v>39</v>
      </c>
      <c r="L98" s="2">
        <v>74</v>
      </c>
      <c r="M98" s="2">
        <v>403</v>
      </c>
      <c r="N98" s="2">
        <v>67.17</v>
      </c>
      <c r="O98" s="8">
        <f t="shared" si="8"/>
        <v>83</v>
      </c>
      <c r="P98" s="8">
        <f t="shared" si="9"/>
        <v>75</v>
      </c>
      <c r="Q98" s="8">
        <f t="shared" si="10"/>
        <v>74</v>
      </c>
      <c r="R98" s="8">
        <f t="shared" si="11"/>
        <v>68</v>
      </c>
      <c r="S98" s="8">
        <f t="shared" si="12"/>
        <v>64</v>
      </c>
      <c r="T98" s="11">
        <f t="shared" si="13"/>
        <v>364</v>
      </c>
      <c r="U98" s="11">
        <f t="shared" si="14"/>
        <v>72.8</v>
      </c>
    </row>
    <row r="99" spans="1:21">
      <c r="A99" s="2" t="s">
        <v>205</v>
      </c>
      <c r="B99" s="13" t="s">
        <v>593</v>
      </c>
      <c r="C99" s="2" t="s">
        <v>22</v>
      </c>
      <c r="D99" s="2">
        <v>92</v>
      </c>
      <c r="E99" s="2"/>
      <c r="F99" s="2">
        <v>100</v>
      </c>
      <c r="G99" s="2"/>
      <c r="H99" s="2"/>
      <c r="I99" s="2">
        <v>98</v>
      </c>
      <c r="J99" s="2">
        <v>98</v>
      </c>
      <c r="K99" s="2">
        <v>100</v>
      </c>
      <c r="L99" s="2">
        <v>100</v>
      </c>
      <c r="M99" s="2">
        <v>588</v>
      </c>
      <c r="N99" s="2">
        <v>98</v>
      </c>
      <c r="O99" s="8">
        <f t="shared" si="8"/>
        <v>100</v>
      </c>
      <c r="P99" s="8">
        <f t="shared" si="9"/>
        <v>100</v>
      </c>
      <c r="Q99" s="8">
        <f t="shared" si="10"/>
        <v>100</v>
      </c>
      <c r="R99" s="8">
        <f t="shared" si="11"/>
        <v>98</v>
      </c>
      <c r="S99" s="8">
        <f t="shared" si="12"/>
        <v>98</v>
      </c>
      <c r="T99" s="11">
        <f t="shared" si="13"/>
        <v>496</v>
      </c>
      <c r="U99" s="11">
        <f t="shared" si="14"/>
        <v>99.2</v>
      </c>
    </row>
    <row r="100" spans="1:21">
      <c r="A100" s="2" t="s">
        <v>207</v>
      </c>
      <c r="B100" s="13" t="s">
        <v>594</v>
      </c>
      <c r="C100" s="2" t="s">
        <v>17</v>
      </c>
      <c r="D100" s="2">
        <v>87</v>
      </c>
      <c r="E100" s="2">
        <v>90</v>
      </c>
      <c r="F100" s="2"/>
      <c r="G100" s="2"/>
      <c r="H100" s="2">
        <v>67</v>
      </c>
      <c r="I100" s="2">
        <v>80</v>
      </c>
      <c r="J100" s="2">
        <v>82</v>
      </c>
      <c r="K100" s="2"/>
      <c r="L100" s="2">
        <v>97</v>
      </c>
      <c r="M100" s="2">
        <v>503</v>
      </c>
      <c r="N100" s="2">
        <v>83.83</v>
      </c>
      <c r="O100" s="8">
        <f t="shared" si="8"/>
        <v>97</v>
      </c>
      <c r="P100" s="8">
        <f t="shared" si="9"/>
        <v>90</v>
      </c>
      <c r="Q100" s="8">
        <f t="shared" si="10"/>
        <v>87</v>
      </c>
      <c r="R100" s="8">
        <f t="shared" si="11"/>
        <v>82</v>
      </c>
      <c r="S100" s="8">
        <f t="shared" si="12"/>
        <v>80</v>
      </c>
      <c r="T100" s="11">
        <f t="shared" si="13"/>
        <v>436</v>
      </c>
      <c r="U100" s="11">
        <f t="shared" si="14"/>
        <v>87.2</v>
      </c>
    </row>
    <row r="101" spans="1:21">
      <c r="A101" s="2" t="s">
        <v>209</v>
      </c>
      <c r="B101" s="12" t="s">
        <v>595</v>
      </c>
      <c r="C101" s="2" t="s">
        <v>17</v>
      </c>
      <c r="D101" s="2">
        <v>91</v>
      </c>
      <c r="E101" s="2"/>
      <c r="F101" s="2">
        <v>99</v>
      </c>
      <c r="G101" s="2"/>
      <c r="H101" s="2">
        <v>90</v>
      </c>
      <c r="I101" s="2">
        <v>97</v>
      </c>
      <c r="J101" s="2">
        <v>93</v>
      </c>
      <c r="K101" s="2"/>
      <c r="L101" s="2">
        <v>100</v>
      </c>
      <c r="M101" s="2">
        <v>570</v>
      </c>
      <c r="N101" s="2">
        <v>95</v>
      </c>
      <c r="O101" s="8">
        <f t="shared" si="8"/>
        <v>100</v>
      </c>
      <c r="P101" s="8">
        <f t="shared" si="9"/>
        <v>99</v>
      </c>
      <c r="Q101" s="8">
        <f t="shared" si="10"/>
        <v>97</v>
      </c>
      <c r="R101" s="8">
        <f t="shared" si="11"/>
        <v>93</v>
      </c>
      <c r="S101" s="8">
        <f t="shared" si="12"/>
        <v>91</v>
      </c>
      <c r="T101" s="11">
        <f t="shared" si="13"/>
        <v>480</v>
      </c>
      <c r="U101" s="11">
        <f t="shared" si="14"/>
        <v>96</v>
      </c>
    </row>
    <row r="102" spans="1:21">
      <c r="A102" s="2" t="s">
        <v>211</v>
      </c>
      <c r="B102" s="12" t="s">
        <v>596</v>
      </c>
      <c r="C102" s="2" t="s">
        <v>22</v>
      </c>
      <c r="D102" s="2">
        <v>81</v>
      </c>
      <c r="E102" s="2">
        <v>90</v>
      </c>
      <c r="F102" s="2"/>
      <c r="G102" s="2"/>
      <c r="H102" s="2"/>
      <c r="I102" s="2">
        <v>96</v>
      </c>
      <c r="J102" s="2">
        <v>93</v>
      </c>
      <c r="K102" s="2">
        <v>96</v>
      </c>
      <c r="L102" s="2">
        <v>100</v>
      </c>
      <c r="M102" s="2">
        <v>556</v>
      </c>
      <c r="N102" s="2">
        <v>92.67</v>
      </c>
      <c r="O102" s="8">
        <f t="shared" si="8"/>
        <v>100</v>
      </c>
      <c r="P102" s="8">
        <f t="shared" si="9"/>
        <v>96</v>
      </c>
      <c r="Q102" s="8">
        <f t="shared" si="10"/>
        <v>96</v>
      </c>
      <c r="R102" s="8">
        <f t="shared" si="11"/>
        <v>93</v>
      </c>
      <c r="S102" s="8">
        <f t="shared" si="12"/>
        <v>90</v>
      </c>
      <c r="T102" s="11">
        <f t="shared" si="13"/>
        <v>475</v>
      </c>
      <c r="U102" s="11">
        <f t="shared" si="14"/>
        <v>95</v>
      </c>
    </row>
    <row r="103" spans="1:21">
      <c r="A103" s="2" t="s">
        <v>213</v>
      </c>
      <c r="B103" s="13" t="s">
        <v>597</v>
      </c>
      <c r="C103" s="2" t="s">
        <v>22</v>
      </c>
      <c r="D103" s="2">
        <v>85</v>
      </c>
      <c r="E103" s="2">
        <v>93</v>
      </c>
      <c r="F103" s="2"/>
      <c r="G103" s="2"/>
      <c r="H103" s="2">
        <v>64</v>
      </c>
      <c r="I103" s="2">
        <v>88</v>
      </c>
      <c r="J103" s="2">
        <v>95</v>
      </c>
      <c r="K103" s="2"/>
      <c r="L103" s="2">
        <v>98</v>
      </c>
      <c r="M103" s="2">
        <v>523</v>
      </c>
      <c r="N103" s="2">
        <v>87.17</v>
      </c>
      <c r="O103" s="8">
        <f t="shared" si="8"/>
        <v>98</v>
      </c>
      <c r="P103" s="8">
        <f t="shared" si="9"/>
        <v>95</v>
      </c>
      <c r="Q103" s="8">
        <f t="shared" si="10"/>
        <v>93</v>
      </c>
      <c r="R103" s="8">
        <f t="shared" si="11"/>
        <v>88</v>
      </c>
      <c r="S103" s="8">
        <f t="shared" si="12"/>
        <v>85</v>
      </c>
      <c r="T103" s="11">
        <f t="shared" si="13"/>
        <v>459</v>
      </c>
      <c r="U103" s="11">
        <f t="shared" si="14"/>
        <v>91.8</v>
      </c>
    </row>
    <row r="104" spans="1:21">
      <c r="A104" s="2" t="s">
        <v>215</v>
      </c>
      <c r="B104" s="13" t="s">
        <v>598</v>
      </c>
      <c r="C104" s="2" t="s">
        <v>17</v>
      </c>
      <c r="D104" s="2">
        <v>96</v>
      </c>
      <c r="E104" s="2">
        <v>96</v>
      </c>
      <c r="F104" s="2"/>
      <c r="G104" s="2"/>
      <c r="H104" s="2">
        <v>95</v>
      </c>
      <c r="I104" s="2">
        <v>99</v>
      </c>
      <c r="J104" s="2">
        <v>96</v>
      </c>
      <c r="K104" s="2"/>
      <c r="L104" s="2">
        <v>100</v>
      </c>
      <c r="M104" s="2">
        <v>582</v>
      </c>
      <c r="N104" s="2">
        <v>97</v>
      </c>
      <c r="O104" s="8">
        <f t="shared" si="8"/>
        <v>100</v>
      </c>
      <c r="P104" s="8">
        <f t="shared" si="9"/>
        <v>99</v>
      </c>
      <c r="Q104" s="8">
        <f t="shared" si="10"/>
        <v>96</v>
      </c>
      <c r="R104" s="8">
        <f t="shared" si="11"/>
        <v>96</v>
      </c>
      <c r="S104" s="8">
        <f t="shared" si="12"/>
        <v>96</v>
      </c>
      <c r="T104" s="11">
        <f t="shared" si="13"/>
        <v>487</v>
      </c>
      <c r="U104" s="11">
        <f t="shared" si="14"/>
        <v>97.4</v>
      </c>
    </row>
    <row r="105" spans="1:21">
      <c r="A105" s="2" t="s">
        <v>217</v>
      </c>
      <c r="B105" s="13" t="s">
        <v>599</v>
      </c>
      <c r="C105" s="2" t="s">
        <v>17</v>
      </c>
      <c r="D105" s="2">
        <v>96</v>
      </c>
      <c r="E105" s="2">
        <v>97</v>
      </c>
      <c r="F105" s="2"/>
      <c r="G105" s="2"/>
      <c r="H105" s="2">
        <v>79</v>
      </c>
      <c r="I105" s="2">
        <v>96</v>
      </c>
      <c r="J105" s="2">
        <v>98</v>
      </c>
      <c r="K105" s="2"/>
      <c r="L105" s="2">
        <v>100</v>
      </c>
      <c r="M105" s="2">
        <v>566</v>
      </c>
      <c r="N105" s="2">
        <v>94.33</v>
      </c>
      <c r="O105" s="8">
        <f t="shared" si="8"/>
        <v>100</v>
      </c>
      <c r="P105" s="8">
        <f t="shared" si="9"/>
        <v>98</v>
      </c>
      <c r="Q105" s="8">
        <f t="shared" si="10"/>
        <v>97</v>
      </c>
      <c r="R105" s="8">
        <f t="shared" si="11"/>
        <v>96</v>
      </c>
      <c r="S105" s="8">
        <f t="shared" si="12"/>
        <v>96</v>
      </c>
      <c r="T105" s="11">
        <f t="shared" si="13"/>
        <v>487</v>
      </c>
      <c r="U105" s="11">
        <f t="shared" si="14"/>
        <v>97.4</v>
      </c>
    </row>
    <row r="106" spans="1:21">
      <c r="A106" s="2" t="s">
        <v>219</v>
      </c>
      <c r="B106" s="13" t="s">
        <v>600</v>
      </c>
      <c r="C106" s="2" t="s">
        <v>17</v>
      </c>
      <c r="D106" s="2">
        <v>93</v>
      </c>
      <c r="E106" s="2"/>
      <c r="F106" s="2">
        <v>99</v>
      </c>
      <c r="G106" s="2"/>
      <c r="H106" s="2">
        <v>85</v>
      </c>
      <c r="I106" s="2">
        <v>100</v>
      </c>
      <c r="J106" s="2">
        <v>97</v>
      </c>
      <c r="K106" s="2"/>
      <c r="L106" s="2">
        <v>100</v>
      </c>
      <c r="M106" s="2">
        <v>574</v>
      </c>
      <c r="N106" s="2">
        <v>95.67</v>
      </c>
      <c r="O106" s="8">
        <f t="shared" si="8"/>
        <v>100</v>
      </c>
      <c r="P106" s="8">
        <f t="shared" si="9"/>
        <v>100</v>
      </c>
      <c r="Q106" s="8">
        <f t="shared" si="10"/>
        <v>99</v>
      </c>
      <c r="R106" s="8">
        <f t="shared" si="11"/>
        <v>97</v>
      </c>
      <c r="S106" s="8">
        <f t="shared" si="12"/>
        <v>93</v>
      </c>
      <c r="T106" s="11">
        <f t="shared" si="13"/>
        <v>489</v>
      </c>
      <c r="U106" s="11">
        <f t="shared" si="14"/>
        <v>97.8</v>
      </c>
    </row>
    <row r="107" spans="1:21">
      <c r="A107" s="2" t="s">
        <v>221</v>
      </c>
      <c r="B107" s="12" t="s">
        <v>601</v>
      </c>
      <c r="C107" s="2" t="s">
        <v>17</v>
      </c>
      <c r="D107" s="2">
        <v>78</v>
      </c>
      <c r="E107" s="2"/>
      <c r="F107" s="2">
        <v>84</v>
      </c>
      <c r="G107" s="2"/>
      <c r="H107" s="2"/>
      <c r="I107" s="2">
        <v>60</v>
      </c>
      <c r="J107" s="2">
        <v>86</v>
      </c>
      <c r="K107" s="2">
        <v>53</v>
      </c>
      <c r="L107" s="2">
        <v>95</v>
      </c>
      <c r="M107" s="2">
        <v>456</v>
      </c>
      <c r="N107" s="2">
        <v>76</v>
      </c>
      <c r="O107" s="8">
        <f t="shared" si="8"/>
        <v>95</v>
      </c>
      <c r="P107" s="8">
        <f t="shared" si="9"/>
        <v>86</v>
      </c>
      <c r="Q107" s="8">
        <f t="shared" si="10"/>
        <v>84</v>
      </c>
      <c r="R107" s="8">
        <f t="shared" si="11"/>
        <v>78</v>
      </c>
      <c r="S107" s="8">
        <f t="shared" si="12"/>
        <v>60</v>
      </c>
      <c r="T107" s="11">
        <f t="shared" si="13"/>
        <v>403</v>
      </c>
      <c r="U107" s="11">
        <f t="shared" si="14"/>
        <v>80.599999999999994</v>
      </c>
    </row>
    <row r="108" spans="1:21">
      <c r="A108" s="2" t="s">
        <v>223</v>
      </c>
      <c r="B108" s="12" t="s">
        <v>602</v>
      </c>
      <c r="C108" s="2" t="s">
        <v>22</v>
      </c>
      <c r="D108" s="2">
        <v>92</v>
      </c>
      <c r="E108" s="2">
        <v>94</v>
      </c>
      <c r="F108" s="2"/>
      <c r="G108" s="2"/>
      <c r="H108" s="2"/>
      <c r="I108" s="2">
        <v>80</v>
      </c>
      <c r="J108" s="2">
        <v>85</v>
      </c>
      <c r="K108" s="2">
        <v>66</v>
      </c>
      <c r="L108" s="2">
        <v>96</v>
      </c>
      <c r="M108" s="2">
        <v>513</v>
      </c>
      <c r="N108" s="2">
        <v>85.5</v>
      </c>
      <c r="O108" s="8">
        <f t="shared" si="8"/>
        <v>96</v>
      </c>
      <c r="P108" s="8">
        <f t="shared" si="9"/>
        <v>94</v>
      </c>
      <c r="Q108" s="8">
        <f t="shared" si="10"/>
        <v>92</v>
      </c>
      <c r="R108" s="8">
        <f t="shared" si="11"/>
        <v>85</v>
      </c>
      <c r="S108" s="8">
        <f t="shared" si="12"/>
        <v>80</v>
      </c>
      <c r="T108" s="11">
        <f t="shared" si="13"/>
        <v>447</v>
      </c>
      <c r="U108" s="11">
        <f t="shared" si="14"/>
        <v>89.4</v>
      </c>
    </row>
    <row r="109" spans="1:21">
      <c r="A109" s="2" t="s">
        <v>225</v>
      </c>
      <c r="B109" s="12" t="s">
        <v>603</v>
      </c>
      <c r="C109" s="2" t="s">
        <v>17</v>
      </c>
      <c r="D109" s="2">
        <v>89</v>
      </c>
      <c r="E109" s="2"/>
      <c r="F109" s="2">
        <v>87</v>
      </c>
      <c r="G109" s="2"/>
      <c r="H109" s="2"/>
      <c r="I109" s="2">
        <v>59</v>
      </c>
      <c r="J109" s="2">
        <v>89</v>
      </c>
      <c r="K109" s="2">
        <v>74</v>
      </c>
      <c r="L109" s="2">
        <v>91</v>
      </c>
      <c r="M109" s="2">
        <v>489</v>
      </c>
      <c r="N109" s="2">
        <v>81.5</v>
      </c>
      <c r="O109" s="8">
        <f t="shared" si="8"/>
        <v>91</v>
      </c>
      <c r="P109" s="8">
        <f t="shared" si="9"/>
        <v>89</v>
      </c>
      <c r="Q109" s="8">
        <f t="shared" si="10"/>
        <v>89</v>
      </c>
      <c r="R109" s="8">
        <f t="shared" si="11"/>
        <v>87</v>
      </c>
      <c r="S109" s="8">
        <f t="shared" si="12"/>
        <v>74</v>
      </c>
      <c r="T109" s="11">
        <f t="shared" si="13"/>
        <v>430</v>
      </c>
      <c r="U109" s="11">
        <f t="shared" si="14"/>
        <v>86</v>
      </c>
    </row>
    <row r="110" spans="1:21">
      <c r="A110" s="2" t="s">
        <v>227</v>
      </c>
      <c r="B110" s="12" t="s">
        <v>604</v>
      </c>
      <c r="C110" s="2" t="s">
        <v>17</v>
      </c>
      <c r="D110" s="2">
        <v>94</v>
      </c>
      <c r="E110" s="2"/>
      <c r="F110" s="2">
        <v>97</v>
      </c>
      <c r="G110" s="2"/>
      <c r="H110" s="2">
        <v>88</v>
      </c>
      <c r="I110" s="2">
        <v>96</v>
      </c>
      <c r="J110" s="2">
        <v>94</v>
      </c>
      <c r="K110" s="2"/>
      <c r="L110" s="2">
        <v>99</v>
      </c>
      <c r="M110" s="2">
        <v>568</v>
      </c>
      <c r="N110" s="2">
        <v>94.67</v>
      </c>
      <c r="O110" s="8">
        <f t="shared" si="8"/>
        <v>99</v>
      </c>
      <c r="P110" s="8">
        <f t="shared" si="9"/>
        <v>97</v>
      </c>
      <c r="Q110" s="8">
        <f t="shared" si="10"/>
        <v>96</v>
      </c>
      <c r="R110" s="8">
        <f t="shared" si="11"/>
        <v>94</v>
      </c>
      <c r="S110" s="8">
        <f t="shared" si="12"/>
        <v>94</v>
      </c>
      <c r="T110" s="11">
        <f t="shared" si="13"/>
        <v>480</v>
      </c>
      <c r="U110" s="11">
        <f t="shared" si="14"/>
        <v>96</v>
      </c>
    </row>
    <row r="111" spans="1:21">
      <c r="A111" s="2" t="s">
        <v>229</v>
      </c>
      <c r="B111" s="12" t="s">
        <v>605</v>
      </c>
      <c r="C111" s="2" t="s">
        <v>22</v>
      </c>
      <c r="D111" s="2">
        <v>86</v>
      </c>
      <c r="E111" s="2">
        <v>85</v>
      </c>
      <c r="F111" s="2"/>
      <c r="G111" s="2"/>
      <c r="H111" s="2">
        <v>50</v>
      </c>
      <c r="I111" s="2">
        <v>62</v>
      </c>
      <c r="J111" s="2">
        <v>76</v>
      </c>
      <c r="K111" s="2"/>
      <c r="L111" s="2">
        <v>88</v>
      </c>
      <c r="M111" s="2">
        <v>447</v>
      </c>
      <c r="N111" s="2">
        <v>74.5</v>
      </c>
      <c r="O111" s="8">
        <f t="shared" si="8"/>
        <v>88</v>
      </c>
      <c r="P111" s="8">
        <f t="shared" si="9"/>
        <v>86</v>
      </c>
      <c r="Q111" s="8">
        <f t="shared" si="10"/>
        <v>85</v>
      </c>
      <c r="R111" s="8">
        <f t="shared" si="11"/>
        <v>76</v>
      </c>
      <c r="S111" s="8">
        <f t="shared" si="12"/>
        <v>62</v>
      </c>
      <c r="T111" s="11">
        <f t="shared" si="13"/>
        <v>397</v>
      </c>
      <c r="U111" s="11">
        <f t="shared" si="14"/>
        <v>79.400000000000006</v>
      </c>
    </row>
    <row r="112" spans="1:21">
      <c r="A112" s="2" t="s">
        <v>231</v>
      </c>
      <c r="B112" s="12" t="s">
        <v>606</v>
      </c>
      <c r="C112" s="2" t="s">
        <v>17</v>
      </c>
      <c r="D112" s="2">
        <v>94</v>
      </c>
      <c r="E112" s="2"/>
      <c r="F112" s="2">
        <v>98</v>
      </c>
      <c r="G112" s="2"/>
      <c r="H112" s="2">
        <v>91</v>
      </c>
      <c r="I112" s="2">
        <v>96</v>
      </c>
      <c r="J112" s="2">
        <v>92</v>
      </c>
      <c r="K112" s="2"/>
      <c r="L112" s="2">
        <v>98</v>
      </c>
      <c r="M112" s="2">
        <v>569</v>
      </c>
      <c r="N112" s="2">
        <v>94.83</v>
      </c>
      <c r="O112" s="8">
        <f t="shared" si="8"/>
        <v>98</v>
      </c>
      <c r="P112" s="8">
        <f t="shared" si="9"/>
        <v>98</v>
      </c>
      <c r="Q112" s="8">
        <f t="shared" si="10"/>
        <v>96</v>
      </c>
      <c r="R112" s="8">
        <f t="shared" si="11"/>
        <v>94</v>
      </c>
      <c r="S112" s="8">
        <f t="shared" si="12"/>
        <v>92</v>
      </c>
      <c r="T112" s="11">
        <f t="shared" si="13"/>
        <v>478</v>
      </c>
      <c r="U112" s="11">
        <f t="shared" si="14"/>
        <v>95.6</v>
      </c>
    </row>
    <row r="113" spans="1:21">
      <c r="A113" s="2" t="s">
        <v>233</v>
      </c>
      <c r="B113" s="12" t="s">
        <v>607</v>
      </c>
      <c r="C113" s="2" t="s">
        <v>17</v>
      </c>
      <c r="D113" s="2">
        <v>86</v>
      </c>
      <c r="E113" s="2"/>
      <c r="F113" s="2">
        <v>92</v>
      </c>
      <c r="G113" s="2"/>
      <c r="H113" s="2"/>
      <c r="I113" s="2">
        <v>61</v>
      </c>
      <c r="J113" s="2">
        <v>80</v>
      </c>
      <c r="K113" s="2">
        <v>68</v>
      </c>
      <c r="L113" s="2">
        <v>90</v>
      </c>
      <c r="M113" s="2">
        <v>477</v>
      </c>
      <c r="N113" s="2">
        <v>79.5</v>
      </c>
      <c r="O113" s="8">
        <f t="shared" si="8"/>
        <v>92</v>
      </c>
      <c r="P113" s="8">
        <f t="shared" si="9"/>
        <v>90</v>
      </c>
      <c r="Q113" s="8">
        <f t="shared" si="10"/>
        <v>86</v>
      </c>
      <c r="R113" s="8">
        <f t="shared" si="11"/>
        <v>80</v>
      </c>
      <c r="S113" s="8">
        <f t="shared" si="12"/>
        <v>68</v>
      </c>
      <c r="T113" s="11">
        <f t="shared" si="13"/>
        <v>416</v>
      </c>
      <c r="U113" s="11">
        <f t="shared" si="14"/>
        <v>83.2</v>
      </c>
    </row>
    <row r="114" spans="1:21">
      <c r="A114" s="2" t="s">
        <v>235</v>
      </c>
      <c r="B114" s="13" t="s">
        <v>608</v>
      </c>
      <c r="C114" s="2" t="s">
        <v>22</v>
      </c>
      <c r="D114" s="2">
        <v>90</v>
      </c>
      <c r="E114" s="2">
        <v>90</v>
      </c>
      <c r="F114" s="2"/>
      <c r="G114" s="2"/>
      <c r="H114" s="2">
        <v>96</v>
      </c>
      <c r="I114" s="2">
        <v>71</v>
      </c>
      <c r="J114" s="2">
        <v>81</v>
      </c>
      <c r="K114" s="2"/>
      <c r="L114" s="2">
        <v>93</v>
      </c>
      <c r="M114" s="2">
        <v>521</v>
      </c>
      <c r="N114" s="2">
        <v>86.83</v>
      </c>
      <c r="O114" s="8">
        <f t="shared" si="8"/>
        <v>96</v>
      </c>
      <c r="P114" s="8">
        <f t="shared" si="9"/>
        <v>93</v>
      </c>
      <c r="Q114" s="8">
        <f t="shared" si="10"/>
        <v>90</v>
      </c>
      <c r="R114" s="8">
        <f t="shared" si="11"/>
        <v>90</v>
      </c>
      <c r="S114" s="8">
        <f t="shared" si="12"/>
        <v>81</v>
      </c>
      <c r="T114" s="11">
        <f t="shared" si="13"/>
        <v>450</v>
      </c>
      <c r="U114" s="11">
        <f t="shared" si="14"/>
        <v>90</v>
      </c>
    </row>
    <row r="115" spans="1:21">
      <c r="A115" s="2" t="s">
        <v>237</v>
      </c>
      <c r="B115" s="12" t="s">
        <v>609</v>
      </c>
      <c r="C115" s="2" t="s">
        <v>22</v>
      </c>
      <c r="D115" s="2">
        <v>88</v>
      </c>
      <c r="E115" s="2"/>
      <c r="F115" s="2"/>
      <c r="G115" s="2">
        <v>87</v>
      </c>
      <c r="H115" s="2">
        <v>89</v>
      </c>
      <c r="I115" s="2">
        <v>95</v>
      </c>
      <c r="J115" s="2">
        <v>96</v>
      </c>
      <c r="K115" s="2"/>
      <c r="L115" s="2">
        <v>97</v>
      </c>
      <c r="M115" s="2">
        <v>552</v>
      </c>
      <c r="N115" s="2">
        <v>92</v>
      </c>
      <c r="O115" s="8">
        <f t="shared" si="8"/>
        <v>97</v>
      </c>
      <c r="P115" s="8">
        <f t="shared" si="9"/>
        <v>96</v>
      </c>
      <c r="Q115" s="8">
        <f t="shared" si="10"/>
        <v>95</v>
      </c>
      <c r="R115" s="8">
        <f t="shared" si="11"/>
        <v>89</v>
      </c>
      <c r="S115" s="8">
        <f t="shared" si="12"/>
        <v>88</v>
      </c>
      <c r="T115" s="11">
        <f t="shared" si="13"/>
        <v>465</v>
      </c>
      <c r="U115" s="11">
        <f t="shared" si="14"/>
        <v>93</v>
      </c>
    </row>
    <row r="116" spans="1:21">
      <c r="A116" s="2" t="s">
        <v>239</v>
      </c>
      <c r="B116" s="12" t="s">
        <v>610</v>
      </c>
      <c r="C116" s="2" t="s">
        <v>22</v>
      </c>
      <c r="D116" s="2">
        <v>95</v>
      </c>
      <c r="E116" s="2"/>
      <c r="F116" s="2">
        <v>98</v>
      </c>
      <c r="G116" s="2"/>
      <c r="H116" s="2">
        <v>90</v>
      </c>
      <c r="I116" s="2">
        <v>94</v>
      </c>
      <c r="J116" s="2">
        <v>81</v>
      </c>
      <c r="K116" s="2"/>
      <c r="L116" s="2">
        <v>98</v>
      </c>
      <c r="M116" s="2">
        <v>556</v>
      </c>
      <c r="N116" s="2">
        <v>92.67</v>
      </c>
      <c r="O116" s="8">
        <f t="shared" si="8"/>
        <v>98</v>
      </c>
      <c r="P116" s="8">
        <f t="shared" si="9"/>
        <v>98</v>
      </c>
      <c r="Q116" s="8">
        <f t="shared" si="10"/>
        <v>95</v>
      </c>
      <c r="R116" s="8">
        <f t="shared" si="11"/>
        <v>94</v>
      </c>
      <c r="S116" s="8">
        <f t="shared" si="12"/>
        <v>90</v>
      </c>
      <c r="T116" s="11">
        <f t="shared" si="13"/>
        <v>475</v>
      </c>
      <c r="U116" s="11">
        <f t="shared" si="14"/>
        <v>95</v>
      </c>
    </row>
    <row r="117" spans="1:21">
      <c r="A117" s="2" t="s">
        <v>241</v>
      </c>
      <c r="B117" s="13" t="s">
        <v>611</v>
      </c>
      <c r="C117" s="2" t="s">
        <v>22</v>
      </c>
      <c r="D117" s="2">
        <v>93</v>
      </c>
      <c r="E117" s="2">
        <v>85</v>
      </c>
      <c r="F117" s="2"/>
      <c r="G117" s="2"/>
      <c r="H117" s="2">
        <v>68</v>
      </c>
      <c r="I117" s="2">
        <v>65</v>
      </c>
      <c r="J117" s="2">
        <v>90</v>
      </c>
      <c r="K117" s="2"/>
      <c r="L117" s="2">
        <v>95</v>
      </c>
      <c r="M117" s="2">
        <v>496</v>
      </c>
      <c r="N117" s="2">
        <v>82.67</v>
      </c>
      <c r="O117" s="8">
        <f t="shared" si="8"/>
        <v>95</v>
      </c>
      <c r="P117" s="8">
        <f t="shared" si="9"/>
        <v>93</v>
      </c>
      <c r="Q117" s="8">
        <f t="shared" si="10"/>
        <v>90</v>
      </c>
      <c r="R117" s="8">
        <f t="shared" si="11"/>
        <v>85</v>
      </c>
      <c r="S117" s="8">
        <f t="shared" si="12"/>
        <v>68</v>
      </c>
      <c r="T117" s="11">
        <f t="shared" si="13"/>
        <v>431</v>
      </c>
      <c r="U117" s="11">
        <f t="shared" si="14"/>
        <v>86.2</v>
      </c>
    </row>
    <row r="118" spans="1:21">
      <c r="A118" s="2" t="s">
        <v>243</v>
      </c>
      <c r="B118" s="13" t="s">
        <v>612</v>
      </c>
      <c r="C118" s="2" t="s">
        <v>22</v>
      </c>
      <c r="D118" s="2">
        <v>94</v>
      </c>
      <c r="E118" s="2"/>
      <c r="F118" s="2">
        <v>98</v>
      </c>
      <c r="G118" s="2"/>
      <c r="H118" s="2"/>
      <c r="I118" s="2">
        <v>94</v>
      </c>
      <c r="J118" s="2">
        <v>91</v>
      </c>
      <c r="K118" s="2">
        <v>89</v>
      </c>
      <c r="L118" s="2">
        <v>94</v>
      </c>
      <c r="M118" s="2">
        <v>560</v>
      </c>
      <c r="N118" s="2">
        <v>93.33</v>
      </c>
      <c r="O118" s="8">
        <f t="shared" si="8"/>
        <v>98</v>
      </c>
      <c r="P118" s="8">
        <f t="shared" si="9"/>
        <v>94</v>
      </c>
      <c r="Q118" s="8">
        <f t="shared" si="10"/>
        <v>94</v>
      </c>
      <c r="R118" s="8">
        <f t="shared" si="11"/>
        <v>94</v>
      </c>
      <c r="S118" s="8">
        <f t="shared" si="12"/>
        <v>91</v>
      </c>
      <c r="T118" s="11">
        <f t="shared" si="13"/>
        <v>471</v>
      </c>
      <c r="U118" s="11">
        <f t="shared" si="14"/>
        <v>94.2</v>
      </c>
    </row>
    <row r="119" spans="1:21">
      <c r="A119" s="2" t="s">
        <v>245</v>
      </c>
      <c r="B119" s="13" t="s">
        <v>613</v>
      </c>
      <c r="C119" s="2" t="s">
        <v>22</v>
      </c>
      <c r="D119" s="2">
        <v>91</v>
      </c>
      <c r="E119" s="2"/>
      <c r="F119" s="2">
        <v>99</v>
      </c>
      <c r="G119" s="2"/>
      <c r="H119" s="2">
        <v>99</v>
      </c>
      <c r="I119" s="2">
        <v>97</v>
      </c>
      <c r="J119" s="2">
        <v>91</v>
      </c>
      <c r="K119" s="2"/>
      <c r="L119" s="2">
        <v>100</v>
      </c>
      <c r="M119" s="2">
        <v>577</v>
      </c>
      <c r="N119" s="2">
        <v>96.17</v>
      </c>
      <c r="O119" s="8">
        <f t="shared" si="8"/>
        <v>100</v>
      </c>
      <c r="P119" s="8">
        <f t="shared" si="9"/>
        <v>99</v>
      </c>
      <c r="Q119" s="8">
        <f t="shared" si="10"/>
        <v>99</v>
      </c>
      <c r="R119" s="8">
        <f t="shared" si="11"/>
        <v>97</v>
      </c>
      <c r="S119" s="8">
        <f t="shared" si="12"/>
        <v>91</v>
      </c>
      <c r="T119" s="11">
        <f t="shared" si="13"/>
        <v>486</v>
      </c>
      <c r="U119" s="11">
        <f t="shared" si="14"/>
        <v>97.2</v>
      </c>
    </row>
    <row r="120" spans="1:21">
      <c r="A120" s="2" t="s">
        <v>247</v>
      </c>
      <c r="B120" s="12" t="s">
        <v>614</v>
      </c>
      <c r="C120" s="2" t="s">
        <v>22</v>
      </c>
      <c r="D120" s="2">
        <v>78</v>
      </c>
      <c r="E120" s="2">
        <v>84</v>
      </c>
      <c r="F120" s="2"/>
      <c r="G120" s="2"/>
      <c r="H120" s="2">
        <v>62</v>
      </c>
      <c r="I120" s="2">
        <v>82</v>
      </c>
      <c r="J120" s="2">
        <v>78</v>
      </c>
      <c r="K120" s="2"/>
      <c r="L120" s="2">
        <v>85</v>
      </c>
      <c r="M120" s="2">
        <v>469</v>
      </c>
      <c r="N120" s="2">
        <v>78.17</v>
      </c>
      <c r="O120" s="8">
        <f t="shared" si="8"/>
        <v>85</v>
      </c>
      <c r="P120" s="8">
        <f t="shared" si="9"/>
        <v>84</v>
      </c>
      <c r="Q120" s="8">
        <f t="shared" si="10"/>
        <v>82</v>
      </c>
      <c r="R120" s="8">
        <f t="shared" si="11"/>
        <v>78</v>
      </c>
      <c r="S120" s="8">
        <f t="shared" si="12"/>
        <v>78</v>
      </c>
      <c r="T120" s="11">
        <f t="shared" si="13"/>
        <v>407</v>
      </c>
      <c r="U120" s="11">
        <f t="shared" si="14"/>
        <v>81.400000000000006</v>
      </c>
    </row>
    <row r="121" spans="1:21">
      <c r="A121" s="2" t="s">
        <v>249</v>
      </c>
      <c r="B121" s="12" t="s">
        <v>615</v>
      </c>
      <c r="C121" s="2" t="s">
        <v>22</v>
      </c>
      <c r="D121" s="2">
        <v>78</v>
      </c>
      <c r="E121" s="2"/>
      <c r="F121" s="2">
        <v>80</v>
      </c>
      <c r="G121" s="2"/>
      <c r="H121" s="2"/>
      <c r="I121" s="2">
        <v>69</v>
      </c>
      <c r="J121" s="2">
        <v>84</v>
      </c>
      <c r="K121" s="2">
        <v>64</v>
      </c>
      <c r="L121" s="2">
        <v>79</v>
      </c>
      <c r="M121" s="2">
        <v>454</v>
      </c>
      <c r="N121" s="2">
        <v>75.67</v>
      </c>
      <c r="O121" s="8">
        <f t="shared" si="8"/>
        <v>84</v>
      </c>
      <c r="P121" s="8">
        <f t="shared" si="9"/>
        <v>80</v>
      </c>
      <c r="Q121" s="8">
        <f t="shared" si="10"/>
        <v>79</v>
      </c>
      <c r="R121" s="8">
        <f t="shared" si="11"/>
        <v>78</v>
      </c>
      <c r="S121" s="8">
        <f t="shared" si="12"/>
        <v>69</v>
      </c>
      <c r="T121" s="11">
        <f t="shared" si="13"/>
        <v>390</v>
      </c>
      <c r="U121" s="11">
        <f t="shared" si="14"/>
        <v>78</v>
      </c>
    </row>
    <row r="122" spans="1:21">
      <c r="A122" s="2" t="s">
        <v>251</v>
      </c>
      <c r="B122" s="13" t="s">
        <v>616</v>
      </c>
      <c r="C122" s="2" t="s">
        <v>17</v>
      </c>
      <c r="D122" s="2">
        <v>84</v>
      </c>
      <c r="E122" s="2">
        <v>69</v>
      </c>
      <c r="F122" s="2"/>
      <c r="G122" s="2"/>
      <c r="H122" s="2"/>
      <c r="I122" s="2">
        <v>71</v>
      </c>
      <c r="J122" s="2">
        <v>82</v>
      </c>
      <c r="K122" s="2">
        <v>48</v>
      </c>
      <c r="L122" s="2">
        <v>91</v>
      </c>
      <c r="M122" s="2">
        <v>445</v>
      </c>
      <c r="N122" s="2">
        <v>74.17</v>
      </c>
      <c r="O122" s="8">
        <f t="shared" si="8"/>
        <v>91</v>
      </c>
      <c r="P122" s="8">
        <f t="shared" si="9"/>
        <v>84</v>
      </c>
      <c r="Q122" s="8">
        <f t="shared" si="10"/>
        <v>82</v>
      </c>
      <c r="R122" s="8">
        <f t="shared" si="11"/>
        <v>71</v>
      </c>
      <c r="S122" s="8">
        <f t="shared" si="12"/>
        <v>69</v>
      </c>
      <c r="T122" s="11">
        <f t="shared" si="13"/>
        <v>397</v>
      </c>
      <c r="U122" s="11">
        <f t="shared" si="14"/>
        <v>79.400000000000006</v>
      </c>
    </row>
    <row r="123" spans="1:21">
      <c r="A123" s="2" t="s">
        <v>253</v>
      </c>
      <c r="B123" s="13" t="s">
        <v>617</v>
      </c>
      <c r="C123" s="2" t="s">
        <v>22</v>
      </c>
      <c r="D123" s="2">
        <v>98</v>
      </c>
      <c r="E123" s="2"/>
      <c r="F123" s="2"/>
      <c r="G123" s="2">
        <v>98</v>
      </c>
      <c r="H123" s="2">
        <v>95</v>
      </c>
      <c r="I123" s="2">
        <v>96</v>
      </c>
      <c r="J123" s="2">
        <v>98</v>
      </c>
      <c r="K123" s="2"/>
      <c r="L123" s="2">
        <v>98</v>
      </c>
      <c r="M123" s="2">
        <v>583</v>
      </c>
      <c r="N123" s="2">
        <v>97.17</v>
      </c>
      <c r="O123" s="8">
        <f t="shared" si="8"/>
        <v>98</v>
      </c>
      <c r="P123" s="8">
        <f t="shared" si="9"/>
        <v>98</v>
      </c>
      <c r="Q123" s="8">
        <f t="shared" si="10"/>
        <v>98</v>
      </c>
      <c r="R123" s="8">
        <f t="shared" si="11"/>
        <v>98</v>
      </c>
      <c r="S123" s="8">
        <f t="shared" si="12"/>
        <v>96</v>
      </c>
      <c r="T123" s="11">
        <f t="shared" si="13"/>
        <v>488</v>
      </c>
      <c r="U123" s="11">
        <f t="shared" si="14"/>
        <v>97.6</v>
      </c>
    </row>
    <row r="124" spans="1:21">
      <c r="A124" s="2" t="s">
        <v>255</v>
      </c>
      <c r="B124" s="13" t="s">
        <v>618</v>
      </c>
      <c r="C124" s="2" t="s">
        <v>22</v>
      </c>
      <c r="D124" s="2">
        <v>92</v>
      </c>
      <c r="E124" s="2"/>
      <c r="F124" s="2">
        <v>91</v>
      </c>
      <c r="G124" s="2"/>
      <c r="H124" s="2">
        <v>84</v>
      </c>
      <c r="I124" s="2">
        <v>96</v>
      </c>
      <c r="J124" s="2">
        <v>89</v>
      </c>
      <c r="K124" s="2"/>
      <c r="L124" s="2">
        <v>99</v>
      </c>
      <c r="M124" s="2">
        <v>551</v>
      </c>
      <c r="N124" s="2">
        <v>91.83</v>
      </c>
      <c r="O124" s="8">
        <f t="shared" si="8"/>
        <v>99</v>
      </c>
      <c r="P124" s="8">
        <f t="shared" si="9"/>
        <v>96</v>
      </c>
      <c r="Q124" s="8">
        <f t="shared" si="10"/>
        <v>92</v>
      </c>
      <c r="R124" s="8">
        <f t="shared" si="11"/>
        <v>91</v>
      </c>
      <c r="S124" s="8">
        <f t="shared" si="12"/>
        <v>89</v>
      </c>
      <c r="T124" s="11">
        <f t="shared" si="13"/>
        <v>467</v>
      </c>
      <c r="U124" s="11">
        <f t="shared" si="14"/>
        <v>93.4</v>
      </c>
    </row>
    <row r="125" spans="1:21">
      <c r="A125" s="2" t="s">
        <v>257</v>
      </c>
      <c r="B125" s="13" t="s">
        <v>619</v>
      </c>
      <c r="C125" s="2" t="s">
        <v>17</v>
      </c>
      <c r="D125" s="2">
        <v>92</v>
      </c>
      <c r="E125" s="2"/>
      <c r="F125" s="2">
        <v>99</v>
      </c>
      <c r="G125" s="2"/>
      <c r="H125" s="2">
        <v>84</v>
      </c>
      <c r="I125" s="2">
        <v>89</v>
      </c>
      <c r="J125" s="2">
        <v>94</v>
      </c>
      <c r="K125" s="2"/>
      <c r="L125" s="2">
        <v>98</v>
      </c>
      <c r="M125" s="2">
        <v>556</v>
      </c>
      <c r="N125" s="2">
        <v>92.67</v>
      </c>
      <c r="O125" s="8">
        <f t="shared" si="8"/>
        <v>99</v>
      </c>
      <c r="P125" s="8">
        <f t="shared" si="9"/>
        <v>98</v>
      </c>
      <c r="Q125" s="8">
        <f t="shared" si="10"/>
        <v>94</v>
      </c>
      <c r="R125" s="8">
        <f t="shared" si="11"/>
        <v>92</v>
      </c>
      <c r="S125" s="8">
        <f t="shared" si="12"/>
        <v>89</v>
      </c>
      <c r="T125" s="11">
        <f t="shared" si="13"/>
        <v>472</v>
      </c>
      <c r="U125" s="11">
        <f t="shared" si="14"/>
        <v>94.4</v>
      </c>
    </row>
    <row r="126" spans="1:21">
      <c r="A126" s="2" t="s">
        <v>259</v>
      </c>
      <c r="B126" s="13" t="s">
        <v>620</v>
      </c>
      <c r="C126" s="2" t="s">
        <v>22</v>
      </c>
      <c r="D126" s="2">
        <v>98</v>
      </c>
      <c r="E126" s="2">
        <v>88</v>
      </c>
      <c r="F126" s="2"/>
      <c r="G126" s="2"/>
      <c r="H126" s="2">
        <v>95</v>
      </c>
      <c r="I126" s="2">
        <v>92</v>
      </c>
      <c r="J126" s="2">
        <v>95</v>
      </c>
      <c r="K126" s="2"/>
      <c r="L126" s="2">
        <v>100</v>
      </c>
      <c r="M126" s="2">
        <v>568</v>
      </c>
      <c r="N126" s="2">
        <v>94.67</v>
      </c>
      <c r="O126" s="8">
        <f t="shared" si="8"/>
        <v>100</v>
      </c>
      <c r="P126" s="8">
        <f t="shared" si="9"/>
        <v>98</v>
      </c>
      <c r="Q126" s="8">
        <f t="shared" si="10"/>
        <v>95</v>
      </c>
      <c r="R126" s="8">
        <f t="shared" si="11"/>
        <v>95</v>
      </c>
      <c r="S126" s="8">
        <f t="shared" si="12"/>
        <v>92</v>
      </c>
      <c r="T126" s="11">
        <f t="shared" si="13"/>
        <v>480</v>
      </c>
      <c r="U126" s="11">
        <f t="shared" si="14"/>
        <v>96</v>
      </c>
    </row>
    <row r="127" spans="1:21">
      <c r="A127" s="2" t="s">
        <v>261</v>
      </c>
      <c r="B127" s="12" t="s">
        <v>621</v>
      </c>
      <c r="C127" s="2" t="s">
        <v>22</v>
      </c>
      <c r="D127" s="2">
        <v>76</v>
      </c>
      <c r="E127" s="2"/>
      <c r="F127" s="2">
        <v>99</v>
      </c>
      <c r="G127" s="2"/>
      <c r="H127" s="2">
        <v>84</v>
      </c>
      <c r="I127" s="2">
        <v>92</v>
      </c>
      <c r="J127" s="2">
        <v>91</v>
      </c>
      <c r="K127" s="2"/>
      <c r="L127" s="2">
        <v>97</v>
      </c>
      <c r="M127" s="2">
        <v>539</v>
      </c>
      <c r="N127" s="2">
        <v>89.83</v>
      </c>
      <c r="O127" s="8">
        <f t="shared" si="8"/>
        <v>99</v>
      </c>
      <c r="P127" s="8">
        <f t="shared" si="9"/>
        <v>97</v>
      </c>
      <c r="Q127" s="8">
        <f t="shared" si="10"/>
        <v>92</v>
      </c>
      <c r="R127" s="8">
        <f t="shared" si="11"/>
        <v>91</v>
      </c>
      <c r="S127" s="8">
        <f t="shared" si="12"/>
        <v>84</v>
      </c>
      <c r="T127" s="11">
        <f t="shared" si="13"/>
        <v>463</v>
      </c>
      <c r="U127" s="11">
        <f t="shared" si="14"/>
        <v>92.6</v>
      </c>
    </row>
    <row r="128" spans="1:21">
      <c r="A128" s="2" t="s">
        <v>263</v>
      </c>
      <c r="B128" s="13" t="s">
        <v>622</v>
      </c>
      <c r="C128" s="2" t="s">
        <v>22</v>
      </c>
      <c r="D128" s="2">
        <v>86</v>
      </c>
      <c r="E128" s="2"/>
      <c r="F128" s="2"/>
      <c r="G128" s="2">
        <v>91</v>
      </c>
      <c r="H128" s="2"/>
      <c r="I128" s="2">
        <v>94</v>
      </c>
      <c r="J128" s="2">
        <v>92</v>
      </c>
      <c r="K128" s="2">
        <v>94</v>
      </c>
      <c r="L128" s="2">
        <v>100</v>
      </c>
      <c r="M128" s="2">
        <v>557</v>
      </c>
      <c r="N128" s="2">
        <v>92.83</v>
      </c>
      <c r="O128" s="8">
        <f t="shared" si="8"/>
        <v>100</v>
      </c>
      <c r="P128" s="8">
        <f t="shared" si="9"/>
        <v>94</v>
      </c>
      <c r="Q128" s="8">
        <f t="shared" si="10"/>
        <v>94</v>
      </c>
      <c r="R128" s="8">
        <f t="shared" si="11"/>
        <v>92</v>
      </c>
      <c r="S128" s="8">
        <f t="shared" si="12"/>
        <v>91</v>
      </c>
      <c r="T128" s="11">
        <f t="shared" si="13"/>
        <v>471</v>
      </c>
      <c r="U128" s="11">
        <f t="shared" si="14"/>
        <v>94.2</v>
      </c>
    </row>
    <row r="129" spans="1:21">
      <c r="A129" s="2" t="s">
        <v>265</v>
      </c>
      <c r="B129" s="12" t="s">
        <v>623</v>
      </c>
      <c r="C129" s="2" t="s">
        <v>22</v>
      </c>
      <c r="D129" s="2">
        <v>95</v>
      </c>
      <c r="E129" s="2">
        <v>88</v>
      </c>
      <c r="F129" s="2"/>
      <c r="G129" s="2"/>
      <c r="H129" s="2"/>
      <c r="I129" s="2">
        <v>53</v>
      </c>
      <c r="J129" s="2">
        <v>73</v>
      </c>
      <c r="K129" s="2">
        <v>78</v>
      </c>
      <c r="L129" s="2">
        <v>96</v>
      </c>
      <c r="M129" s="2">
        <v>483</v>
      </c>
      <c r="N129" s="2">
        <v>80.5</v>
      </c>
      <c r="O129" s="8">
        <f t="shared" si="8"/>
        <v>96</v>
      </c>
      <c r="P129" s="8">
        <f t="shared" si="9"/>
        <v>95</v>
      </c>
      <c r="Q129" s="8">
        <f t="shared" si="10"/>
        <v>88</v>
      </c>
      <c r="R129" s="8">
        <f t="shared" si="11"/>
        <v>78</v>
      </c>
      <c r="S129" s="8">
        <f t="shared" si="12"/>
        <v>73</v>
      </c>
      <c r="T129" s="11">
        <f t="shared" si="13"/>
        <v>430</v>
      </c>
      <c r="U129" s="11">
        <f t="shared" si="14"/>
        <v>86</v>
      </c>
    </row>
    <row r="130" spans="1:21">
      <c r="A130" s="2" t="s">
        <v>267</v>
      </c>
      <c r="B130" s="12" t="s">
        <v>624</v>
      </c>
      <c r="C130" s="2" t="s">
        <v>22</v>
      </c>
      <c r="D130" s="2">
        <v>79</v>
      </c>
      <c r="E130" s="2">
        <v>74</v>
      </c>
      <c r="F130" s="2"/>
      <c r="G130" s="2"/>
      <c r="H130" s="2"/>
      <c r="I130" s="2">
        <v>66</v>
      </c>
      <c r="J130" s="2">
        <v>73</v>
      </c>
      <c r="K130" s="2">
        <v>55</v>
      </c>
      <c r="L130" s="2">
        <v>91</v>
      </c>
      <c r="M130" s="2">
        <v>438</v>
      </c>
      <c r="N130" s="2">
        <v>73</v>
      </c>
      <c r="O130" s="8">
        <f t="shared" si="8"/>
        <v>91</v>
      </c>
      <c r="P130" s="8">
        <f t="shared" si="9"/>
        <v>79</v>
      </c>
      <c r="Q130" s="8">
        <f t="shared" si="10"/>
        <v>74</v>
      </c>
      <c r="R130" s="8">
        <f t="shared" si="11"/>
        <v>73</v>
      </c>
      <c r="S130" s="8">
        <f t="shared" si="12"/>
        <v>66</v>
      </c>
      <c r="T130" s="11">
        <f t="shared" si="13"/>
        <v>383</v>
      </c>
      <c r="U130" s="11">
        <f t="shared" si="14"/>
        <v>76.599999999999994</v>
      </c>
    </row>
    <row r="131" spans="1:21">
      <c r="A131" s="2" t="s">
        <v>269</v>
      </c>
      <c r="B131" s="12" t="s">
        <v>625</v>
      </c>
      <c r="C131" s="2" t="s">
        <v>22</v>
      </c>
      <c r="D131" s="2">
        <v>77</v>
      </c>
      <c r="E131" s="2">
        <v>81</v>
      </c>
      <c r="F131" s="2"/>
      <c r="G131" s="2"/>
      <c r="H131" s="2"/>
      <c r="I131" s="2">
        <v>79</v>
      </c>
      <c r="J131" s="2">
        <v>64</v>
      </c>
      <c r="K131" s="2">
        <v>60</v>
      </c>
      <c r="L131" s="2">
        <v>90</v>
      </c>
      <c r="M131" s="2">
        <v>451</v>
      </c>
      <c r="N131" s="2">
        <v>75.17</v>
      </c>
      <c r="O131" s="8">
        <f t="shared" si="8"/>
        <v>90</v>
      </c>
      <c r="P131" s="8">
        <f t="shared" si="9"/>
        <v>81</v>
      </c>
      <c r="Q131" s="8">
        <f t="shared" si="10"/>
        <v>79</v>
      </c>
      <c r="R131" s="8">
        <f t="shared" si="11"/>
        <v>77</v>
      </c>
      <c r="S131" s="8">
        <f t="shared" si="12"/>
        <v>64</v>
      </c>
      <c r="T131" s="11">
        <f t="shared" si="13"/>
        <v>391</v>
      </c>
      <c r="U131" s="11">
        <f t="shared" si="14"/>
        <v>78.2</v>
      </c>
    </row>
    <row r="132" spans="1:21">
      <c r="A132" s="2" t="s">
        <v>271</v>
      </c>
      <c r="B132" s="13" t="s">
        <v>626</v>
      </c>
      <c r="C132" s="2" t="s">
        <v>22</v>
      </c>
      <c r="D132" s="2">
        <v>93</v>
      </c>
      <c r="E132" s="2">
        <v>90</v>
      </c>
      <c r="F132" s="2"/>
      <c r="G132" s="2"/>
      <c r="H132" s="2">
        <v>92</v>
      </c>
      <c r="I132" s="2">
        <v>92</v>
      </c>
      <c r="J132" s="2">
        <v>96</v>
      </c>
      <c r="K132" s="2"/>
      <c r="L132" s="2">
        <v>99</v>
      </c>
      <c r="M132" s="2">
        <v>562</v>
      </c>
      <c r="N132" s="2">
        <v>93.67</v>
      </c>
      <c r="O132" s="8">
        <f t="shared" si="8"/>
        <v>99</v>
      </c>
      <c r="P132" s="8">
        <f t="shared" si="9"/>
        <v>96</v>
      </c>
      <c r="Q132" s="8">
        <f t="shared" si="10"/>
        <v>93</v>
      </c>
      <c r="R132" s="8">
        <f t="shared" si="11"/>
        <v>92</v>
      </c>
      <c r="S132" s="8">
        <f t="shared" si="12"/>
        <v>92</v>
      </c>
      <c r="T132" s="11">
        <f t="shared" si="13"/>
        <v>472</v>
      </c>
      <c r="U132" s="11">
        <f t="shared" si="14"/>
        <v>94.4</v>
      </c>
    </row>
    <row r="133" spans="1:21">
      <c r="A133" s="2" t="s">
        <v>273</v>
      </c>
      <c r="B133" s="13" t="s">
        <v>627</v>
      </c>
      <c r="C133" s="2" t="s">
        <v>22</v>
      </c>
      <c r="D133" s="2">
        <v>93</v>
      </c>
      <c r="E133" s="2">
        <v>82</v>
      </c>
      <c r="F133" s="2"/>
      <c r="G133" s="2"/>
      <c r="H133" s="2">
        <v>89</v>
      </c>
      <c r="I133" s="2">
        <v>92</v>
      </c>
      <c r="J133" s="2">
        <v>91</v>
      </c>
      <c r="K133" s="2"/>
      <c r="L133" s="2">
        <v>100</v>
      </c>
      <c r="M133" s="2">
        <v>547</v>
      </c>
      <c r="N133" s="2">
        <v>91.17</v>
      </c>
      <c r="O133" s="8">
        <f t="shared" ref="O133:O196" si="15">LARGE(D133:L133,1)</f>
        <v>100</v>
      </c>
      <c r="P133" s="8">
        <f t="shared" ref="P133:P196" si="16">LARGE(D133:L133,2)</f>
        <v>93</v>
      </c>
      <c r="Q133" s="8">
        <f t="shared" ref="Q133:Q196" si="17">LARGE(D133:L133,3)</f>
        <v>92</v>
      </c>
      <c r="R133" s="8">
        <f t="shared" ref="R133:R196" si="18">LARGE(D133:L133,4)</f>
        <v>91</v>
      </c>
      <c r="S133" s="8">
        <f t="shared" ref="S133:S196" si="19">LARGE(D133:L133,5)</f>
        <v>89</v>
      </c>
      <c r="T133" s="11">
        <f t="shared" ref="T133:T196" si="20">SUM(LARGE(D133:L133, 1), LARGE(D133:L133, 2), LARGE(D133:L133, 3), LARGE(D133:L133, 4), LARGE(D133:L133, 5))</f>
        <v>465</v>
      </c>
      <c r="U133" s="11">
        <f t="shared" ref="U133:U196" si="21">T133/5</f>
        <v>93</v>
      </c>
    </row>
    <row r="134" spans="1:21">
      <c r="A134" s="2" t="s">
        <v>275</v>
      </c>
      <c r="B134" s="13" t="s">
        <v>628</v>
      </c>
      <c r="C134" s="2" t="s">
        <v>22</v>
      </c>
      <c r="D134" s="2">
        <v>81</v>
      </c>
      <c r="E134" s="2">
        <v>86</v>
      </c>
      <c r="F134" s="2"/>
      <c r="G134" s="2"/>
      <c r="H134" s="2"/>
      <c r="I134" s="2">
        <v>80</v>
      </c>
      <c r="J134" s="2">
        <v>88</v>
      </c>
      <c r="K134" s="2">
        <v>94</v>
      </c>
      <c r="L134" s="2">
        <v>95</v>
      </c>
      <c r="M134" s="2">
        <v>524</v>
      </c>
      <c r="N134" s="2">
        <v>87.33</v>
      </c>
      <c r="O134" s="8">
        <f t="shared" si="15"/>
        <v>95</v>
      </c>
      <c r="P134" s="8">
        <f t="shared" si="16"/>
        <v>94</v>
      </c>
      <c r="Q134" s="8">
        <f t="shared" si="17"/>
        <v>88</v>
      </c>
      <c r="R134" s="8">
        <f t="shared" si="18"/>
        <v>86</v>
      </c>
      <c r="S134" s="8">
        <f t="shared" si="19"/>
        <v>81</v>
      </c>
      <c r="T134" s="11">
        <f t="shared" si="20"/>
        <v>444</v>
      </c>
      <c r="U134" s="11">
        <f t="shared" si="21"/>
        <v>88.8</v>
      </c>
    </row>
    <row r="135" spans="1:21">
      <c r="A135" s="2" t="s">
        <v>277</v>
      </c>
      <c r="B135" s="12" t="s">
        <v>629</v>
      </c>
      <c r="C135" s="2" t="s">
        <v>22</v>
      </c>
      <c r="D135" s="2">
        <v>98</v>
      </c>
      <c r="E135" s="2"/>
      <c r="F135" s="2"/>
      <c r="G135" s="2">
        <v>96</v>
      </c>
      <c r="H135" s="2">
        <v>79</v>
      </c>
      <c r="I135" s="2">
        <v>86</v>
      </c>
      <c r="J135" s="2">
        <v>96</v>
      </c>
      <c r="K135" s="2"/>
      <c r="L135" s="2">
        <v>99</v>
      </c>
      <c r="M135" s="2">
        <v>554</v>
      </c>
      <c r="N135" s="2">
        <v>92.33</v>
      </c>
      <c r="O135" s="8">
        <f t="shared" si="15"/>
        <v>99</v>
      </c>
      <c r="P135" s="8">
        <f t="shared" si="16"/>
        <v>98</v>
      </c>
      <c r="Q135" s="8">
        <f t="shared" si="17"/>
        <v>96</v>
      </c>
      <c r="R135" s="8">
        <f t="shared" si="18"/>
        <v>96</v>
      </c>
      <c r="S135" s="8">
        <f t="shared" si="19"/>
        <v>86</v>
      </c>
      <c r="T135" s="11">
        <f t="shared" si="20"/>
        <v>475</v>
      </c>
      <c r="U135" s="11">
        <f t="shared" si="21"/>
        <v>95</v>
      </c>
    </row>
    <row r="136" spans="1:21">
      <c r="A136" s="2" t="s">
        <v>279</v>
      </c>
      <c r="B136" s="13" t="s">
        <v>630</v>
      </c>
      <c r="C136" s="2" t="s">
        <v>17</v>
      </c>
      <c r="D136" s="2">
        <v>92</v>
      </c>
      <c r="E136" s="2"/>
      <c r="F136" s="2"/>
      <c r="G136" s="2">
        <v>94</v>
      </c>
      <c r="H136" s="2">
        <v>82</v>
      </c>
      <c r="I136" s="2">
        <v>91</v>
      </c>
      <c r="J136" s="2">
        <v>93</v>
      </c>
      <c r="K136" s="2"/>
      <c r="L136" s="2">
        <v>100</v>
      </c>
      <c r="M136" s="2">
        <v>552</v>
      </c>
      <c r="N136" s="2">
        <v>92</v>
      </c>
      <c r="O136" s="8">
        <f t="shared" si="15"/>
        <v>100</v>
      </c>
      <c r="P136" s="8">
        <f t="shared" si="16"/>
        <v>94</v>
      </c>
      <c r="Q136" s="8">
        <f t="shared" si="17"/>
        <v>93</v>
      </c>
      <c r="R136" s="8">
        <f t="shared" si="18"/>
        <v>92</v>
      </c>
      <c r="S136" s="8">
        <f t="shared" si="19"/>
        <v>91</v>
      </c>
      <c r="T136" s="11">
        <f t="shared" si="20"/>
        <v>470</v>
      </c>
      <c r="U136" s="11">
        <f t="shared" si="21"/>
        <v>94</v>
      </c>
    </row>
    <row r="137" spans="1:21">
      <c r="A137" s="2" t="s">
        <v>281</v>
      </c>
      <c r="B137" s="13" t="s">
        <v>631</v>
      </c>
      <c r="C137" s="2" t="s">
        <v>22</v>
      </c>
      <c r="D137" s="2">
        <v>94</v>
      </c>
      <c r="E137" s="2">
        <v>84</v>
      </c>
      <c r="F137" s="2"/>
      <c r="G137" s="2"/>
      <c r="H137" s="2"/>
      <c r="I137" s="2">
        <v>96</v>
      </c>
      <c r="J137" s="2">
        <v>86</v>
      </c>
      <c r="K137" s="2">
        <v>86</v>
      </c>
      <c r="L137" s="2">
        <v>98</v>
      </c>
      <c r="M137" s="2">
        <v>544</v>
      </c>
      <c r="N137" s="2">
        <v>90.67</v>
      </c>
      <c r="O137" s="8">
        <f t="shared" si="15"/>
        <v>98</v>
      </c>
      <c r="P137" s="8">
        <f t="shared" si="16"/>
        <v>96</v>
      </c>
      <c r="Q137" s="8">
        <f t="shared" si="17"/>
        <v>94</v>
      </c>
      <c r="R137" s="8">
        <f t="shared" si="18"/>
        <v>86</v>
      </c>
      <c r="S137" s="8">
        <f t="shared" si="19"/>
        <v>86</v>
      </c>
      <c r="T137" s="11">
        <f t="shared" si="20"/>
        <v>460</v>
      </c>
      <c r="U137" s="11">
        <f t="shared" si="21"/>
        <v>92</v>
      </c>
    </row>
    <row r="138" spans="1:21">
      <c r="A138" s="2" t="s">
        <v>283</v>
      </c>
      <c r="B138" s="13" t="s">
        <v>632</v>
      </c>
      <c r="C138" s="2" t="s">
        <v>17</v>
      </c>
      <c r="D138" s="2">
        <v>98</v>
      </c>
      <c r="E138" s="2"/>
      <c r="F138" s="2"/>
      <c r="G138" s="2">
        <v>100</v>
      </c>
      <c r="H138" s="2">
        <v>82</v>
      </c>
      <c r="I138" s="2">
        <v>94</v>
      </c>
      <c r="J138" s="2">
        <v>98</v>
      </c>
      <c r="K138" s="2"/>
      <c r="L138" s="2">
        <v>100</v>
      </c>
      <c r="M138" s="2">
        <v>572</v>
      </c>
      <c r="N138" s="2">
        <v>95.33</v>
      </c>
      <c r="O138" s="8">
        <f t="shared" si="15"/>
        <v>100</v>
      </c>
      <c r="P138" s="8">
        <f t="shared" si="16"/>
        <v>100</v>
      </c>
      <c r="Q138" s="8">
        <f t="shared" si="17"/>
        <v>98</v>
      </c>
      <c r="R138" s="8">
        <f t="shared" si="18"/>
        <v>98</v>
      </c>
      <c r="S138" s="8">
        <f t="shared" si="19"/>
        <v>94</v>
      </c>
      <c r="T138" s="11">
        <f t="shared" si="20"/>
        <v>490</v>
      </c>
      <c r="U138" s="11">
        <f t="shared" si="21"/>
        <v>98</v>
      </c>
    </row>
    <row r="139" spans="1:21">
      <c r="A139" s="2" t="s">
        <v>285</v>
      </c>
      <c r="B139" s="13" t="s">
        <v>633</v>
      </c>
      <c r="C139" s="2" t="s">
        <v>17</v>
      </c>
      <c r="D139" s="2">
        <v>88</v>
      </c>
      <c r="E139" s="2"/>
      <c r="F139" s="2"/>
      <c r="G139" s="2">
        <v>95</v>
      </c>
      <c r="H139" s="2">
        <v>84</v>
      </c>
      <c r="I139" s="2">
        <v>98</v>
      </c>
      <c r="J139" s="2">
        <v>97</v>
      </c>
      <c r="K139" s="2"/>
      <c r="L139" s="2">
        <v>100</v>
      </c>
      <c r="M139" s="2">
        <v>562</v>
      </c>
      <c r="N139" s="2">
        <v>93.67</v>
      </c>
      <c r="O139" s="8">
        <f t="shared" si="15"/>
        <v>100</v>
      </c>
      <c r="P139" s="8">
        <f t="shared" si="16"/>
        <v>98</v>
      </c>
      <c r="Q139" s="8">
        <f t="shared" si="17"/>
        <v>97</v>
      </c>
      <c r="R139" s="8">
        <f t="shared" si="18"/>
        <v>95</v>
      </c>
      <c r="S139" s="8">
        <f t="shared" si="19"/>
        <v>88</v>
      </c>
      <c r="T139" s="11">
        <f t="shared" si="20"/>
        <v>478</v>
      </c>
      <c r="U139" s="11">
        <f t="shared" si="21"/>
        <v>95.6</v>
      </c>
    </row>
    <row r="140" spans="1:21">
      <c r="A140" s="2" t="s">
        <v>287</v>
      </c>
      <c r="B140" s="13" t="s">
        <v>634</v>
      </c>
      <c r="C140" s="2" t="s">
        <v>17</v>
      </c>
      <c r="D140" s="2">
        <v>98</v>
      </c>
      <c r="E140" s="2"/>
      <c r="F140" s="2">
        <v>98</v>
      </c>
      <c r="G140" s="2"/>
      <c r="H140" s="2">
        <v>83</v>
      </c>
      <c r="I140" s="2">
        <v>98</v>
      </c>
      <c r="J140" s="2">
        <v>96</v>
      </c>
      <c r="K140" s="2"/>
      <c r="L140" s="2">
        <v>100</v>
      </c>
      <c r="M140" s="2">
        <v>573</v>
      </c>
      <c r="N140" s="2">
        <v>95.5</v>
      </c>
      <c r="O140" s="8">
        <f t="shared" si="15"/>
        <v>100</v>
      </c>
      <c r="P140" s="8">
        <f t="shared" si="16"/>
        <v>98</v>
      </c>
      <c r="Q140" s="8">
        <f t="shared" si="17"/>
        <v>98</v>
      </c>
      <c r="R140" s="8">
        <f t="shared" si="18"/>
        <v>98</v>
      </c>
      <c r="S140" s="8">
        <f t="shared" si="19"/>
        <v>96</v>
      </c>
      <c r="T140" s="11">
        <f t="shared" si="20"/>
        <v>490</v>
      </c>
      <c r="U140" s="11">
        <f t="shared" si="21"/>
        <v>98</v>
      </c>
    </row>
    <row r="141" spans="1:21">
      <c r="A141" s="2" t="s">
        <v>289</v>
      </c>
      <c r="B141" s="12" t="s">
        <v>635</v>
      </c>
      <c r="C141" s="2" t="s">
        <v>17</v>
      </c>
      <c r="D141" s="2">
        <v>93</v>
      </c>
      <c r="E141" s="2"/>
      <c r="F141" s="2">
        <v>98</v>
      </c>
      <c r="G141" s="2"/>
      <c r="H141" s="2">
        <v>62</v>
      </c>
      <c r="I141" s="2">
        <v>90</v>
      </c>
      <c r="J141" s="2">
        <v>90</v>
      </c>
      <c r="K141" s="2"/>
      <c r="L141" s="2">
        <v>95</v>
      </c>
      <c r="M141" s="2">
        <v>528</v>
      </c>
      <c r="N141" s="2">
        <v>88</v>
      </c>
      <c r="O141" s="8">
        <f t="shared" si="15"/>
        <v>98</v>
      </c>
      <c r="P141" s="8">
        <f t="shared" si="16"/>
        <v>95</v>
      </c>
      <c r="Q141" s="8">
        <f t="shared" si="17"/>
        <v>93</v>
      </c>
      <c r="R141" s="8">
        <f t="shared" si="18"/>
        <v>90</v>
      </c>
      <c r="S141" s="8">
        <f t="shared" si="19"/>
        <v>90</v>
      </c>
      <c r="T141" s="11">
        <f t="shared" si="20"/>
        <v>466</v>
      </c>
      <c r="U141" s="11">
        <f t="shared" si="21"/>
        <v>93.2</v>
      </c>
    </row>
    <row r="142" spans="1:21">
      <c r="A142" s="2" t="s">
        <v>291</v>
      </c>
      <c r="B142" s="13" t="s">
        <v>636</v>
      </c>
      <c r="C142" s="2" t="s">
        <v>17</v>
      </c>
      <c r="D142" s="2">
        <v>79</v>
      </c>
      <c r="E142" s="2">
        <v>80</v>
      </c>
      <c r="F142" s="2"/>
      <c r="G142" s="2"/>
      <c r="H142" s="2"/>
      <c r="I142" s="2">
        <v>62</v>
      </c>
      <c r="J142" s="2">
        <v>79</v>
      </c>
      <c r="K142" s="2">
        <v>53</v>
      </c>
      <c r="L142" s="2">
        <v>96</v>
      </c>
      <c r="M142" s="2">
        <v>449</v>
      </c>
      <c r="N142" s="2">
        <v>74.83</v>
      </c>
      <c r="O142" s="8">
        <f t="shared" si="15"/>
        <v>96</v>
      </c>
      <c r="P142" s="8">
        <f t="shared" si="16"/>
        <v>80</v>
      </c>
      <c r="Q142" s="8">
        <f t="shared" si="17"/>
        <v>79</v>
      </c>
      <c r="R142" s="8">
        <f t="shared" si="18"/>
        <v>79</v>
      </c>
      <c r="S142" s="8">
        <f t="shared" si="19"/>
        <v>62</v>
      </c>
      <c r="T142" s="11">
        <f t="shared" si="20"/>
        <v>396</v>
      </c>
      <c r="U142" s="11">
        <f t="shared" si="21"/>
        <v>79.2</v>
      </c>
    </row>
    <row r="143" spans="1:21">
      <c r="A143" s="2" t="s">
        <v>293</v>
      </c>
      <c r="B143" s="12" t="s">
        <v>637</v>
      </c>
      <c r="C143" s="2" t="s">
        <v>22</v>
      </c>
      <c r="D143" s="2">
        <v>87</v>
      </c>
      <c r="E143" s="2">
        <v>89</v>
      </c>
      <c r="F143" s="2"/>
      <c r="G143" s="2"/>
      <c r="H143" s="2"/>
      <c r="I143" s="2">
        <v>90</v>
      </c>
      <c r="J143" s="2">
        <v>79</v>
      </c>
      <c r="K143" s="2">
        <v>75</v>
      </c>
      <c r="L143" s="2">
        <v>90</v>
      </c>
      <c r="M143" s="2">
        <v>510</v>
      </c>
      <c r="N143" s="2">
        <v>85</v>
      </c>
      <c r="O143" s="8">
        <f t="shared" si="15"/>
        <v>90</v>
      </c>
      <c r="P143" s="8">
        <f t="shared" si="16"/>
        <v>90</v>
      </c>
      <c r="Q143" s="8">
        <f t="shared" si="17"/>
        <v>89</v>
      </c>
      <c r="R143" s="8">
        <f t="shared" si="18"/>
        <v>87</v>
      </c>
      <c r="S143" s="8">
        <f t="shared" si="19"/>
        <v>79</v>
      </c>
      <c r="T143" s="11">
        <f t="shared" si="20"/>
        <v>435</v>
      </c>
      <c r="U143" s="11">
        <f t="shared" si="21"/>
        <v>87</v>
      </c>
    </row>
    <row r="144" spans="1:21">
      <c r="A144" s="2" t="s">
        <v>295</v>
      </c>
      <c r="B144" s="13" t="s">
        <v>638</v>
      </c>
      <c r="C144" s="2" t="s">
        <v>17</v>
      </c>
      <c r="D144" s="2">
        <v>95</v>
      </c>
      <c r="E144" s="2">
        <v>87</v>
      </c>
      <c r="F144" s="2"/>
      <c r="G144" s="2"/>
      <c r="H144" s="2"/>
      <c r="I144" s="2">
        <v>65</v>
      </c>
      <c r="J144" s="2">
        <v>73</v>
      </c>
      <c r="K144" s="2">
        <v>52</v>
      </c>
      <c r="L144" s="2">
        <v>93</v>
      </c>
      <c r="M144" s="2">
        <v>465</v>
      </c>
      <c r="N144" s="2">
        <v>77.5</v>
      </c>
      <c r="O144" s="8">
        <f t="shared" si="15"/>
        <v>95</v>
      </c>
      <c r="P144" s="8">
        <f t="shared" si="16"/>
        <v>93</v>
      </c>
      <c r="Q144" s="8">
        <f t="shared" si="17"/>
        <v>87</v>
      </c>
      <c r="R144" s="8">
        <f t="shared" si="18"/>
        <v>73</v>
      </c>
      <c r="S144" s="8">
        <f t="shared" si="19"/>
        <v>65</v>
      </c>
      <c r="T144" s="11">
        <f t="shared" si="20"/>
        <v>413</v>
      </c>
      <c r="U144" s="11">
        <f t="shared" si="21"/>
        <v>82.6</v>
      </c>
    </row>
    <row r="145" spans="1:21">
      <c r="A145" s="2" t="s">
        <v>297</v>
      </c>
      <c r="B145" s="12" t="s">
        <v>639</v>
      </c>
      <c r="C145" s="2" t="s">
        <v>22</v>
      </c>
      <c r="D145" s="2">
        <v>93</v>
      </c>
      <c r="E145" s="2"/>
      <c r="F145" s="2">
        <v>96</v>
      </c>
      <c r="G145" s="2"/>
      <c r="H145" s="2">
        <v>95</v>
      </c>
      <c r="I145" s="2">
        <v>98</v>
      </c>
      <c r="J145" s="2">
        <v>96</v>
      </c>
      <c r="K145" s="2"/>
      <c r="L145" s="2">
        <v>100</v>
      </c>
      <c r="M145" s="2">
        <v>578</v>
      </c>
      <c r="N145" s="2">
        <v>96.33</v>
      </c>
      <c r="O145" s="8">
        <f t="shared" si="15"/>
        <v>100</v>
      </c>
      <c r="P145" s="8">
        <f t="shared" si="16"/>
        <v>98</v>
      </c>
      <c r="Q145" s="8">
        <f t="shared" si="17"/>
        <v>96</v>
      </c>
      <c r="R145" s="8">
        <f t="shared" si="18"/>
        <v>96</v>
      </c>
      <c r="S145" s="8">
        <f t="shared" si="19"/>
        <v>95</v>
      </c>
      <c r="T145" s="11">
        <f t="shared" si="20"/>
        <v>485</v>
      </c>
      <c r="U145" s="11">
        <f t="shared" si="21"/>
        <v>97</v>
      </c>
    </row>
    <row r="146" spans="1:21">
      <c r="A146" s="2" t="s">
        <v>299</v>
      </c>
      <c r="B146" s="13" t="s">
        <v>640</v>
      </c>
      <c r="C146" s="2" t="s">
        <v>22</v>
      </c>
      <c r="D146" s="2">
        <v>85</v>
      </c>
      <c r="E146" s="2">
        <v>76</v>
      </c>
      <c r="F146" s="2"/>
      <c r="G146" s="2"/>
      <c r="H146" s="2">
        <v>94</v>
      </c>
      <c r="I146" s="2">
        <v>95</v>
      </c>
      <c r="J146" s="2">
        <v>85</v>
      </c>
      <c r="K146" s="2"/>
      <c r="L146" s="2">
        <v>97</v>
      </c>
      <c r="M146" s="2">
        <v>532</v>
      </c>
      <c r="N146" s="2">
        <v>88.67</v>
      </c>
      <c r="O146" s="8">
        <f t="shared" si="15"/>
        <v>97</v>
      </c>
      <c r="P146" s="8">
        <f t="shared" si="16"/>
        <v>95</v>
      </c>
      <c r="Q146" s="8">
        <f t="shared" si="17"/>
        <v>94</v>
      </c>
      <c r="R146" s="8">
        <f t="shared" si="18"/>
        <v>85</v>
      </c>
      <c r="S146" s="8">
        <f t="shared" si="19"/>
        <v>85</v>
      </c>
      <c r="T146" s="11">
        <f t="shared" si="20"/>
        <v>456</v>
      </c>
      <c r="U146" s="11">
        <f t="shared" si="21"/>
        <v>91.2</v>
      </c>
    </row>
    <row r="147" spans="1:21">
      <c r="A147" s="2" t="s">
        <v>301</v>
      </c>
      <c r="B147" s="13" t="s">
        <v>641</v>
      </c>
      <c r="C147" s="2" t="s">
        <v>22</v>
      </c>
      <c r="D147" s="2">
        <v>98</v>
      </c>
      <c r="E147" s="2"/>
      <c r="F147" s="2">
        <v>90</v>
      </c>
      <c r="G147" s="2"/>
      <c r="H147" s="2">
        <v>89</v>
      </c>
      <c r="I147" s="2">
        <v>79</v>
      </c>
      <c r="J147" s="2">
        <v>82</v>
      </c>
      <c r="K147" s="2"/>
      <c r="L147" s="2">
        <v>99</v>
      </c>
      <c r="M147" s="2">
        <v>537</v>
      </c>
      <c r="N147" s="2">
        <v>89.5</v>
      </c>
      <c r="O147" s="8">
        <f t="shared" si="15"/>
        <v>99</v>
      </c>
      <c r="P147" s="8">
        <f t="shared" si="16"/>
        <v>98</v>
      </c>
      <c r="Q147" s="8">
        <f t="shared" si="17"/>
        <v>90</v>
      </c>
      <c r="R147" s="8">
        <f t="shared" si="18"/>
        <v>89</v>
      </c>
      <c r="S147" s="8">
        <f t="shared" si="19"/>
        <v>82</v>
      </c>
      <c r="T147" s="11">
        <f t="shared" si="20"/>
        <v>458</v>
      </c>
      <c r="U147" s="11">
        <f t="shared" si="21"/>
        <v>91.6</v>
      </c>
    </row>
    <row r="148" spans="1:21">
      <c r="A148" s="2" t="s">
        <v>303</v>
      </c>
      <c r="B148" s="12" t="s">
        <v>642</v>
      </c>
      <c r="C148" s="2" t="s">
        <v>22</v>
      </c>
      <c r="D148" s="2">
        <v>85</v>
      </c>
      <c r="E148" s="2"/>
      <c r="F148" s="2">
        <v>88</v>
      </c>
      <c r="G148" s="2"/>
      <c r="H148" s="2">
        <v>75</v>
      </c>
      <c r="I148" s="2">
        <v>90</v>
      </c>
      <c r="J148" s="2">
        <v>90</v>
      </c>
      <c r="K148" s="2"/>
      <c r="L148" s="2">
        <v>96</v>
      </c>
      <c r="M148" s="2">
        <v>524</v>
      </c>
      <c r="N148" s="2">
        <v>87.33</v>
      </c>
      <c r="O148" s="8">
        <f t="shared" si="15"/>
        <v>96</v>
      </c>
      <c r="P148" s="8">
        <f t="shared" si="16"/>
        <v>90</v>
      </c>
      <c r="Q148" s="8">
        <f t="shared" si="17"/>
        <v>90</v>
      </c>
      <c r="R148" s="8">
        <f t="shared" si="18"/>
        <v>88</v>
      </c>
      <c r="S148" s="8">
        <f t="shared" si="19"/>
        <v>85</v>
      </c>
      <c r="T148" s="11">
        <f t="shared" si="20"/>
        <v>449</v>
      </c>
      <c r="U148" s="11">
        <f t="shared" si="21"/>
        <v>89.8</v>
      </c>
    </row>
    <row r="149" spans="1:21">
      <c r="A149" s="2" t="s">
        <v>305</v>
      </c>
      <c r="B149" s="13" t="s">
        <v>643</v>
      </c>
      <c r="C149" s="2" t="s">
        <v>22</v>
      </c>
      <c r="D149" s="2">
        <v>96</v>
      </c>
      <c r="E149" s="2">
        <v>93</v>
      </c>
      <c r="F149" s="2"/>
      <c r="G149" s="2"/>
      <c r="H149" s="2">
        <v>95</v>
      </c>
      <c r="I149" s="2">
        <v>98</v>
      </c>
      <c r="J149" s="2">
        <v>94</v>
      </c>
      <c r="K149" s="2"/>
      <c r="L149" s="2">
        <v>97</v>
      </c>
      <c r="M149" s="2">
        <v>573</v>
      </c>
      <c r="N149" s="2">
        <v>95.5</v>
      </c>
      <c r="O149" s="8">
        <f t="shared" si="15"/>
        <v>98</v>
      </c>
      <c r="P149" s="8">
        <f t="shared" si="16"/>
        <v>97</v>
      </c>
      <c r="Q149" s="8">
        <f t="shared" si="17"/>
        <v>96</v>
      </c>
      <c r="R149" s="8">
        <f t="shared" si="18"/>
        <v>95</v>
      </c>
      <c r="S149" s="8">
        <f t="shared" si="19"/>
        <v>94</v>
      </c>
      <c r="T149" s="11">
        <f t="shared" si="20"/>
        <v>480</v>
      </c>
      <c r="U149" s="11">
        <f t="shared" si="21"/>
        <v>96</v>
      </c>
    </row>
    <row r="150" spans="1:21">
      <c r="A150" s="2" t="s">
        <v>307</v>
      </c>
      <c r="B150" s="12" t="s">
        <v>644</v>
      </c>
      <c r="C150" s="2" t="s">
        <v>17</v>
      </c>
      <c r="D150" s="2">
        <v>94</v>
      </c>
      <c r="E150" s="2"/>
      <c r="F150" s="2"/>
      <c r="G150" s="2">
        <v>61</v>
      </c>
      <c r="H150" s="2"/>
      <c r="I150" s="2">
        <v>60</v>
      </c>
      <c r="J150" s="2">
        <v>67</v>
      </c>
      <c r="K150" s="2">
        <v>60</v>
      </c>
      <c r="L150" s="2">
        <v>89</v>
      </c>
      <c r="M150" s="2">
        <v>431</v>
      </c>
      <c r="N150" s="2">
        <v>71.83</v>
      </c>
      <c r="O150" s="8">
        <f t="shared" si="15"/>
        <v>94</v>
      </c>
      <c r="P150" s="8">
        <f t="shared" si="16"/>
        <v>89</v>
      </c>
      <c r="Q150" s="8">
        <f t="shared" si="17"/>
        <v>67</v>
      </c>
      <c r="R150" s="8">
        <f t="shared" si="18"/>
        <v>61</v>
      </c>
      <c r="S150" s="8">
        <f t="shared" si="19"/>
        <v>60</v>
      </c>
      <c r="T150" s="11">
        <f t="shared" si="20"/>
        <v>371</v>
      </c>
      <c r="U150" s="11">
        <f t="shared" si="21"/>
        <v>74.2</v>
      </c>
    </row>
    <row r="151" spans="1:21">
      <c r="A151" s="2" t="s">
        <v>309</v>
      </c>
      <c r="B151" s="12" t="s">
        <v>645</v>
      </c>
      <c r="C151" s="2" t="s">
        <v>17</v>
      </c>
      <c r="D151" s="2">
        <v>85</v>
      </c>
      <c r="E151" s="2"/>
      <c r="F151" s="2">
        <v>89</v>
      </c>
      <c r="G151" s="2"/>
      <c r="H151" s="2">
        <v>80</v>
      </c>
      <c r="I151" s="2">
        <v>89</v>
      </c>
      <c r="J151" s="2">
        <v>92</v>
      </c>
      <c r="K151" s="2"/>
      <c r="L151" s="2">
        <v>96</v>
      </c>
      <c r="M151" s="2">
        <v>531</v>
      </c>
      <c r="N151" s="2">
        <v>88.5</v>
      </c>
      <c r="O151" s="8">
        <f t="shared" si="15"/>
        <v>96</v>
      </c>
      <c r="P151" s="8">
        <f t="shared" si="16"/>
        <v>92</v>
      </c>
      <c r="Q151" s="8">
        <f t="shared" si="17"/>
        <v>89</v>
      </c>
      <c r="R151" s="8">
        <f t="shared" si="18"/>
        <v>89</v>
      </c>
      <c r="S151" s="8">
        <f t="shared" si="19"/>
        <v>85</v>
      </c>
      <c r="T151" s="11">
        <f t="shared" si="20"/>
        <v>451</v>
      </c>
      <c r="U151" s="11">
        <f t="shared" si="21"/>
        <v>90.2</v>
      </c>
    </row>
    <row r="152" spans="1:21">
      <c r="A152" s="2" t="s">
        <v>311</v>
      </c>
      <c r="B152" s="13" t="s">
        <v>646</v>
      </c>
      <c r="C152" s="2" t="s">
        <v>22</v>
      </c>
      <c r="D152" s="2">
        <v>91</v>
      </c>
      <c r="E152" s="2">
        <v>91</v>
      </c>
      <c r="F152" s="2"/>
      <c r="G152" s="2"/>
      <c r="H152" s="2"/>
      <c r="I152" s="2">
        <v>91</v>
      </c>
      <c r="J152" s="2">
        <v>98</v>
      </c>
      <c r="K152" s="2">
        <v>97</v>
      </c>
      <c r="L152" s="2">
        <v>92</v>
      </c>
      <c r="M152" s="2">
        <v>560</v>
      </c>
      <c r="N152" s="2">
        <v>93.33</v>
      </c>
      <c r="O152" s="8">
        <f t="shared" si="15"/>
        <v>98</v>
      </c>
      <c r="P152" s="8">
        <f t="shared" si="16"/>
        <v>97</v>
      </c>
      <c r="Q152" s="8">
        <f t="shared" si="17"/>
        <v>92</v>
      </c>
      <c r="R152" s="8">
        <f t="shared" si="18"/>
        <v>91</v>
      </c>
      <c r="S152" s="8">
        <f t="shared" si="19"/>
        <v>91</v>
      </c>
      <c r="T152" s="11">
        <f t="shared" si="20"/>
        <v>469</v>
      </c>
      <c r="U152" s="11">
        <f t="shared" si="21"/>
        <v>93.8</v>
      </c>
    </row>
    <row r="153" spans="1:21">
      <c r="A153" s="2" t="s">
        <v>313</v>
      </c>
      <c r="B153" s="12" t="s">
        <v>647</v>
      </c>
      <c r="C153" s="2" t="s">
        <v>22</v>
      </c>
      <c r="D153" s="2">
        <v>88</v>
      </c>
      <c r="E153" s="2">
        <v>85</v>
      </c>
      <c r="F153" s="2"/>
      <c r="G153" s="2"/>
      <c r="H153" s="2"/>
      <c r="I153" s="2">
        <v>69</v>
      </c>
      <c r="J153" s="2">
        <v>78</v>
      </c>
      <c r="K153" s="2">
        <v>85</v>
      </c>
      <c r="L153" s="2">
        <v>95</v>
      </c>
      <c r="M153" s="2">
        <v>500</v>
      </c>
      <c r="N153" s="2">
        <v>83.33</v>
      </c>
      <c r="O153" s="8">
        <f t="shared" si="15"/>
        <v>95</v>
      </c>
      <c r="P153" s="8">
        <f t="shared" si="16"/>
        <v>88</v>
      </c>
      <c r="Q153" s="8">
        <f t="shared" si="17"/>
        <v>85</v>
      </c>
      <c r="R153" s="8">
        <f t="shared" si="18"/>
        <v>85</v>
      </c>
      <c r="S153" s="8">
        <f t="shared" si="19"/>
        <v>78</v>
      </c>
      <c r="T153" s="11">
        <f t="shared" si="20"/>
        <v>431</v>
      </c>
      <c r="U153" s="11">
        <f t="shared" si="21"/>
        <v>86.2</v>
      </c>
    </row>
    <row r="154" spans="1:21">
      <c r="A154" s="2" t="s">
        <v>315</v>
      </c>
      <c r="B154" s="13" t="s">
        <v>648</v>
      </c>
      <c r="C154" s="2" t="s">
        <v>17</v>
      </c>
      <c r="D154" s="2">
        <v>80</v>
      </c>
      <c r="E154" s="2"/>
      <c r="F154" s="2"/>
      <c r="G154" s="2">
        <v>92</v>
      </c>
      <c r="H154" s="2"/>
      <c r="I154" s="2">
        <v>93</v>
      </c>
      <c r="J154" s="2">
        <v>95</v>
      </c>
      <c r="K154" s="2">
        <v>92</v>
      </c>
      <c r="L154" s="2">
        <v>97</v>
      </c>
      <c r="M154" s="2">
        <v>549</v>
      </c>
      <c r="N154" s="2">
        <v>91.5</v>
      </c>
      <c r="O154" s="8">
        <f t="shared" si="15"/>
        <v>97</v>
      </c>
      <c r="P154" s="8">
        <f t="shared" si="16"/>
        <v>95</v>
      </c>
      <c r="Q154" s="8">
        <f t="shared" si="17"/>
        <v>93</v>
      </c>
      <c r="R154" s="8">
        <f t="shared" si="18"/>
        <v>92</v>
      </c>
      <c r="S154" s="8">
        <f t="shared" si="19"/>
        <v>92</v>
      </c>
      <c r="T154" s="11">
        <f t="shared" si="20"/>
        <v>469</v>
      </c>
      <c r="U154" s="11">
        <f t="shared" si="21"/>
        <v>93.8</v>
      </c>
    </row>
    <row r="155" spans="1:21">
      <c r="A155" s="2" t="s">
        <v>317</v>
      </c>
      <c r="B155" s="13" t="s">
        <v>649</v>
      </c>
      <c r="C155" s="2" t="s">
        <v>17</v>
      </c>
      <c r="D155" s="2">
        <v>98</v>
      </c>
      <c r="E155" s="2"/>
      <c r="F155" s="2">
        <v>100</v>
      </c>
      <c r="G155" s="2"/>
      <c r="H155" s="2"/>
      <c r="I155" s="2">
        <v>93</v>
      </c>
      <c r="J155" s="2">
        <v>94</v>
      </c>
      <c r="K155" s="2">
        <v>88</v>
      </c>
      <c r="L155" s="2">
        <v>99</v>
      </c>
      <c r="M155" s="2">
        <v>572</v>
      </c>
      <c r="N155" s="2">
        <v>95.33</v>
      </c>
      <c r="O155" s="8">
        <f t="shared" si="15"/>
        <v>100</v>
      </c>
      <c r="P155" s="8">
        <f t="shared" si="16"/>
        <v>99</v>
      </c>
      <c r="Q155" s="8">
        <f t="shared" si="17"/>
        <v>98</v>
      </c>
      <c r="R155" s="8">
        <f t="shared" si="18"/>
        <v>94</v>
      </c>
      <c r="S155" s="8">
        <f t="shared" si="19"/>
        <v>93</v>
      </c>
      <c r="T155" s="11">
        <f t="shared" si="20"/>
        <v>484</v>
      </c>
      <c r="U155" s="11">
        <f t="shared" si="21"/>
        <v>96.8</v>
      </c>
    </row>
    <row r="156" spans="1:21">
      <c r="A156" s="2" t="s">
        <v>319</v>
      </c>
      <c r="B156" s="12" t="s">
        <v>650</v>
      </c>
      <c r="C156" s="2" t="s">
        <v>17</v>
      </c>
      <c r="D156" s="2">
        <v>92</v>
      </c>
      <c r="E156" s="2"/>
      <c r="F156" s="2"/>
      <c r="G156" s="2">
        <v>74</v>
      </c>
      <c r="H156" s="2"/>
      <c r="I156" s="2">
        <v>72</v>
      </c>
      <c r="J156" s="2">
        <v>83</v>
      </c>
      <c r="K156" s="2">
        <v>83</v>
      </c>
      <c r="L156" s="2">
        <v>94</v>
      </c>
      <c r="M156" s="2">
        <v>498</v>
      </c>
      <c r="N156" s="2">
        <v>83</v>
      </c>
      <c r="O156" s="8">
        <f t="shared" si="15"/>
        <v>94</v>
      </c>
      <c r="P156" s="8">
        <f t="shared" si="16"/>
        <v>92</v>
      </c>
      <c r="Q156" s="8">
        <f t="shared" si="17"/>
        <v>83</v>
      </c>
      <c r="R156" s="8">
        <f t="shared" si="18"/>
        <v>83</v>
      </c>
      <c r="S156" s="8">
        <f t="shared" si="19"/>
        <v>74</v>
      </c>
      <c r="T156" s="11">
        <f t="shared" si="20"/>
        <v>426</v>
      </c>
      <c r="U156" s="11">
        <f t="shared" si="21"/>
        <v>85.2</v>
      </c>
    </row>
    <row r="157" spans="1:21">
      <c r="A157" s="2" t="s">
        <v>321</v>
      </c>
      <c r="B157" s="12" t="s">
        <v>651</v>
      </c>
      <c r="C157" s="2" t="s">
        <v>22</v>
      </c>
      <c r="D157" s="2">
        <v>86</v>
      </c>
      <c r="E157" s="2"/>
      <c r="F157" s="2">
        <v>93</v>
      </c>
      <c r="G157" s="2"/>
      <c r="H157" s="2">
        <v>69</v>
      </c>
      <c r="I157" s="2">
        <v>89</v>
      </c>
      <c r="J157" s="2">
        <v>88</v>
      </c>
      <c r="K157" s="2"/>
      <c r="L157" s="2">
        <v>90</v>
      </c>
      <c r="M157" s="2">
        <v>515</v>
      </c>
      <c r="N157" s="2">
        <v>85.83</v>
      </c>
      <c r="O157" s="8">
        <f t="shared" si="15"/>
        <v>93</v>
      </c>
      <c r="P157" s="8">
        <f t="shared" si="16"/>
        <v>90</v>
      </c>
      <c r="Q157" s="8">
        <f t="shared" si="17"/>
        <v>89</v>
      </c>
      <c r="R157" s="8">
        <f t="shared" si="18"/>
        <v>88</v>
      </c>
      <c r="S157" s="8">
        <f t="shared" si="19"/>
        <v>86</v>
      </c>
      <c r="T157" s="11">
        <f t="shared" si="20"/>
        <v>446</v>
      </c>
      <c r="U157" s="11">
        <f t="shared" si="21"/>
        <v>89.2</v>
      </c>
    </row>
    <row r="158" spans="1:21">
      <c r="A158" s="2" t="s">
        <v>323</v>
      </c>
      <c r="B158" s="12" t="s">
        <v>652</v>
      </c>
      <c r="C158" s="2" t="s">
        <v>22</v>
      </c>
      <c r="D158" s="2">
        <v>83</v>
      </c>
      <c r="E158" s="2"/>
      <c r="F158" s="2">
        <v>71</v>
      </c>
      <c r="G158" s="2"/>
      <c r="H158" s="2"/>
      <c r="I158" s="2">
        <v>42</v>
      </c>
      <c r="J158" s="2">
        <v>69</v>
      </c>
      <c r="K158" s="2">
        <v>46</v>
      </c>
      <c r="L158" s="2">
        <v>84</v>
      </c>
      <c r="M158" s="2">
        <v>395</v>
      </c>
      <c r="N158" s="2">
        <v>65.83</v>
      </c>
      <c r="O158" s="8">
        <f t="shared" si="15"/>
        <v>84</v>
      </c>
      <c r="P158" s="8">
        <f t="shared" si="16"/>
        <v>83</v>
      </c>
      <c r="Q158" s="8">
        <f t="shared" si="17"/>
        <v>71</v>
      </c>
      <c r="R158" s="8">
        <f t="shared" si="18"/>
        <v>69</v>
      </c>
      <c r="S158" s="8">
        <f t="shared" si="19"/>
        <v>46</v>
      </c>
      <c r="T158" s="11">
        <f t="shared" si="20"/>
        <v>353</v>
      </c>
      <c r="U158" s="11">
        <f t="shared" si="21"/>
        <v>70.599999999999994</v>
      </c>
    </row>
    <row r="159" spans="1:21">
      <c r="A159" s="2" t="s">
        <v>325</v>
      </c>
      <c r="B159" s="13" t="s">
        <v>653</v>
      </c>
      <c r="C159" s="2" t="s">
        <v>22</v>
      </c>
      <c r="D159" s="2">
        <v>85</v>
      </c>
      <c r="E159" s="2">
        <v>74</v>
      </c>
      <c r="F159" s="2"/>
      <c r="G159" s="2"/>
      <c r="H159" s="2"/>
      <c r="I159" s="2">
        <v>57</v>
      </c>
      <c r="J159" s="2">
        <v>63</v>
      </c>
      <c r="K159" s="2">
        <v>55</v>
      </c>
      <c r="L159" s="2">
        <v>81</v>
      </c>
      <c r="M159" s="2">
        <v>415</v>
      </c>
      <c r="N159" s="2">
        <v>69.17</v>
      </c>
      <c r="O159" s="8">
        <f t="shared" si="15"/>
        <v>85</v>
      </c>
      <c r="P159" s="8">
        <f t="shared" si="16"/>
        <v>81</v>
      </c>
      <c r="Q159" s="8">
        <f t="shared" si="17"/>
        <v>74</v>
      </c>
      <c r="R159" s="8">
        <f t="shared" si="18"/>
        <v>63</v>
      </c>
      <c r="S159" s="8">
        <f t="shared" si="19"/>
        <v>57</v>
      </c>
      <c r="T159" s="11">
        <f t="shared" si="20"/>
        <v>360</v>
      </c>
      <c r="U159" s="11">
        <f t="shared" si="21"/>
        <v>72</v>
      </c>
    </row>
    <row r="160" spans="1:21">
      <c r="A160" s="2" t="s">
        <v>327</v>
      </c>
      <c r="B160" s="13" t="s">
        <v>654</v>
      </c>
      <c r="C160" s="2" t="s">
        <v>22</v>
      </c>
      <c r="D160" s="2">
        <v>92</v>
      </c>
      <c r="E160" s="2"/>
      <c r="F160" s="2"/>
      <c r="G160" s="2">
        <v>95</v>
      </c>
      <c r="H160" s="2">
        <v>78</v>
      </c>
      <c r="I160" s="2">
        <v>94</v>
      </c>
      <c r="J160" s="2">
        <v>97</v>
      </c>
      <c r="K160" s="2"/>
      <c r="L160" s="2">
        <v>98</v>
      </c>
      <c r="M160" s="2">
        <v>554</v>
      </c>
      <c r="N160" s="2">
        <v>92.33</v>
      </c>
      <c r="O160" s="8">
        <f t="shared" si="15"/>
        <v>98</v>
      </c>
      <c r="P160" s="8">
        <f t="shared" si="16"/>
        <v>97</v>
      </c>
      <c r="Q160" s="8">
        <f t="shared" si="17"/>
        <v>95</v>
      </c>
      <c r="R160" s="8">
        <f t="shared" si="18"/>
        <v>94</v>
      </c>
      <c r="S160" s="8">
        <f t="shared" si="19"/>
        <v>92</v>
      </c>
      <c r="T160" s="11">
        <f t="shared" si="20"/>
        <v>476</v>
      </c>
      <c r="U160" s="11">
        <f t="shared" si="21"/>
        <v>95.2</v>
      </c>
    </row>
    <row r="161" spans="1:21">
      <c r="A161" s="2" t="s">
        <v>329</v>
      </c>
      <c r="B161" s="12" t="s">
        <v>655</v>
      </c>
      <c r="C161" s="2" t="s">
        <v>17</v>
      </c>
      <c r="D161" s="2">
        <v>67</v>
      </c>
      <c r="E161" s="2">
        <v>65</v>
      </c>
      <c r="F161" s="2"/>
      <c r="G161" s="2"/>
      <c r="H161" s="2"/>
      <c r="I161" s="2">
        <v>45</v>
      </c>
      <c r="J161" s="2">
        <v>65</v>
      </c>
      <c r="K161" s="2">
        <v>35</v>
      </c>
      <c r="L161" s="2">
        <v>81</v>
      </c>
      <c r="M161" s="2">
        <v>358</v>
      </c>
      <c r="N161" s="2">
        <v>59.67</v>
      </c>
      <c r="O161" s="8">
        <f t="shared" si="15"/>
        <v>81</v>
      </c>
      <c r="P161" s="8">
        <f t="shared" si="16"/>
        <v>67</v>
      </c>
      <c r="Q161" s="8">
        <f t="shared" si="17"/>
        <v>65</v>
      </c>
      <c r="R161" s="8">
        <f t="shared" si="18"/>
        <v>65</v>
      </c>
      <c r="S161" s="8">
        <f t="shared" si="19"/>
        <v>45</v>
      </c>
      <c r="T161" s="11">
        <f t="shared" si="20"/>
        <v>323</v>
      </c>
      <c r="U161" s="11">
        <f t="shared" si="21"/>
        <v>64.599999999999994</v>
      </c>
    </row>
    <row r="162" spans="1:21">
      <c r="A162" s="2" t="s">
        <v>331</v>
      </c>
      <c r="B162" s="12" t="s">
        <v>656</v>
      </c>
      <c r="C162" s="2" t="s">
        <v>22</v>
      </c>
      <c r="D162" s="2">
        <v>90</v>
      </c>
      <c r="E162" s="2"/>
      <c r="F162" s="2">
        <v>96</v>
      </c>
      <c r="G162" s="2"/>
      <c r="H162" s="2">
        <v>70</v>
      </c>
      <c r="I162" s="2">
        <v>80</v>
      </c>
      <c r="J162" s="2">
        <v>84</v>
      </c>
      <c r="K162" s="2"/>
      <c r="L162" s="2">
        <v>96</v>
      </c>
      <c r="M162" s="2">
        <v>516</v>
      </c>
      <c r="N162" s="2">
        <v>86</v>
      </c>
      <c r="O162" s="8">
        <f t="shared" si="15"/>
        <v>96</v>
      </c>
      <c r="P162" s="8">
        <f t="shared" si="16"/>
        <v>96</v>
      </c>
      <c r="Q162" s="8">
        <f t="shared" si="17"/>
        <v>90</v>
      </c>
      <c r="R162" s="8">
        <f t="shared" si="18"/>
        <v>84</v>
      </c>
      <c r="S162" s="8">
        <f t="shared" si="19"/>
        <v>80</v>
      </c>
      <c r="T162" s="11">
        <f t="shared" si="20"/>
        <v>446</v>
      </c>
      <c r="U162" s="11">
        <f t="shared" si="21"/>
        <v>89.2</v>
      </c>
    </row>
    <row r="163" spans="1:21">
      <c r="A163" s="2" t="s">
        <v>333</v>
      </c>
      <c r="B163" s="13" t="s">
        <v>657</v>
      </c>
      <c r="C163" s="2" t="s">
        <v>22</v>
      </c>
      <c r="D163" s="2">
        <v>88</v>
      </c>
      <c r="E163" s="2">
        <v>83</v>
      </c>
      <c r="F163" s="2"/>
      <c r="G163" s="2"/>
      <c r="H163" s="2">
        <v>77</v>
      </c>
      <c r="I163" s="2">
        <v>79</v>
      </c>
      <c r="J163" s="2">
        <v>98</v>
      </c>
      <c r="K163" s="2"/>
      <c r="L163" s="2">
        <v>93</v>
      </c>
      <c r="M163" s="2">
        <v>518</v>
      </c>
      <c r="N163" s="2">
        <v>86.33</v>
      </c>
      <c r="O163" s="8">
        <f t="shared" si="15"/>
        <v>98</v>
      </c>
      <c r="P163" s="8">
        <f t="shared" si="16"/>
        <v>93</v>
      </c>
      <c r="Q163" s="8">
        <f t="shared" si="17"/>
        <v>88</v>
      </c>
      <c r="R163" s="8">
        <f t="shared" si="18"/>
        <v>83</v>
      </c>
      <c r="S163" s="8">
        <f t="shared" si="19"/>
        <v>79</v>
      </c>
      <c r="T163" s="11">
        <f t="shared" si="20"/>
        <v>441</v>
      </c>
      <c r="U163" s="11">
        <f t="shared" si="21"/>
        <v>88.2</v>
      </c>
    </row>
    <row r="164" spans="1:21">
      <c r="A164" s="2" t="s">
        <v>335</v>
      </c>
      <c r="B164" s="12" t="s">
        <v>658</v>
      </c>
      <c r="C164" s="2" t="s">
        <v>22</v>
      </c>
      <c r="D164" s="2">
        <v>71</v>
      </c>
      <c r="E164" s="2">
        <v>73</v>
      </c>
      <c r="F164" s="2"/>
      <c r="G164" s="2"/>
      <c r="H164" s="2">
        <v>59</v>
      </c>
      <c r="I164" s="2">
        <v>63</v>
      </c>
      <c r="J164" s="2">
        <v>70</v>
      </c>
      <c r="K164" s="2"/>
      <c r="L164" s="2">
        <v>96</v>
      </c>
      <c r="M164" s="2">
        <v>432</v>
      </c>
      <c r="N164" s="2">
        <v>72</v>
      </c>
      <c r="O164" s="8">
        <f t="shared" si="15"/>
        <v>96</v>
      </c>
      <c r="P164" s="8">
        <f t="shared" si="16"/>
        <v>73</v>
      </c>
      <c r="Q164" s="8">
        <f t="shared" si="17"/>
        <v>71</v>
      </c>
      <c r="R164" s="8">
        <f t="shared" si="18"/>
        <v>70</v>
      </c>
      <c r="S164" s="8">
        <f t="shared" si="19"/>
        <v>63</v>
      </c>
      <c r="T164" s="11">
        <f t="shared" si="20"/>
        <v>373</v>
      </c>
      <c r="U164" s="11">
        <f t="shared" si="21"/>
        <v>74.599999999999994</v>
      </c>
    </row>
    <row r="165" spans="1:21">
      <c r="A165" s="2" t="s">
        <v>337</v>
      </c>
      <c r="B165" s="12" t="s">
        <v>659</v>
      </c>
      <c r="C165" s="2" t="s">
        <v>17</v>
      </c>
      <c r="D165" s="2">
        <v>93</v>
      </c>
      <c r="E165" s="2">
        <v>95</v>
      </c>
      <c r="F165" s="2"/>
      <c r="G165" s="2"/>
      <c r="H165" s="2">
        <v>86</v>
      </c>
      <c r="I165" s="2">
        <v>96</v>
      </c>
      <c r="J165" s="2">
        <v>94</v>
      </c>
      <c r="K165" s="2"/>
      <c r="L165" s="2">
        <v>99</v>
      </c>
      <c r="M165" s="2">
        <v>563</v>
      </c>
      <c r="N165" s="2">
        <v>93.83</v>
      </c>
      <c r="O165" s="8">
        <f t="shared" si="15"/>
        <v>99</v>
      </c>
      <c r="P165" s="8">
        <f t="shared" si="16"/>
        <v>96</v>
      </c>
      <c r="Q165" s="8">
        <f t="shared" si="17"/>
        <v>95</v>
      </c>
      <c r="R165" s="8">
        <f t="shared" si="18"/>
        <v>94</v>
      </c>
      <c r="S165" s="8">
        <f t="shared" si="19"/>
        <v>93</v>
      </c>
      <c r="T165" s="11">
        <f t="shared" si="20"/>
        <v>477</v>
      </c>
      <c r="U165" s="11">
        <f t="shared" si="21"/>
        <v>95.4</v>
      </c>
    </row>
    <row r="166" spans="1:21">
      <c r="A166" s="2" t="s">
        <v>339</v>
      </c>
      <c r="B166" s="13" t="s">
        <v>660</v>
      </c>
      <c r="C166" s="2" t="s">
        <v>17</v>
      </c>
      <c r="D166" s="2">
        <v>89</v>
      </c>
      <c r="E166" s="2"/>
      <c r="F166" s="2">
        <v>100</v>
      </c>
      <c r="G166" s="2"/>
      <c r="H166" s="2"/>
      <c r="I166" s="2">
        <v>94</v>
      </c>
      <c r="J166" s="2">
        <v>98</v>
      </c>
      <c r="K166" s="2">
        <v>98</v>
      </c>
      <c r="L166" s="2">
        <v>100</v>
      </c>
      <c r="M166" s="2">
        <v>579</v>
      </c>
      <c r="N166" s="2">
        <v>96.5</v>
      </c>
      <c r="O166" s="8">
        <f t="shared" si="15"/>
        <v>100</v>
      </c>
      <c r="P166" s="8">
        <f t="shared" si="16"/>
        <v>100</v>
      </c>
      <c r="Q166" s="8">
        <f t="shared" si="17"/>
        <v>98</v>
      </c>
      <c r="R166" s="8">
        <f t="shared" si="18"/>
        <v>98</v>
      </c>
      <c r="S166" s="8">
        <f t="shared" si="19"/>
        <v>94</v>
      </c>
      <c r="T166" s="11">
        <f t="shared" si="20"/>
        <v>490</v>
      </c>
      <c r="U166" s="11">
        <f t="shared" si="21"/>
        <v>98</v>
      </c>
    </row>
    <row r="167" spans="1:21">
      <c r="A167" s="2" t="s">
        <v>341</v>
      </c>
      <c r="B167" s="13" t="s">
        <v>661</v>
      </c>
      <c r="C167" s="2" t="s">
        <v>17</v>
      </c>
      <c r="D167" s="2">
        <v>92</v>
      </c>
      <c r="E167" s="2"/>
      <c r="F167" s="2">
        <v>85</v>
      </c>
      <c r="G167" s="2"/>
      <c r="H167" s="2"/>
      <c r="I167" s="2">
        <v>71</v>
      </c>
      <c r="J167" s="2">
        <v>87</v>
      </c>
      <c r="K167" s="2">
        <v>45</v>
      </c>
      <c r="L167" s="2">
        <v>97</v>
      </c>
      <c r="M167" s="2">
        <v>477</v>
      </c>
      <c r="N167" s="2">
        <v>79.5</v>
      </c>
      <c r="O167" s="8">
        <f t="shared" si="15"/>
        <v>97</v>
      </c>
      <c r="P167" s="8">
        <f t="shared" si="16"/>
        <v>92</v>
      </c>
      <c r="Q167" s="8">
        <f t="shared" si="17"/>
        <v>87</v>
      </c>
      <c r="R167" s="8">
        <f t="shared" si="18"/>
        <v>85</v>
      </c>
      <c r="S167" s="8">
        <f t="shared" si="19"/>
        <v>71</v>
      </c>
      <c r="T167" s="11">
        <f t="shared" si="20"/>
        <v>432</v>
      </c>
      <c r="U167" s="11">
        <f t="shared" si="21"/>
        <v>86.4</v>
      </c>
    </row>
    <row r="168" spans="1:21">
      <c r="A168" s="2" t="s">
        <v>343</v>
      </c>
      <c r="B168" s="12" t="s">
        <v>662</v>
      </c>
      <c r="C168" s="2" t="s">
        <v>22</v>
      </c>
      <c r="D168" s="2">
        <v>91</v>
      </c>
      <c r="E168" s="2"/>
      <c r="F168" s="2"/>
      <c r="G168" s="2">
        <v>66</v>
      </c>
      <c r="H168" s="2">
        <v>84</v>
      </c>
      <c r="I168" s="2">
        <v>78</v>
      </c>
      <c r="J168" s="2">
        <v>83</v>
      </c>
      <c r="K168" s="2"/>
      <c r="L168" s="2">
        <v>95</v>
      </c>
      <c r="M168" s="2">
        <v>497</v>
      </c>
      <c r="N168" s="2">
        <v>82.83</v>
      </c>
      <c r="O168" s="8">
        <f t="shared" si="15"/>
        <v>95</v>
      </c>
      <c r="P168" s="8">
        <f t="shared" si="16"/>
        <v>91</v>
      </c>
      <c r="Q168" s="8">
        <f t="shared" si="17"/>
        <v>84</v>
      </c>
      <c r="R168" s="8">
        <f t="shared" si="18"/>
        <v>83</v>
      </c>
      <c r="S168" s="8">
        <f t="shared" si="19"/>
        <v>78</v>
      </c>
      <c r="T168" s="11">
        <f t="shared" si="20"/>
        <v>431</v>
      </c>
      <c r="U168" s="11">
        <f t="shared" si="21"/>
        <v>86.2</v>
      </c>
    </row>
    <row r="169" spans="1:21">
      <c r="A169" s="2" t="s">
        <v>345</v>
      </c>
      <c r="B169" s="12" t="s">
        <v>663</v>
      </c>
      <c r="C169" s="2" t="s">
        <v>17</v>
      </c>
      <c r="D169" s="2">
        <v>91</v>
      </c>
      <c r="E169" s="2"/>
      <c r="F169" s="2">
        <v>98</v>
      </c>
      <c r="G169" s="2"/>
      <c r="H169" s="2"/>
      <c r="I169" s="2">
        <v>98</v>
      </c>
      <c r="J169" s="2">
        <v>94</v>
      </c>
      <c r="K169" s="2">
        <v>96</v>
      </c>
      <c r="L169" s="2">
        <v>97</v>
      </c>
      <c r="M169" s="2">
        <v>574</v>
      </c>
      <c r="N169" s="2">
        <v>95.67</v>
      </c>
      <c r="O169" s="8">
        <f t="shared" si="15"/>
        <v>98</v>
      </c>
      <c r="P169" s="8">
        <f t="shared" si="16"/>
        <v>98</v>
      </c>
      <c r="Q169" s="8">
        <f t="shared" si="17"/>
        <v>97</v>
      </c>
      <c r="R169" s="8">
        <f t="shared" si="18"/>
        <v>96</v>
      </c>
      <c r="S169" s="8">
        <f t="shared" si="19"/>
        <v>94</v>
      </c>
      <c r="T169" s="11">
        <f t="shared" si="20"/>
        <v>483</v>
      </c>
      <c r="U169" s="11">
        <f t="shared" si="21"/>
        <v>96.6</v>
      </c>
    </row>
    <row r="170" spans="1:21">
      <c r="A170" s="2" t="s">
        <v>347</v>
      </c>
      <c r="B170" s="12" t="s">
        <v>664</v>
      </c>
      <c r="C170" s="2" t="s">
        <v>22</v>
      </c>
      <c r="D170" s="2">
        <v>86</v>
      </c>
      <c r="E170" s="2">
        <v>78</v>
      </c>
      <c r="F170" s="2"/>
      <c r="G170" s="2"/>
      <c r="H170" s="2">
        <v>55</v>
      </c>
      <c r="I170" s="2">
        <v>85</v>
      </c>
      <c r="J170" s="2">
        <v>83</v>
      </c>
      <c r="K170" s="2"/>
      <c r="L170" s="2">
        <v>94</v>
      </c>
      <c r="M170" s="2">
        <v>481</v>
      </c>
      <c r="N170" s="2">
        <v>80.17</v>
      </c>
      <c r="O170" s="8">
        <f t="shared" si="15"/>
        <v>94</v>
      </c>
      <c r="P170" s="8">
        <f t="shared" si="16"/>
        <v>86</v>
      </c>
      <c r="Q170" s="8">
        <f t="shared" si="17"/>
        <v>85</v>
      </c>
      <c r="R170" s="8">
        <f t="shared" si="18"/>
        <v>83</v>
      </c>
      <c r="S170" s="8">
        <f t="shared" si="19"/>
        <v>78</v>
      </c>
      <c r="T170" s="11">
        <f t="shared" si="20"/>
        <v>426</v>
      </c>
      <c r="U170" s="11">
        <f t="shared" si="21"/>
        <v>85.2</v>
      </c>
    </row>
    <row r="171" spans="1:21">
      <c r="A171" s="2" t="s">
        <v>349</v>
      </c>
      <c r="B171" s="13" t="s">
        <v>665</v>
      </c>
      <c r="C171" s="2" t="s">
        <v>22</v>
      </c>
      <c r="D171" s="2">
        <v>89</v>
      </c>
      <c r="E171" s="2">
        <v>81</v>
      </c>
      <c r="F171" s="2"/>
      <c r="G171" s="2"/>
      <c r="H171" s="2"/>
      <c r="I171" s="2">
        <v>77</v>
      </c>
      <c r="J171" s="2">
        <v>78</v>
      </c>
      <c r="K171" s="2">
        <v>64</v>
      </c>
      <c r="L171" s="2">
        <v>90</v>
      </c>
      <c r="M171" s="2">
        <v>479</v>
      </c>
      <c r="N171" s="2">
        <v>79.83</v>
      </c>
      <c r="O171" s="8">
        <f t="shared" si="15"/>
        <v>90</v>
      </c>
      <c r="P171" s="8">
        <f t="shared" si="16"/>
        <v>89</v>
      </c>
      <c r="Q171" s="8">
        <f t="shared" si="17"/>
        <v>81</v>
      </c>
      <c r="R171" s="8">
        <f t="shared" si="18"/>
        <v>78</v>
      </c>
      <c r="S171" s="8">
        <f t="shared" si="19"/>
        <v>77</v>
      </c>
      <c r="T171" s="11">
        <f t="shared" si="20"/>
        <v>415</v>
      </c>
      <c r="U171" s="11">
        <f t="shared" si="21"/>
        <v>83</v>
      </c>
    </row>
    <row r="172" spans="1:21">
      <c r="A172" s="2" t="s">
        <v>351</v>
      </c>
      <c r="B172" s="12" t="s">
        <v>666</v>
      </c>
      <c r="C172" s="2" t="s">
        <v>22</v>
      </c>
      <c r="D172" s="2">
        <v>82</v>
      </c>
      <c r="E172" s="2"/>
      <c r="F172" s="2"/>
      <c r="G172" s="2">
        <v>85</v>
      </c>
      <c r="H172" s="2">
        <v>99</v>
      </c>
      <c r="I172" s="2">
        <v>95</v>
      </c>
      <c r="J172" s="2">
        <v>93</v>
      </c>
      <c r="K172" s="2"/>
      <c r="L172" s="2">
        <v>99</v>
      </c>
      <c r="M172" s="2">
        <v>553</v>
      </c>
      <c r="N172" s="2">
        <v>92.17</v>
      </c>
      <c r="O172" s="8">
        <f t="shared" si="15"/>
        <v>99</v>
      </c>
      <c r="P172" s="8">
        <f t="shared" si="16"/>
        <v>99</v>
      </c>
      <c r="Q172" s="8">
        <f t="shared" si="17"/>
        <v>95</v>
      </c>
      <c r="R172" s="8">
        <f t="shared" si="18"/>
        <v>93</v>
      </c>
      <c r="S172" s="8">
        <f t="shared" si="19"/>
        <v>85</v>
      </c>
      <c r="T172" s="11">
        <f t="shared" si="20"/>
        <v>471</v>
      </c>
      <c r="U172" s="11">
        <f t="shared" si="21"/>
        <v>94.2</v>
      </c>
    </row>
    <row r="173" spans="1:21">
      <c r="A173" s="2" t="s">
        <v>353</v>
      </c>
      <c r="B173" s="12" t="s">
        <v>667</v>
      </c>
      <c r="C173" s="2" t="s">
        <v>22</v>
      </c>
      <c r="D173" s="2">
        <v>73</v>
      </c>
      <c r="E173" s="2"/>
      <c r="F173" s="2">
        <v>86</v>
      </c>
      <c r="G173" s="2"/>
      <c r="H173" s="2">
        <v>46</v>
      </c>
      <c r="I173" s="2">
        <v>42</v>
      </c>
      <c r="J173" s="2">
        <v>67</v>
      </c>
      <c r="K173" s="2"/>
      <c r="L173" s="2">
        <v>76</v>
      </c>
      <c r="M173" s="2">
        <v>390</v>
      </c>
      <c r="N173" s="2">
        <v>65</v>
      </c>
      <c r="O173" s="8">
        <f t="shared" si="15"/>
        <v>86</v>
      </c>
      <c r="P173" s="8">
        <f t="shared" si="16"/>
        <v>76</v>
      </c>
      <c r="Q173" s="8">
        <f t="shared" si="17"/>
        <v>73</v>
      </c>
      <c r="R173" s="8">
        <f t="shared" si="18"/>
        <v>67</v>
      </c>
      <c r="S173" s="8">
        <f t="shared" si="19"/>
        <v>46</v>
      </c>
      <c r="T173" s="11">
        <f t="shared" si="20"/>
        <v>348</v>
      </c>
      <c r="U173" s="11">
        <f t="shared" si="21"/>
        <v>69.599999999999994</v>
      </c>
    </row>
    <row r="174" spans="1:21">
      <c r="A174" s="2" t="s">
        <v>355</v>
      </c>
      <c r="B174" s="13" t="s">
        <v>668</v>
      </c>
      <c r="C174" s="2" t="s">
        <v>22</v>
      </c>
      <c r="D174" s="2">
        <v>77</v>
      </c>
      <c r="E174" s="2">
        <v>90</v>
      </c>
      <c r="F174" s="2"/>
      <c r="G174" s="2"/>
      <c r="H174" s="2">
        <v>69</v>
      </c>
      <c r="I174" s="2">
        <v>67</v>
      </c>
      <c r="J174" s="2">
        <v>87</v>
      </c>
      <c r="K174" s="2"/>
      <c r="L174" s="2">
        <v>90</v>
      </c>
      <c r="M174" s="2">
        <v>480</v>
      </c>
      <c r="N174" s="2">
        <v>80</v>
      </c>
      <c r="O174" s="8">
        <f t="shared" si="15"/>
        <v>90</v>
      </c>
      <c r="P174" s="8">
        <f t="shared" si="16"/>
        <v>90</v>
      </c>
      <c r="Q174" s="8">
        <f t="shared" si="17"/>
        <v>87</v>
      </c>
      <c r="R174" s="8">
        <f t="shared" si="18"/>
        <v>77</v>
      </c>
      <c r="S174" s="8">
        <f t="shared" si="19"/>
        <v>69</v>
      </c>
      <c r="T174" s="11">
        <f t="shared" si="20"/>
        <v>413</v>
      </c>
      <c r="U174" s="11">
        <f t="shared" si="21"/>
        <v>82.6</v>
      </c>
    </row>
    <row r="175" spans="1:21">
      <c r="A175" s="2" t="s">
        <v>357</v>
      </c>
      <c r="B175" s="12" t="s">
        <v>669</v>
      </c>
      <c r="C175" s="2" t="s">
        <v>22</v>
      </c>
      <c r="D175" s="2">
        <v>69</v>
      </c>
      <c r="E175" s="2">
        <v>85</v>
      </c>
      <c r="F175" s="2"/>
      <c r="G175" s="2"/>
      <c r="H175" s="2"/>
      <c r="I175" s="2">
        <v>78</v>
      </c>
      <c r="J175" s="2">
        <v>71</v>
      </c>
      <c r="K175" s="2">
        <v>70</v>
      </c>
      <c r="L175" s="2">
        <v>95</v>
      </c>
      <c r="M175" s="2">
        <v>468</v>
      </c>
      <c r="N175" s="2">
        <v>78</v>
      </c>
      <c r="O175" s="8">
        <f t="shared" si="15"/>
        <v>95</v>
      </c>
      <c r="P175" s="8">
        <f t="shared" si="16"/>
        <v>85</v>
      </c>
      <c r="Q175" s="8">
        <f t="shared" si="17"/>
        <v>78</v>
      </c>
      <c r="R175" s="8">
        <f t="shared" si="18"/>
        <v>71</v>
      </c>
      <c r="S175" s="8">
        <f t="shared" si="19"/>
        <v>70</v>
      </c>
      <c r="T175" s="11">
        <f t="shared" si="20"/>
        <v>399</v>
      </c>
      <c r="U175" s="11">
        <f t="shared" si="21"/>
        <v>79.8</v>
      </c>
    </row>
    <row r="176" spans="1:21">
      <c r="A176" s="2" t="s">
        <v>359</v>
      </c>
      <c r="B176" s="12" t="s">
        <v>670</v>
      </c>
      <c r="C176" s="2" t="s">
        <v>17</v>
      </c>
      <c r="D176" s="2">
        <v>90</v>
      </c>
      <c r="E176" s="2"/>
      <c r="F176" s="2">
        <v>82</v>
      </c>
      <c r="G176" s="2"/>
      <c r="H176" s="2">
        <v>74</v>
      </c>
      <c r="I176" s="2">
        <v>90</v>
      </c>
      <c r="J176" s="2">
        <v>88</v>
      </c>
      <c r="K176" s="2"/>
      <c r="L176" s="2">
        <v>99</v>
      </c>
      <c r="M176" s="2">
        <v>523</v>
      </c>
      <c r="N176" s="2">
        <v>87.17</v>
      </c>
      <c r="O176" s="8">
        <f t="shared" si="15"/>
        <v>99</v>
      </c>
      <c r="P176" s="8">
        <f t="shared" si="16"/>
        <v>90</v>
      </c>
      <c r="Q176" s="8">
        <f t="shared" si="17"/>
        <v>90</v>
      </c>
      <c r="R176" s="8">
        <f t="shared" si="18"/>
        <v>88</v>
      </c>
      <c r="S176" s="8">
        <f t="shared" si="19"/>
        <v>82</v>
      </c>
      <c r="T176" s="11">
        <f t="shared" si="20"/>
        <v>449</v>
      </c>
      <c r="U176" s="11">
        <f t="shared" si="21"/>
        <v>89.8</v>
      </c>
    </row>
    <row r="177" spans="1:21">
      <c r="A177" s="2" t="s">
        <v>361</v>
      </c>
      <c r="B177" s="13" t="s">
        <v>671</v>
      </c>
      <c r="C177" s="2" t="s">
        <v>17</v>
      </c>
      <c r="D177" s="2">
        <v>93</v>
      </c>
      <c r="E177" s="2"/>
      <c r="F177" s="2">
        <v>99</v>
      </c>
      <c r="G177" s="2"/>
      <c r="H177" s="2">
        <v>97</v>
      </c>
      <c r="I177" s="2">
        <v>95</v>
      </c>
      <c r="J177" s="2">
        <v>98</v>
      </c>
      <c r="K177" s="2"/>
      <c r="L177" s="2">
        <v>99</v>
      </c>
      <c r="M177" s="2">
        <v>581</v>
      </c>
      <c r="N177" s="2">
        <v>96.83</v>
      </c>
      <c r="O177" s="8">
        <f t="shared" si="15"/>
        <v>99</v>
      </c>
      <c r="P177" s="8">
        <f t="shared" si="16"/>
        <v>99</v>
      </c>
      <c r="Q177" s="8">
        <f t="shared" si="17"/>
        <v>98</v>
      </c>
      <c r="R177" s="8">
        <f t="shared" si="18"/>
        <v>97</v>
      </c>
      <c r="S177" s="8">
        <f t="shared" si="19"/>
        <v>95</v>
      </c>
      <c r="T177" s="11">
        <f t="shared" si="20"/>
        <v>488</v>
      </c>
      <c r="U177" s="11">
        <f t="shared" si="21"/>
        <v>97.6</v>
      </c>
    </row>
    <row r="178" spans="1:21">
      <c r="A178" s="2" t="s">
        <v>363</v>
      </c>
      <c r="B178" s="12" t="s">
        <v>672</v>
      </c>
      <c r="C178" s="2" t="s">
        <v>22</v>
      </c>
      <c r="D178" s="2">
        <v>80</v>
      </c>
      <c r="E178" s="2">
        <v>79</v>
      </c>
      <c r="F178" s="2"/>
      <c r="G178" s="2"/>
      <c r="H178" s="2"/>
      <c r="I178" s="2">
        <v>77</v>
      </c>
      <c r="J178" s="2">
        <v>66</v>
      </c>
      <c r="K178" s="2">
        <v>70</v>
      </c>
      <c r="L178" s="2">
        <v>85</v>
      </c>
      <c r="M178" s="2">
        <v>457</v>
      </c>
      <c r="N178" s="2">
        <v>76.17</v>
      </c>
      <c r="O178" s="8">
        <f t="shared" si="15"/>
        <v>85</v>
      </c>
      <c r="P178" s="8">
        <f t="shared" si="16"/>
        <v>80</v>
      </c>
      <c r="Q178" s="8">
        <f t="shared" si="17"/>
        <v>79</v>
      </c>
      <c r="R178" s="8">
        <f t="shared" si="18"/>
        <v>77</v>
      </c>
      <c r="S178" s="8">
        <f t="shared" si="19"/>
        <v>70</v>
      </c>
      <c r="T178" s="11">
        <f t="shared" si="20"/>
        <v>391</v>
      </c>
      <c r="U178" s="11">
        <f t="shared" si="21"/>
        <v>78.2</v>
      </c>
    </row>
    <row r="179" spans="1:21">
      <c r="A179" s="2" t="s">
        <v>365</v>
      </c>
      <c r="B179" s="13" t="s">
        <v>673</v>
      </c>
      <c r="C179" s="2" t="s">
        <v>17</v>
      </c>
      <c r="D179" s="2">
        <v>88</v>
      </c>
      <c r="E179" s="2">
        <v>82</v>
      </c>
      <c r="F179" s="2"/>
      <c r="G179" s="2"/>
      <c r="H179" s="2"/>
      <c r="I179" s="2">
        <v>81</v>
      </c>
      <c r="J179" s="2">
        <v>85</v>
      </c>
      <c r="K179" s="2">
        <v>76</v>
      </c>
      <c r="L179" s="2">
        <v>91</v>
      </c>
      <c r="M179" s="2">
        <v>503</v>
      </c>
      <c r="N179" s="2">
        <v>83.83</v>
      </c>
      <c r="O179" s="8">
        <f t="shared" si="15"/>
        <v>91</v>
      </c>
      <c r="P179" s="8">
        <f t="shared" si="16"/>
        <v>88</v>
      </c>
      <c r="Q179" s="8">
        <f t="shared" si="17"/>
        <v>85</v>
      </c>
      <c r="R179" s="8">
        <f t="shared" si="18"/>
        <v>82</v>
      </c>
      <c r="S179" s="8">
        <f t="shared" si="19"/>
        <v>81</v>
      </c>
      <c r="T179" s="11">
        <f t="shared" si="20"/>
        <v>427</v>
      </c>
      <c r="U179" s="11">
        <f t="shared" si="21"/>
        <v>85.4</v>
      </c>
    </row>
    <row r="180" spans="1:21">
      <c r="A180" s="2" t="s">
        <v>367</v>
      </c>
      <c r="B180" s="12" t="s">
        <v>674</v>
      </c>
      <c r="C180" s="2" t="s">
        <v>17</v>
      </c>
      <c r="D180" s="2">
        <v>84</v>
      </c>
      <c r="E180" s="2"/>
      <c r="F180" s="2">
        <v>94</v>
      </c>
      <c r="G180" s="2"/>
      <c r="H180" s="2"/>
      <c r="I180" s="2">
        <v>69</v>
      </c>
      <c r="J180" s="2">
        <v>81</v>
      </c>
      <c r="K180" s="2">
        <v>72</v>
      </c>
      <c r="L180" s="2">
        <v>96</v>
      </c>
      <c r="M180" s="2">
        <v>496</v>
      </c>
      <c r="N180" s="2">
        <v>82.67</v>
      </c>
      <c r="O180" s="8">
        <f t="shared" si="15"/>
        <v>96</v>
      </c>
      <c r="P180" s="8">
        <f t="shared" si="16"/>
        <v>94</v>
      </c>
      <c r="Q180" s="8">
        <f t="shared" si="17"/>
        <v>84</v>
      </c>
      <c r="R180" s="8">
        <f t="shared" si="18"/>
        <v>81</v>
      </c>
      <c r="S180" s="8">
        <f t="shared" si="19"/>
        <v>72</v>
      </c>
      <c r="T180" s="11">
        <f t="shared" si="20"/>
        <v>427</v>
      </c>
      <c r="U180" s="11">
        <f t="shared" si="21"/>
        <v>85.4</v>
      </c>
    </row>
    <row r="181" spans="1:21">
      <c r="A181" s="2" t="s">
        <v>369</v>
      </c>
      <c r="B181" s="12" t="s">
        <v>675</v>
      </c>
      <c r="C181" s="2" t="s">
        <v>17</v>
      </c>
      <c r="D181" s="2">
        <v>87</v>
      </c>
      <c r="E181" s="2"/>
      <c r="F181" s="2">
        <v>95</v>
      </c>
      <c r="G181" s="2"/>
      <c r="H181" s="2">
        <v>95</v>
      </c>
      <c r="I181" s="2">
        <v>92</v>
      </c>
      <c r="J181" s="2">
        <v>91</v>
      </c>
      <c r="K181" s="2"/>
      <c r="L181" s="2">
        <v>98</v>
      </c>
      <c r="M181" s="2">
        <v>558</v>
      </c>
      <c r="N181" s="2">
        <v>93</v>
      </c>
      <c r="O181" s="8">
        <f t="shared" si="15"/>
        <v>98</v>
      </c>
      <c r="P181" s="8">
        <f t="shared" si="16"/>
        <v>95</v>
      </c>
      <c r="Q181" s="8">
        <f t="shared" si="17"/>
        <v>95</v>
      </c>
      <c r="R181" s="8">
        <f t="shared" si="18"/>
        <v>92</v>
      </c>
      <c r="S181" s="8">
        <f t="shared" si="19"/>
        <v>91</v>
      </c>
      <c r="T181" s="11">
        <f t="shared" si="20"/>
        <v>471</v>
      </c>
      <c r="U181" s="11">
        <f t="shared" si="21"/>
        <v>94.2</v>
      </c>
    </row>
    <row r="182" spans="1:21">
      <c r="A182" s="2" t="s">
        <v>371</v>
      </c>
      <c r="B182" s="13" t="s">
        <v>676</v>
      </c>
      <c r="C182" s="2" t="s">
        <v>17</v>
      </c>
      <c r="D182" s="2">
        <v>95</v>
      </c>
      <c r="E182" s="2"/>
      <c r="F182" s="2">
        <v>99</v>
      </c>
      <c r="G182" s="2"/>
      <c r="H182" s="2">
        <v>75</v>
      </c>
      <c r="I182" s="2">
        <v>96</v>
      </c>
      <c r="J182" s="2">
        <v>98</v>
      </c>
      <c r="K182" s="2"/>
      <c r="L182" s="2">
        <v>99</v>
      </c>
      <c r="M182" s="2">
        <v>562</v>
      </c>
      <c r="N182" s="2">
        <v>93.67</v>
      </c>
      <c r="O182" s="8">
        <f t="shared" si="15"/>
        <v>99</v>
      </c>
      <c r="P182" s="8">
        <f t="shared" si="16"/>
        <v>99</v>
      </c>
      <c r="Q182" s="8">
        <f t="shared" si="17"/>
        <v>98</v>
      </c>
      <c r="R182" s="8">
        <f t="shared" si="18"/>
        <v>96</v>
      </c>
      <c r="S182" s="8">
        <f t="shared" si="19"/>
        <v>95</v>
      </c>
      <c r="T182" s="11">
        <f t="shared" si="20"/>
        <v>487</v>
      </c>
      <c r="U182" s="11">
        <f t="shared" si="21"/>
        <v>97.4</v>
      </c>
    </row>
    <row r="183" spans="1:21">
      <c r="A183" s="2" t="s">
        <v>373</v>
      </c>
      <c r="B183" s="12" t="s">
        <v>677</v>
      </c>
      <c r="C183" s="2" t="s">
        <v>22</v>
      </c>
      <c r="D183" s="2">
        <v>84</v>
      </c>
      <c r="E183" s="2"/>
      <c r="F183" s="2">
        <v>91</v>
      </c>
      <c r="G183" s="2"/>
      <c r="H183" s="2">
        <v>73</v>
      </c>
      <c r="I183" s="2">
        <v>78</v>
      </c>
      <c r="J183" s="2">
        <v>77</v>
      </c>
      <c r="K183" s="2"/>
      <c r="L183" s="2">
        <v>94</v>
      </c>
      <c r="M183" s="2">
        <v>497</v>
      </c>
      <c r="N183" s="2">
        <v>82.83</v>
      </c>
      <c r="O183" s="8">
        <f t="shared" si="15"/>
        <v>94</v>
      </c>
      <c r="P183" s="8">
        <f t="shared" si="16"/>
        <v>91</v>
      </c>
      <c r="Q183" s="8">
        <f t="shared" si="17"/>
        <v>84</v>
      </c>
      <c r="R183" s="8">
        <f t="shared" si="18"/>
        <v>78</v>
      </c>
      <c r="S183" s="8">
        <f t="shared" si="19"/>
        <v>77</v>
      </c>
      <c r="T183" s="11">
        <f t="shared" si="20"/>
        <v>424</v>
      </c>
      <c r="U183" s="11">
        <f t="shared" si="21"/>
        <v>84.8</v>
      </c>
    </row>
    <row r="184" spans="1:21">
      <c r="A184" s="2" t="s">
        <v>375</v>
      </c>
      <c r="B184" s="12" t="s">
        <v>678</v>
      </c>
      <c r="C184" s="2" t="s">
        <v>17</v>
      </c>
      <c r="D184" s="2">
        <v>94</v>
      </c>
      <c r="E184" s="2"/>
      <c r="F184" s="2">
        <v>86</v>
      </c>
      <c r="G184" s="2"/>
      <c r="H184" s="2"/>
      <c r="I184" s="2">
        <v>97</v>
      </c>
      <c r="J184" s="2">
        <v>76</v>
      </c>
      <c r="K184" s="2">
        <v>92</v>
      </c>
      <c r="L184" s="2">
        <v>96</v>
      </c>
      <c r="M184" s="2">
        <v>541</v>
      </c>
      <c r="N184" s="2">
        <v>90.17</v>
      </c>
      <c r="O184" s="8">
        <f t="shared" si="15"/>
        <v>97</v>
      </c>
      <c r="P184" s="8">
        <f t="shared" si="16"/>
        <v>96</v>
      </c>
      <c r="Q184" s="8">
        <f t="shared" si="17"/>
        <v>94</v>
      </c>
      <c r="R184" s="8">
        <f t="shared" si="18"/>
        <v>92</v>
      </c>
      <c r="S184" s="8">
        <f t="shared" si="19"/>
        <v>86</v>
      </c>
      <c r="T184" s="11">
        <f t="shared" si="20"/>
        <v>465</v>
      </c>
      <c r="U184" s="11">
        <f t="shared" si="21"/>
        <v>93</v>
      </c>
    </row>
    <row r="185" spans="1:21">
      <c r="A185" s="2" t="s">
        <v>377</v>
      </c>
      <c r="B185" s="12" t="s">
        <v>679</v>
      </c>
      <c r="C185" s="2" t="s">
        <v>22</v>
      </c>
      <c r="D185" s="2">
        <v>70</v>
      </c>
      <c r="E185" s="2">
        <v>73</v>
      </c>
      <c r="F185" s="2"/>
      <c r="G185" s="2"/>
      <c r="H185" s="2"/>
      <c r="I185" s="2">
        <v>70</v>
      </c>
      <c r="J185" s="2">
        <v>84</v>
      </c>
      <c r="K185" s="2">
        <v>64</v>
      </c>
      <c r="L185" s="2">
        <v>92</v>
      </c>
      <c r="M185" s="2">
        <v>453</v>
      </c>
      <c r="N185" s="2">
        <v>75.5</v>
      </c>
      <c r="O185" s="8">
        <f t="shared" si="15"/>
        <v>92</v>
      </c>
      <c r="P185" s="8">
        <f t="shared" si="16"/>
        <v>84</v>
      </c>
      <c r="Q185" s="8">
        <f t="shared" si="17"/>
        <v>73</v>
      </c>
      <c r="R185" s="8">
        <f t="shared" si="18"/>
        <v>70</v>
      </c>
      <c r="S185" s="8">
        <f t="shared" si="19"/>
        <v>70</v>
      </c>
      <c r="T185" s="11">
        <f t="shared" si="20"/>
        <v>389</v>
      </c>
      <c r="U185" s="11">
        <f t="shared" si="21"/>
        <v>77.8</v>
      </c>
    </row>
    <row r="186" spans="1:21">
      <c r="A186" s="2" t="s">
        <v>379</v>
      </c>
      <c r="B186" s="13" t="s">
        <v>680</v>
      </c>
      <c r="C186" s="2" t="s">
        <v>17</v>
      </c>
      <c r="D186" s="2">
        <v>94</v>
      </c>
      <c r="E186" s="2">
        <v>97</v>
      </c>
      <c r="F186" s="2"/>
      <c r="G186" s="2"/>
      <c r="H186" s="2"/>
      <c r="I186" s="2">
        <v>69</v>
      </c>
      <c r="J186" s="2">
        <v>96</v>
      </c>
      <c r="K186" s="2">
        <v>74</v>
      </c>
      <c r="L186" s="2">
        <v>99</v>
      </c>
      <c r="M186" s="2">
        <v>529</v>
      </c>
      <c r="N186" s="2">
        <v>88.17</v>
      </c>
      <c r="O186" s="8">
        <f t="shared" si="15"/>
        <v>99</v>
      </c>
      <c r="P186" s="8">
        <f t="shared" si="16"/>
        <v>97</v>
      </c>
      <c r="Q186" s="8">
        <f t="shared" si="17"/>
        <v>96</v>
      </c>
      <c r="R186" s="8">
        <f t="shared" si="18"/>
        <v>94</v>
      </c>
      <c r="S186" s="8">
        <f t="shared" si="19"/>
        <v>74</v>
      </c>
      <c r="T186" s="11">
        <f t="shared" si="20"/>
        <v>460</v>
      </c>
      <c r="U186" s="11">
        <f t="shared" si="21"/>
        <v>92</v>
      </c>
    </row>
    <row r="187" spans="1:21">
      <c r="A187" s="2" t="s">
        <v>381</v>
      </c>
      <c r="B187" s="12" t="s">
        <v>681</v>
      </c>
      <c r="C187" s="2" t="s">
        <v>22</v>
      </c>
      <c r="D187" s="2">
        <v>85</v>
      </c>
      <c r="E187" s="2">
        <v>80</v>
      </c>
      <c r="F187" s="2"/>
      <c r="G187" s="2"/>
      <c r="H187" s="2"/>
      <c r="I187" s="2">
        <v>70</v>
      </c>
      <c r="J187" s="2">
        <v>90</v>
      </c>
      <c r="K187" s="2">
        <v>74</v>
      </c>
      <c r="L187" s="2">
        <v>93</v>
      </c>
      <c r="M187" s="2">
        <v>492</v>
      </c>
      <c r="N187" s="2">
        <v>82</v>
      </c>
      <c r="O187" s="8">
        <f t="shared" si="15"/>
        <v>93</v>
      </c>
      <c r="P187" s="8">
        <f t="shared" si="16"/>
        <v>90</v>
      </c>
      <c r="Q187" s="8">
        <f t="shared" si="17"/>
        <v>85</v>
      </c>
      <c r="R187" s="8">
        <f t="shared" si="18"/>
        <v>80</v>
      </c>
      <c r="S187" s="8">
        <f t="shared" si="19"/>
        <v>74</v>
      </c>
      <c r="T187" s="11">
        <f t="shared" si="20"/>
        <v>422</v>
      </c>
      <c r="U187" s="11">
        <f t="shared" si="21"/>
        <v>84.4</v>
      </c>
    </row>
    <row r="188" spans="1:21">
      <c r="A188" s="2" t="s">
        <v>383</v>
      </c>
      <c r="B188" s="12" t="s">
        <v>682</v>
      </c>
      <c r="C188" s="2" t="s">
        <v>22</v>
      </c>
      <c r="D188" s="2">
        <v>79</v>
      </c>
      <c r="E188" s="2"/>
      <c r="F188" s="2">
        <v>95</v>
      </c>
      <c r="G188" s="2"/>
      <c r="H188" s="2">
        <v>75</v>
      </c>
      <c r="I188" s="2">
        <v>84</v>
      </c>
      <c r="J188" s="2">
        <v>92</v>
      </c>
      <c r="K188" s="2"/>
      <c r="L188" s="2">
        <v>96</v>
      </c>
      <c r="M188" s="2">
        <v>521</v>
      </c>
      <c r="N188" s="2">
        <v>86.83</v>
      </c>
      <c r="O188" s="8">
        <f t="shared" si="15"/>
        <v>96</v>
      </c>
      <c r="P188" s="8">
        <f t="shared" si="16"/>
        <v>95</v>
      </c>
      <c r="Q188" s="8">
        <f t="shared" si="17"/>
        <v>92</v>
      </c>
      <c r="R188" s="8">
        <f t="shared" si="18"/>
        <v>84</v>
      </c>
      <c r="S188" s="8">
        <f t="shared" si="19"/>
        <v>79</v>
      </c>
      <c r="T188" s="11">
        <f t="shared" si="20"/>
        <v>446</v>
      </c>
      <c r="U188" s="11">
        <f t="shared" si="21"/>
        <v>89.2</v>
      </c>
    </row>
    <row r="189" spans="1:21">
      <c r="A189" s="2" t="s">
        <v>385</v>
      </c>
      <c r="B189" s="12" t="s">
        <v>683</v>
      </c>
      <c r="C189" s="2" t="s">
        <v>17</v>
      </c>
      <c r="D189" s="2">
        <v>92</v>
      </c>
      <c r="E189" s="2"/>
      <c r="F189" s="2"/>
      <c r="G189" s="2">
        <v>92</v>
      </c>
      <c r="H189" s="2">
        <v>72</v>
      </c>
      <c r="I189" s="2">
        <v>85</v>
      </c>
      <c r="J189" s="2">
        <v>84</v>
      </c>
      <c r="K189" s="2"/>
      <c r="L189" s="2">
        <v>97</v>
      </c>
      <c r="M189" s="2">
        <v>522</v>
      </c>
      <c r="N189" s="2">
        <v>87</v>
      </c>
      <c r="O189" s="8">
        <f t="shared" si="15"/>
        <v>97</v>
      </c>
      <c r="P189" s="8">
        <f t="shared" si="16"/>
        <v>92</v>
      </c>
      <c r="Q189" s="8">
        <f t="shared" si="17"/>
        <v>92</v>
      </c>
      <c r="R189" s="8">
        <f t="shared" si="18"/>
        <v>85</v>
      </c>
      <c r="S189" s="8">
        <f t="shared" si="19"/>
        <v>84</v>
      </c>
      <c r="T189" s="11">
        <f t="shared" si="20"/>
        <v>450</v>
      </c>
      <c r="U189" s="11">
        <f t="shared" si="21"/>
        <v>90</v>
      </c>
    </row>
    <row r="190" spans="1:21">
      <c r="A190" s="2" t="s">
        <v>387</v>
      </c>
      <c r="B190" s="12" t="s">
        <v>684</v>
      </c>
      <c r="C190" s="2" t="s">
        <v>17</v>
      </c>
      <c r="D190" s="2">
        <v>84</v>
      </c>
      <c r="E190" s="2">
        <v>83</v>
      </c>
      <c r="F190" s="2"/>
      <c r="G190" s="2"/>
      <c r="H190" s="2"/>
      <c r="I190" s="2">
        <v>62</v>
      </c>
      <c r="J190" s="2">
        <v>76</v>
      </c>
      <c r="K190" s="2">
        <v>57</v>
      </c>
      <c r="L190" s="2">
        <v>87</v>
      </c>
      <c r="M190" s="2">
        <v>449</v>
      </c>
      <c r="N190" s="2">
        <v>74.83</v>
      </c>
      <c r="O190" s="8">
        <f t="shared" si="15"/>
        <v>87</v>
      </c>
      <c r="P190" s="8">
        <f t="shared" si="16"/>
        <v>84</v>
      </c>
      <c r="Q190" s="8">
        <f t="shared" si="17"/>
        <v>83</v>
      </c>
      <c r="R190" s="8">
        <f t="shared" si="18"/>
        <v>76</v>
      </c>
      <c r="S190" s="8">
        <f t="shared" si="19"/>
        <v>62</v>
      </c>
      <c r="T190" s="11">
        <f t="shared" si="20"/>
        <v>392</v>
      </c>
      <c r="U190" s="11">
        <f t="shared" si="21"/>
        <v>78.400000000000006</v>
      </c>
    </row>
    <row r="191" spans="1:21">
      <c r="A191" s="2" t="s">
        <v>389</v>
      </c>
      <c r="B191" s="13" t="s">
        <v>685</v>
      </c>
      <c r="C191" s="2" t="s">
        <v>22</v>
      </c>
      <c r="D191" s="2">
        <v>89</v>
      </c>
      <c r="E191" s="2"/>
      <c r="F191" s="2"/>
      <c r="G191" s="2">
        <v>100</v>
      </c>
      <c r="H191" s="2">
        <v>100</v>
      </c>
      <c r="I191" s="2">
        <v>97</v>
      </c>
      <c r="J191" s="2">
        <v>100</v>
      </c>
      <c r="K191" s="2"/>
      <c r="L191" s="2">
        <v>99</v>
      </c>
      <c r="M191" s="2">
        <v>585</v>
      </c>
      <c r="N191" s="2">
        <v>97.5</v>
      </c>
      <c r="O191" s="8">
        <f t="shared" si="15"/>
        <v>100</v>
      </c>
      <c r="P191" s="8">
        <f t="shared" si="16"/>
        <v>100</v>
      </c>
      <c r="Q191" s="8">
        <f t="shared" si="17"/>
        <v>100</v>
      </c>
      <c r="R191" s="8">
        <f t="shared" si="18"/>
        <v>99</v>
      </c>
      <c r="S191" s="8">
        <f t="shared" si="19"/>
        <v>97</v>
      </c>
      <c r="T191" s="11">
        <f t="shared" si="20"/>
        <v>496</v>
      </c>
      <c r="U191" s="11">
        <f t="shared" si="21"/>
        <v>99.2</v>
      </c>
    </row>
    <row r="192" spans="1:21">
      <c r="A192" s="2" t="s">
        <v>391</v>
      </c>
      <c r="B192" s="12" t="s">
        <v>686</v>
      </c>
      <c r="C192" s="2" t="s">
        <v>22</v>
      </c>
      <c r="D192" s="2">
        <v>81</v>
      </c>
      <c r="E192" s="2">
        <v>90</v>
      </c>
      <c r="F192" s="2"/>
      <c r="G192" s="2"/>
      <c r="H192" s="2"/>
      <c r="I192" s="2">
        <v>64</v>
      </c>
      <c r="J192" s="2">
        <v>86</v>
      </c>
      <c r="K192" s="2">
        <v>65</v>
      </c>
      <c r="L192" s="2">
        <v>96</v>
      </c>
      <c r="M192" s="2">
        <v>482</v>
      </c>
      <c r="N192" s="2">
        <v>80.33</v>
      </c>
      <c r="O192" s="8">
        <f t="shared" si="15"/>
        <v>96</v>
      </c>
      <c r="P192" s="8">
        <f t="shared" si="16"/>
        <v>90</v>
      </c>
      <c r="Q192" s="8">
        <f t="shared" si="17"/>
        <v>86</v>
      </c>
      <c r="R192" s="8">
        <f t="shared" si="18"/>
        <v>81</v>
      </c>
      <c r="S192" s="8">
        <f t="shared" si="19"/>
        <v>65</v>
      </c>
      <c r="T192" s="11">
        <f t="shared" si="20"/>
        <v>418</v>
      </c>
      <c r="U192" s="11">
        <f t="shared" si="21"/>
        <v>83.6</v>
      </c>
    </row>
    <row r="193" spans="1:21">
      <c r="A193" s="2" t="s">
        <v>393</v>
      </c>
      <c r="B193" s="13" t="s">
        <v>687</v>
      </c>
      <c r="C193" s="2" t="s">
        <v>22</v>
      </c>
      <c r="D193" s="2">
        <v>84</v>
      </c>
      <c r="E193" s="2">
        <v>90</v>
      </c>
      <c r="F193" s="2"/>
      <c r="G193" s="2"/>
      <c r="H193" s="2">
        <v>95</v>
      </c>
      <c r="I193" s="2">
        <v>95</v>
      </c>
      <c r="J193" s="2">
        <v>93</v>
      </c>
      <c r="K193" s="2"/>
      <c r="L193" s="2">
        <v>97</v>
      </c>
      <c r="M193" s="2">
        <v>554</v>
      </c>
      <c r="N193" s="2">
        <v>92.33</v>
      </c>
      <c r="O193" s="8">
        <f t="shared" si="15"/>
        <v>97</v>
      </c>
      <c r="P193" s="8">
        <f t="shared" si="16"/>
        <v>95</v>
      </c>
      <c r="Q193" s="8">
        <f t="shared" si="17"/>
        <v>95</v>
      </c>
      <c r="R193" s="8">
        <f t="shared" si="18"/>
        <v>93</v>
      </c>
      <c r="S193" s="8">
        <f t="shared" si="19"/>
        <v>90</v>
      </c>
      <c r="T193" s="11">
        <f t="shared" si="20"/>
        <v>470</v>
      </c>
      <c r="U193" s="11">
        <f t="shared" si="21"/>
        <v>94</v>
      </c>
    </row>
    <row r="194" spans="1:21">
      <c r="A194" s="2" t="s">
        <v>395</v>
      </c>
      <c r="B194" s="12" t="s">
        <v>688</v>
      </c>
      <c r="C194" s="2" t="s">
        <v>17</v>
      </c>
      <c r="D194" s="2">
        <v>83</v>
      </c>
      <c r="E194" s="2"/>
      <c r="F194" s="2"/>
      <c r="G194" s="2">
        <v>93</v>
      </c>
      <c r="H194" s="2"/>
      <c r="I194" s="2">
        <v>92</v>
      </c>
      <c r="J194" s="2">
        <v>96</v>
      </c>
      <c r="K194" s="2">
        <v>97</v>
      </c>
      <c r="L194" s="2">
        <v>99</v>
      </c>
      <c r="M194" s="2">
        <v>560</v>
      </c>
      <c r="N194" s="2">
        <v>93.33</v>
      </c>
      <c r="O194" s="8">
        <f t="shared" si="15"/>
        <v>99</v>
      </c>
      <c r="P194" s="8">
        <f t="shared" si="16"/>
        <v>97</v>
      </c>
      <c r="Q194" s="8">
        <f t="shared" si="17"/>
        <v>96</v>
      </c>
      <c r="R194" s="8">
        <f t="shared" si="18"/>
        <v>93</v>
      </c>
      <c r="S194" s="8">
        <f t="shared" si="19"/>
        <v>92</v>
      </c>
      <c r="T194" s="11">
        <f t="shared" si="20"/>
        <v>477</v>
      </c>
      <c r="U194" s="11">
        <f t="shared" si="21"/>
        <v>95.4</v>
      </c>
    </row>
    <row r="195" spans="1:21">
      <c r="A195" s="2" t="s">
        <v>397</v>
      </c>
      <c r="B195" s="12" t="s">
        <v>689</v>
      </c>
      <c r="C195" s="2" t="s">
        <v>22</v>
      </c>
      <c r="D195" s="2">
        <v>87</v>
      </c>
      <c r="E195" s="2"/>
      <c r="F195" s="2">
        <v>97</v>
      </c>
      <c r="G195" s="2"/>
      <c r="H195" s="2">
        <v>75</v>
      </c>
      <c r="I195" s="2">
        <v>79</v>
      </c>
      <c r="J195" s="2">
        <v>78</v>
      </c>
      <c r="K195" s="2"/>
      <c r="L195" s="2">
        <v>100</v>
      </c>
      <c r="M195" s="2">
        <v>516</v>
      </c>
      <c r="N195" s="2">
        <v>86</v>
      </c>
      <c r="O195" s="8">
        <f t="shared" si="15"/>
        <v>100</v>
      </c>
      <c r="P195" s="8">
        <f t="shared" si="16"/>
        <v>97</v>
      </c>
      <c r="Q195" s="8">
        <f t="shared" si="17"/>
        <v>87</v>
      </c>
      <c r="R195" s="8">
        <f t="shared" si="18"/>
        <v>79</v>
      </c>
      <c r="S195" s="8">
        <f t="shared" si="19"/>
        <v>78</v>
      </c>
      <c r="T195" s="11">
        <f t="shared" si="20"/>
        <v>441</v>
      </c>
      <c r="U195" s="11">
        <f t="shared" si="21"/>
        <v>88.2</v>
      </c>
    </row>
    <row r="196" spans="1:21">
      <c r="A196" s="2" t="s">
        <v>399</v>
      </c>
      <c r="B196" s="13" t="s">
        <v>690</v>
      </c>
      <c r="C196" s="2" t="s">
        <v>17</v>
      </c>
      <c r="D196" s="2">
        <v>92</v>
      </c>
      <c r="E196" s="2"/>
      <c r="F196" s="2"/>
      <c r="G196" s="2">
        <v>69</v>
      </c>
      <c r="H196" s="2"/>
      <c r="I196" s="2">
        <v>59</v>
      </c>
      <c r="J196" s="2">
        <v>71</v>
      </c>
      <c r="K196" s="2">
        <v>55</v>
      </c>
      <c r="L196" s="2">
        <v>96</v>
      </c>
      <c r="M196" s="2">
        <v>442</v>
      </c>
      <c r="N196" s="2">
        <v>73.67</v>
      </c>
      <c r="O196" s="8">
        <f t="shared" si="15"/>
        <v>96</v>
      </c>
      <c r="P196" s="8">
        <f t="shared" si="16"/>
        <v>92</v>
      </c>
      <c r="Q196" s="8">
        <f t="shared" si="17"/>
        <v>71</v>
      </c>
      <c r="R196" s="8">
        <f t="shared" si="18"/>
        <v>69</v>
      </c>
      <c r="S196" s="8">
        <f t="shared" si="19"/>
        <v>59</v>
      </c>
      <c r="T196" s="11">
        <f t="shared" si="20"/>
        <v>387</v>
      </c>
      <c r="U196" s="11">
        <f t="shared" si="21"/>
        <v>77.400000000000006</v>
      </c>
    </row>
    <row r="197" spans="1:21">
      <c r="A197" s="2" t="s">
        <v>401</v>
      </c>
      <c r="B197" s="13" t="s">
        <v>691</v>
      </c>
      <c r="C197" s="2" t="s">
        <v>17</v>
      </c>
      <c r="D197" s="2">
        <v>87</v>
      </c>
      <c r="E197" s="2"/>
      <c r="F197" s="2"/>
      <c r="G197" s="2">
        <v>93</v>
      </c>
      <c r="H197" s="2">
        <v>86</v>
      </c>
      <c r="I197" s="2">
        <v>94</v>
      </c>
      <c r="J197" s="2">
        <v>94</v>
      </c>
      <c r="K197" s="2"/>
      <c r="L197" s="2">
        <v>98</v>
      </c>
      <c r="M197" s="2">
        <v>552</v>
      </c>
      <c r="N197" s="2">
        <v>92</v>
      </c>
      <c r="O197" s="8">
        <f t="shared" ref="O197:O242" si="22">LARGE(D197:L197,1)</f>
        <v>98</v>
      </c>
      <c r="P197" s="8">
        <f t="shared" ref="P197:P242" si="23">LARGE(D197:L197,2)</f>
        <v>94</v>
      </c>
      <c r="Q197" s="8">
        <f t="shared" ref="Q197:Q242" si="24">LARGE(D197:L197,3)</f>
        <v>94</v>
      </c>
      <c r="R197" s="8">
        <f t="shared" ref="R197:R242" si="25">LARGE(D197:L197,4)</f>
        <v>93</v>
      </c>
      <c r="S197" s="8">
        <f t="shared" ref="S197:S242" si="26">LARGE(D197:L197,5)</f>
        <v>87</v>
      </c>
      <c r="T197" s="11">
        <f t="shared" ref="T197:T242" si="27">SUM(LARGE(D197:L197, 1), LARGE(D197:L197, 2), LARGE(D197:L197, 3), LARGE(D197:L197, 4), LARGE(D197:L197, 5))</f>
        <v>466</v>
      </c>
      <c r="U197" s="11">
        <f t="shared" ref="U197:U242" si="28">T197/5</f>
        <v>93.2</v>
      </c>
    </row>
    <row r="198" spans="1:21">
      <c r="A198" s="2" t="s">
        <v>403</v>
      </c>
      <c r="B198" s="12" t="s">
        <v>692</v>
      </c>
      <c r="C198" s="2" t="s">
        <v>22</v>
      </c>
      <c r="D198" s="2">
        <v>96</v>
      </c>
      <c r="E198" s="2"/>
      <c r="F198" s="2">
        <v>90</v>
      </c>
      <c r="G198" s="2"/>
      <c r="H198" s="2">
        <v>64</v>
      </c>
      <c r="I198" s="2">
        <v>80</v>
      </c>
      <c r="J198" s="2">
        <v>94</v>
      </c>
      <c r="K198" s="2"/>
      <c r="L198" s="2">
        <v>92</v>
      </c>
      <c r="M198" s="2">
        <v>516</v>
      </c>
      <c r="N198" s="2">
        <v>86</v>
      </c>
      <c r="O198" s="8">
        <f t="shared" si="22"/>
        <v>96</v>
      </c>
      <c r="P198" s="8">
        <f t="shared" si="23"/>
        <v>94</v>
      </c>
      <c r="Q198" s="8">
        <f t="shared" si="24"/>
        <v>92</v>
      </c>
      <c r="R198" s="8">
        <f t="shared" si="25"/>
        <v>90</v>
      </c>
      <c r="S198" s="8">
        <f t="shared" si="26"/>
        <v>80</v>
      </c>
      <c r="T198" s="11">
        <f t="shared" si="27"/>
        <v>452</v>
      </c>
      <c r="U198" s="11">
        <f t="shared" si="28"/>
        <v>90.4</v>
      </c>
    </row>
    <row r="199" spans="1:21">
      <c r="A199" s="2" t="s">
        <v>405</v>
      </c>
      <c r="B199" s="12" t="s">
        <v>693</v>
      </c>
      <c r="C199" s="2" t="s">
        <v>22</v>
      </c>
      <c r="D199" s="2">
        <v>77</v>
      </c>
      <c r="E199" s="2">
        <v>78</v>
      </c>
      <c r="F199" s="2"/>
      <c r="G199" s="2"/>
      <c r="H199" s="2"/>
      <c r="I199" s="2">
        <v>73</v>
      </c>
      <c r="J199" s="2">
        <v>67</v>
      </c>
      <c r="K199" s="2">
        <v>75</v>
      </c>
      <c r="L199" s="2">
        <v>94</v>
      </c>
      <c r="M199" s="2">
        <v>464</v>
      </c>
      <c r="N199" s="2">
        <v>77.33</v>
      </c>
      <c r="O199" s="8">
        <f t="shared" si="22"/>
        <v>94</v>
      </c>
      <c r="P199" s="8">
        <f t="shared" si="23"/>
        <v>78</v>
      </c>
      <c r="Q199" s="8">
        <f t="shared" si="24"/>
        <v>77</v>
      </c>
      <c r="R199" s="8">
        <f t="shared" si="25"/>
        <v>75</v>
      </c>
      <c r="S199" s="8">
        <f t="shared" si="26"/>
        <v>73</v>
      </c>
      <c r="T199" s="11">
        <f t="shared" si="27"/>
        <v>397</v>
      </c>
      <c r="U199" s="11">
        <f t="shared" si="28"/>
        <v>79.400000000000006</v>
      </c>
    </row>
    <row r="200" spans="1:21">
      <c r="A200" s="2" t="s">
        <v>407</v>
      </c>
      <c r="B200" s="12" t="s">
        <v>694</v>
      </c>
      <c r="C200" s="2" t="s">
        <v>22</v>
      </c>
      <c r="D200" s="2">
        <v>77</v>
      </c>
      <c r="E200" s="2"/>
      <c r="F200" s="2">
        <v>96</v>
      </c>
      <c r="G200" s="2"/>
      <c r="H200" s="2">
        <v>93</v>
      </c>
      <c r="I200" s="2">
        <v>98</v>
      </c>
      <c r="J200" s="2">
        <v>90</v>
      </c>
      <c r="K200" s="2"/>
      <c r="L200" s="2">
        <v>99</v>
      </c>
      <c r="M200" s="2">
        <v>553</v>
      </c>
      <c r="N200" s="2">
        <v>92.17</v>
      </c>
      <c r="O200" s="8">
        <f t="shared" si="22"/>
        <v>99</v>
      </c>
      <c r="P200" s="8">
        <f t="shared" si="23"/>
        <v>98</v>
      </c>
      <c r="Q200" s="8">
        <f t="shared" si="24"/>
        <v>96</v>
      </c>
      <c r="R200" s="8">
        <f t="shared" si="25"/>
        <v>93</v>
      </c>
      <c r="S200" s="8">
        <f t="shared" si="26"/>
        <v>90</v>
      </c>
      <c r="T200" s="11">
        <f t="shared" si="27"/>
        <v>476</v>
      </c>
      <c r="U200" s="11">
        <f t="shared" si="28"/>
        <v>95.2</v>
      </c>
    </row>
    <row r="201" spans="1:21">
      <c r="A201" s="2" t="s">
        <v>409</v>
      </c>
      <c r="B201" s="13" t="s">
        <v>695</v>
      </c>
      <c r="C201" s="2" t="s">
        <v>17</v>
      </c>
      <c r="D201" s="2">
        <v>94</v>
      </c>
      <c r="E201" s="2"/>
      <c r="F201" s="2">
        <v>99</v>
      </c>
      <c r="G201" s="2"/>
      <c r="H201" s="2"/>
      <c r="I201" s="2">
        <v>93</v>
      </c>
      <c r="J201" s="2">
        <v>98</v>
      </c>
      <c r="K201" s="2">
        <v>94</v>
      </c>
      <c r="L201" s="2">
        <v>99</v>
      </c>
      <c r="M201" s="2">
        <v>577</v>
      </c>
      <c r="N201" s="2">
        <v>96.17</v>
      </c>
      <c r="O201" s="8">
        <f t="shared" si="22"/>
        <v>99</v>
      </c>
      <c r="P201" s="8">
        <f t="shared" si="23"/>
        <v>99</v>
      </c>
      <c r="Q201" s="8">
        <f t="shared" si="24"/>
        <v>98</v>
      </c>
      <c r="R201" s="8">
        <f t="shared" si="25"/>
        <v>94</v>
      </c>
      <c r="S201" s="8">
        <f t="shared" si="26"/>
        <v>94</v>
      </c>
      <c r="T201" s="11">
        <f t="shared" si="27"/>
        <v>484</v>
      </c>
      <c r="U201" s="11">
        <f t="shared" si="28"/>
        <v>96.8</v>
      </c>
    </row>
    <row r="202" spans="1:21">
      <c r="A202" s="2" t="s">
        <v>411</v>
      </c>
      <c r="B202" s="12" t="s">
        <v>696</v>
      </c>
      <c r="C202" s="2" t="s">
        <v>22</v>
      </c>
      <c r="D202" s="2">
        <v>71</v>
      </c>
      <c r="E202" s="2">
        <v>77</v>
      </c>
      <c r="F202" s="2"/>
      <c r="G202" s="2"/>
      <c r="H202" s="2"/>
      <c r="I202" s="2">
        <v>42</v>
      </c>
      <c r="J202" s="2">
        <v>64</v>
      </c>
      <c r="K202" s="2">
        <v>33</v>
      </c>
      <c r="L202" s="2">
        <v>66</v>
      </c>
      <c r="M202" s="2">
        <v>353</v>
      </c>
      <c r="N202" s="2">
        <v>58.83</v>
      </c>
      <c r="O202" s="8">
        <f t="shared" si="22"/>
        <v>77</v>
      </c>
      <c r="P202" s="8">
        <f t="shared" si="23"/>
        <v>71</v>
      </c>
      <c r="Q202" s="8">
        <f t="shared" si="24"/>
        <v>66</v>
      </c>
      <c r="R202" s="8">
        <f t="shared" si="25"/>
        <v>64</v>
      </c>
      <c r="S202" s="8">
        <f t="shared" si="26"/>
        <v>42</v>
      </c>
      <c r="T202" s="11">
        <f t="shared" si="27"/>
        <v>320</v>
      </c>
      <c r="U202" s="11">
        <f t="shared" si="28"/>
        <v>64</v>
      </c>
    </row>
    <row r="203" spans="1:21">
      <c r="A203" s="2" t="s">
        <v>413</v>
      </c>
      <c r="B203" s="13" t="s">
        <v>697</v>
      </c>
      <c r="C203" s="2" t="s">
        <v>22</v>
      </c>
      <c r="D203" s="2">
        <v>79</v>
      </c>
      <c r="E203" s="2">
        <v>86</v>
      </c>
      <c r="F203" s="2"/>
      <c r="G203" s="2"/>
      <c r="H203" s="2"/>
      <c r="I203" s="2">
        <v>73</v>
      </c>
      <c r="J203" s="2">
        <v>81</v>
      </c>
      <c r="K203" s="2">
        <v>77</v>
      </c>
      <c r="L203" s="2">
        <v>91</v>
      </c>
      <c r="M203" s="2">
        <v>487</v>
      </c>
      <c r="N203" s="2">
        <v>81.17</v>
      </c>
      <c r="O203" s="8">
        <f t="shared" si="22"/>
        <v>91</v>
      </c>
      <c r="P203" s="8">
        <f t="shared" si="23"/>
        <v>86</v>
      </c>
      <c r="Q203" s="8">
        <f t="shared" si="24"/>
        <v>81</v>
      </c>
      <c r="R203" s="8">
        <f t="shared" si="25"/>
        <v>79</v>
      </c>
      <c r="S203" s="8">
        <f t="shared" si="26"/>
        <v>77</v>
      </c>
      <c r="T203" s="11">
        <f t="shared" si="27"/>
        <v>414</v>
      </c>
      <c r="U203" s="11">
        <f t="shared" si="28"/>
        <v>82.8</v>
      </c>
    </row>
    <row r="204" spans="1:21">
      <c r="A204" s="2" t="s">
        <v>415</v>
      </c>
      <c r="B204" s="12" t="s">
        <v>698</v>
      </c>
      <c r="C204" s="2" t="s">
        <v>22</v>
      </c>
      <c r="D204" s="2">
        <v>67</v>
      </c>
      <c r="E204" s="2">
        <v>84</v>
      </c>
      <c r="F204" s="2"/>
      <c r="G204" s="2"/>
      <c r="H204" s="2">
        <v>60</v>
      </c>
      <c r="I204" s="2">
        <v>69</v>
      </c>
      <c r="J204" s="2">
        <v>92</v>
      </c>
      <c r="K204" s="2"/>
      <c r="L204" s="2">
        <v>94</v>
      </c>
      <c r="M204" s="2">
        <v>466</v>
      </c>
      <c r="N204" s="2">
        <v>77.67</v>
      </c>
      <c r="O204" s="8">
        <f t="shared" si="22"/>
        <v>94</v>
      </c>
      <c r="P204" s="8">
        <f t="shared" si="23"/>
        <v>92</v>
      </c>
      <c r="Q204" s="8">
        <f t="shared" si="24"/>
        <v>84</v>
      </c>
      <c r="R204" s="8">
        <f t="shared" si="25"/>
        <v>69</v>
      </c>
      <c r="S204" s="8">
        <f t="shared" si="26"/>
        <v>67</v>
      </c>
      <c r="T204" s="11">
        <f t="shared" si="27"/>
        <v>406</v>
      </c>
      <c r="U204" s="11">
        <f t="shared" si="28"/>
        <v>81.2</v>
      </c>
    </row>
    <row r="205" spans="1:21">
      <c r="A205" s="2" t="s">
        <v>417</v>
      </c>
      <c r="B205" s="12" t="s">
        <v>699</v>
      </c>
      <c r="C205" s="2" t="s">
        <v>17</v>
      </c>
      <c r="D205" s="2">
        <v>94</v>
      </c>
      <c r="E205" s="2"/>
      <c r="F205" s="2">
        <v>98</v>
      </c>
      <c r="G205" s="2"/>
      <c r="H205" s="2">
        <v>90</v>
      </c>
      <c r="I205" s="2">
        <v>97</v>
      </c>
      <c r="J205" s="2">
        <v>93</v>
      </c>
      <c r="K205" s="2"/>
      <c r="L205" s="2">
        <v>100</v>
      </c>
      <c r="M205" s="2">
        <v>572</v>
      </c>
      <c r="N205" s="2">
        <v>95.33</v>
      </c>
      <c r="O205" s="8">
        <f t="shared" si="22"/>
        <v>100</v>
      </c>
      <c r="P205" s="8">
        <f t="shared" si="23"/>
        <v>98</v>
      </c>
      <c r="Q205" s="8">
        <f t="shared" si="24"/>
        <v>97</v>
      </c>
      <c r="R205" s="8">
        <f t="shared" si="25"/>
        <v>94</v>
      </c>
      <c r="S205" s="8">
        <f t="shared" si="26"/>
        <v>93</v>
      </c>
      <c r="T205" s="11">
        <f t="shared" si="27"/>
        <v>482</v>
      </c>
      <c r="U205" s="11">
        <f t="shared" si="28"/>
        <v>96.4</v>
      </c>
    </row>
    <row r="206" spans="1:21">
      <c r="A206" s="2" t="s">
        <v>419</v>
      </c>
      <c r="B206" s="12" t="s">
        <v>700</v>
      </c>
      <c r="C206" s="2" t="s">
        <v>22</v>
      </c>
      <c r="D206" s="2">
        <v>75</v>
      </c>
      <c r="E206" s="2"/>
      <c r="F206" s="2">
        <v>76</v>
      </c>
      <c r="G206" s="2"/>
      <c r="H206" s="2">
        <v>78</v>
      </c>
      <c r="I206" s="2">
        <v>91</v>
      </c>
      <c r="J206" s="2">
        <v>73</v>
      </c>
      <c r="K206" s="2"/>
      <c r="L206" s="2">
        <v>97</v>
      </c>
      <c r="M206" s="2">
        <v>490</v>
      </c>
      <c r="N206" s="2">
        <v>81.67</v>
      </c>
      <c r="O206" s="8">
        <f t="shared" si="22"/>
        <v>97</v>
      </c>
      <c r="P206" s="8">
        <f t="shared" si="23"/>
        <v>91</v>
      </c>
      <c r="Q206" s="8">
        <f t="shared" si="24"/>
        <v>78</v>
      </c>
      <c r="R206" s="8">
        <f t="shared" si="25"/>
        <v>76</v>
      </c>
      <c r="S206" s="8">
        <f t="shared" si="26"/>
        <v>75</v>
      </c>
      <c r="T206" s="11">
        <f t="shared" si="27"/>
        <v>417</v>
      </c>
      <c r="U206" s="11">
        <f t="shared" si="28"/>
        <v>83.4</v>
      </c>
    </row>
    <row r="207" spans="1:21">
      <c r="A207" s="2" t="s">
        <v>421</v>
      </c>
      <c r="B207" s="13" t="s">
        <v>701</v>
      </c>
      <c r="C207" s="2" t="s">
        <v>22</v>
      </c>
      <c r="D207" s="2">
        <v>82</v>
      </c>
      <c r="E207" s="2">
        <v>92</v>
      </c>
      <c r="F207" s="2"/>
      <c r="G207" s="2"/>
      <c r="H207" s="2"/>
      <c r="I207" s="2">
        <v>73</v>
      </c>
      <c r="J207" s="2">
        <v>97</v>
      </c>
      <c r="K207" s="2">
        <v>68</v>
      </c>
      <c r="L207" s="2">
        <v>96</v>
      </c>
      <c r="M207" s="2">
        <v>508</v>
      </c>
      <c r="N207" s="2">
        <v>84.67</v>
      </c>
      <c r="O207" s="8">
        <f t="shared" si="22"/>
        <v>97</v>
      </c>
      <c r="P207" s="8">
        <f t="shared" si="23"/>
        <v>96</v>
      </c>
      <c r="Q207" s="8">
        <f t="shared" si="24"/>
        <v>92</v>
      </c>
      <c r="R207" s="8">
        <f t="shared" si="25"/>
        <v>82</v>
      </c>
      <c r="S207" s="8">
        <f t="shared" si="26"/>
        <v>73</v>
      </c>
      <c r="T207" s="11">
        <f t="shared" si="27"/>
        <v>440</v>
      </c>
      <c r="U207" s="11">
        <f t="shared" si="28"/>
        <v>88</v>
      </c>
    </row>
    <row r="208" spans="1:21">
      <c r="A208" s="2" t="s">
        <v>423</v>
      </c>
      <c r="B208" s="12" t="s">
        <v>702</v>
      </c>
      <c r="C208" s="2" t="s">
        <v>17</v>
      </c>
      <c r="D208" s="2">
        <v>83</v>
      </c>
      <c r="E208" s="2"/>
      <c r="F208" s="2"/>
      <c r="G208" s="2">
        <v>91</v>
      </c>
      <c r="H208" s="2">
        <v>85</v>
      </c>
      <c r="I208" s="2">
        <v>87</v>
      </c>
      <c r="J208" s="2">
        <v>84</v>
      </c>
      <c r="K208" s="2"/>
      <c r="L208" s="2">
        <v>97</v>
      </c>
      <c r="M208" s="2">
        <v>527</v>
      </c>
      <c r="N208" s="2">
        <v>87.83</v>
      </c>
      <c r="O208" s="8">
        <f t="shared" si="22"/>
        <v>97</v>
      </c>
      <c r="P208" s="8">
        <f t="shared" si="23"/>
        <v>91</v>
      </c>
      <c r="Q208" s="8">
        <f t="shared" si="24"/>
        <v>87</v>
      </c>
      <c r="R208" s="8">
        <f t="shared" si="25"/>
        <v>85</v>
      </c>
      <c r="S208" s="8">
        <f t="shared" si="26"/>
        <v>84</v>
      </c>
      <c r="T208" s="11">
        <f t="shared" si="27"/>
        <v>444</v>
      </c>
      <c r="U208" s="11">
        <f t="shared" si="28"/>
        <v>88.8</v>
      </c>
    </row>
    <row r="209" spans="1:21">
      <c r="A209" s="2" t="s">
        <v>425</v>
      </c>
      <c r="B209" s="12" t="s">
        <v>703</v>
      </c>
      <c r="C209" s="2" t="s">
        <v>17</v>
      </c>
      <c r="D209" s="2">
        <v>91</v>
      </c>
      <c r="E209" s="2"/>
      <c r="F209" s="2">
        <v>96</v>
      </c>
      <c r="G209" s="2"/>
      <c r="H209" s="2">
        <v>85</v>
      </c>
      <c r="I209" s="2">
        <v>93</v>
      </c>
      <c r="J209" s="2">
        <v>90</v>
      </c>
      <c r="K209" s="2"/>
      <c r="L209" s="2">
        <v>100</v>
      </c>
      <c r="M209" s="2">
        <v>555</v>
      </c>
      <c r="N209" s="2">
        <v>92.5</v>
      </c>
      <c r="O209" s="8">
        <f t="shared" si="22"/>
        <v>100</v>
      </c>
      <c r="P209" s="8">
        <f t="shared" si="23"/>
        <v>96</v>
      </c>
      <c r="Q209" s="8">
        <f t="shared" si="24"/>
        <v>93</v>
      </c>
      <c r="R209" s="8">
        <f t="shared" si="25"/>
        <v>91</v>
      </c>
      <c r="S209" s="8">
        <f t="shared" si="26"/>
        <v>90</v>
      </c>
      <c r="T209" s="11">
        <f t="shared" si="27"/>
        <v>470</v>
      </c>
      <c r="U209" s="11">
        <f t="shared" si="28"/>
        <v>94</v>
      </c>
    </row>
    <row r="210" spans="1:21">
      <c r="A210" s="2" t="s">
        <v>427</v>
      </c>
      <c r="B210" s="12" t="s">
        <v>704</v>
      </c>
      <c r="C210" s="2" t="s">
        <v>17</v>
      </c>
      <c r="D210" s="2">
        <v>96</v>
      </c>
      <c r="E210" s="2">
        <v>87</v>
      </c>
      <c r="F210" s="2"/>
      <c r="G210" s="2"/>
      <c r="H210" s="2">
        <v>76</v>
      </c>
      <c r="I210" s="2">
        <v>73</v>
      </c>
      <c r="J210" s="2">
        <v>77</v>
      </c>
      <c r="K210" s="2"/>
      <c r="L210" s="2">
        <v>99</v>
      </c>
      <c r="M210" s="2">
        <v>508</v>
      </c>
      <c r="N210" s="2">
        <v>84.67</v>
      </c>
      <c r="O210" s="8">
        <f t="shared" si="22"/>
        <v>99</v>
      </c>
      <c r="P210" s="8">
        <f t="shared" si="23"/>
        <v>96</v>
      </c>
      <c r="Q210" s="8">
        <f t="shared" si="24"/>
        <v>87</v>
      </c>
      <c r="R210" s="8">
        <f t="shared" si="25"/>
        <v>77</v>
      </c>
      <c r="S210" s="8">
        <f t="shared" si="26"/>
        <v>76</v>
      </c>
      <c r="T210" s="11">
        <f t="shared" si="27"/>
        <v>435</v>
      </c>
      <c r="U210" s="11">
        <f t="shared" si="28"/>
        <v>87</v>
      </c>
    </row>
    <row r="211" spans="1:21">
      <c r="A211" s="2" t="s">
        <v>429</v>
      </c>
      <c r="B211" s="13" t="s">
        <v>705</v>
      </c>
      <c r="C211" s="2" t="s">
        <v>22</v>
      </c>
      <c r="D211" s="2">
        <v>86</v>
      </c>
      <c r="E211" s="2"/>
      <c r="F211" s="2"/>
      <c r="G211" s="2">
        <v>85</v>
      </c>
      <c r="H211" s="2">
        <v>98</v>
      </c>
      <c r="I211" s="2">
        <v>96</v>
      </c>
      <c r="J211" s="2">
        <v>88</v>
      </c>
      <c r="K211" s="2"/>
      <c r="L211" s="2">
        <v>97</v>
      </c>
      <c r="M211" s="2">
        <v>550</v>
      </c>
      <c r="N211" s="2">
        <v>91.67</v>
      </c>
      <c r="O211" s="8">
        <f t="shared" si="22"/>
        <v>98</v>
      </c>
      <c r="P211" s="8">
        <f t="shared" si="23"/>
        <v>97</v>
      </c>
      <c r="Q211" s="8">
        <f t="shared" si="24"/>
        <v>96</v>
      </c>
      <c r="R211" s="8">
        <f t="shared" si="25"/>
        <v>88</v>
      </c>
      <c r="S211" s="8">
        <f t="shared" si="26"/>
        <v>86</v>
      </c>
      <c r="T211" s="11">
        <f t="shared" si="27"/>
        <v>465</v>
      </c>
      <c r="U211" s="11">
        <f t="shared" si="28"/>
        <v>93</v>
      </c>
    </row>
    <row r="212" spans="1:21">
      <c r="A212" s="2" t="s">
        <v>431</v>
      </c>
      <c r="B212" s="13" t="s">
        <v>706</v>
      </c>
      <c r="C212" s="2" t="s">
        <v>22</v>
      </c>
      <c r="D212" s="2">
        <v>92</v>
      </c>
      <c r="E212" s="2">
        <v>86</v>
      </c>
      <c r="F212" s="2"/>
      <c r="G212" s="2"/>
      <c r="H212" s="2">
        <v>86</v>
      </c>
      <c r="I212" s="2">
        <v>88</v>
      </c>
      <c r="J212" s="2">
        <v>75</v>
      </c>
      <c r="K212" s="2"/>
      <c r="L212" s="2">
        <v>93</v>
      </c>
      <c r="M212" s="2">
        <v>520</v>
      </c>
      <c r="N212" s="2">
        <v>86.67</v>
      </c>
      <c r="O212" s="8">
        <f t="shared" si="22"/>
        <v>93</v>
      </c>
      <c r="P212" s="8">
        <f t="shared" si="23"/>
        <v>92</v>
      </c>
      <c r="Q212" s="8">
        <f t="shared" si="24"/>
        <v>88</v>
      </c>
      <c r="R212" s="8">
        <f t="shared" si="25"/>
        <v>86</v>
      </c>
      <c r="S212" s="8">
        <f t="shared" si="26"/>
        <v>86</v>
      </c>
      <c r="T212" s="11">
        <f t="shared" si="27"/>
        <v>445</v>
      </c>
      <c r="U212" s="11">
        <f t="shared" si="28"/>
        <v>89</v>
      </c>
    </row>
    <row r="213" spans="1:21">
      <c r="A213" s="2" t="s">
        <v>433</v>
      </c>
      <c r="B213" s="13" t="s">
        <v>707</v>
      </c>
      <c r="C213" s="2" t="s">
        <v>22</v>
      </c>
      <c r="D213" s="2">
        <v>95</v>
      </c>
      <c r="E213" s="2">
        <v>90</v>
      </c>
      <c r="F213" s="2"/>
      <c r="G213" s="2"/>
      <c r="H213" s="2">
        <v>65</v>
      </c>
      <c r="I213" s="2">
        <v>90</v>
      </c>
      <c r="J213" s="2">
        <v>97</v>
      </c>
      <c r="K213" s="2"/>
      <c r="L213" s="2">
        <v>100</v>
      </c>
      <c r="M213" s="2">
        <v>537</v>
      </c>
      <c r="N213" s="2">
        <v>89.5</v>
      </c>
      <c r="O213" s="8">
        <f t="shared" si="22"/>
        <v>100</v>
      </c>
      <c r="P213" s="8">
        <f t="shared" si="23"/>
        <v>97</v>
      </c>
      <c r="Q213" s="8">
        <f t="shared" si="24"/>
        <v>95</v>
      </c>
      <c r="R213" s="8">
        <f t="shared" si="25"/>
        <v>90</v>
      </c>
      <c r="S213" s="8">
        <f t="shared" si="26"/>
        <v>90</v>
      </c>
      <c r="T213" s="11">
        <f t="shared" si="27"/>
        <v>472</v>
      </c>
      <c r="U213" s="11">
        <f t="shared" si="28"/>
        <v>94.4</v>
      </c>
    </row>
    <row r="214" spans="1:21">
      <c r="A214" s="2" t="s">
        <v>435</v>
      </c>
      <c r="B214" s="12" t="s">
        <v>708</v>
      </c>
      <c r="C214" s="2" t="s">
        <v>22</v>
      </c>
      <c r="D214" s="2">
        <v>85</v>
      </c>
      <c r="E214" s="2"/>
      <c r="F214" s="2">
        <v>85</v>
      </c>
      <c r="G214" s="2"/>
      <c r="H214" s="2">
        <v>64</v>
      </c>
      <c r="I214" s="2">
        <v>90</v>
      </c>
      <c r="J214" s="2">
        <v>91</v>
      </c>
      <c r="K214" s="2"/>
      <c r="L214" s="2">
        <v>100</v>
      </c>
      <c r="M214" s="2">
        <v>515</v>
      </c>
      <c r="N214" s="2">
        <v>85.83</v>
      </c>
      <c r="O214" s="8">
        <f t="shared" si="22"/>
        <v>100</v>
      </c>
      <c r="P214" s="8">
        <f t="shared" si="23"/>
        <v>91</v>
      </c>
      <c r="Q214" s="8">
        <f t="shared" si="24"/>
        <v>90</v>
      </c>
      <c r="R214" s="8">
        <f t="shared" si="25"/>
        <v>85</v>
      </c>
      <c r="S214" s="8">
        <f t="shared" si="26"/>
        <v>85</v>
      </c>
      <c r="T214" s="11">
        <f t="shared" si="27"/>
        <v>451</v>
      </c>
      <c r="U214" s="11">
        <f t="shared" si="28"/>
        <v>90.2</v>
      </c>
    </row>
    <row r="215" spans="1:21">
      <c r="A215" s="2" t="s">
        <v>437</v>
      </c>
      <c r="B215" s="12" t="s">
        <v>709</v>
      </c>
      <c r="C215" s="2" t="s">
        <v>22</v>
      </c>
      <c r="D215" s="2">
        <v>67</v>
      </c>
      <c r="E215" s="2"/>
      <c r="F215" s="2">
        <v>71</v>
      </c>
      <c r="G215" s="2"/>
      <c r="H215" s="2"/>
      <c r="I215" s="2">
        <v>63</v>
      </c>
      <c r="J215" s="2">
        <v>62</v>
      </c>
      <c r="K215" s="2">
        <v>53</v>
      </c>
      <c r="L215" s="2">
        <v>87</v>
      </c>
      <c r="M215" s="2">
        <v>403</v>
      </c>
      <c r="N215" s="2">
        <v>67.17</v>
      </c>
      <c r="O215" s="8">
        <f t="shared" si="22"/>
        <v>87</v>
      </c>
      <c r="P215" s="8">
        <f t="shared" si="23"/>
        <v>71</v>
      </c>
      <c r="Q215" s="8">
        <f t="shared" si="24"/>
        <v>67</v>
      </c>
      <c r="R215" s="8">
        <f t="shared" si="25"/>
        <v>63</v>
      </c>
      <c r="S215" s="8">
        <f t="shared" si="26"/>
        <v>62</v>
      </c>
      <c r="T215" s="11">
        <f t="shared" si="27"/>
        <v>350</v>
      </c>
      <c r="U215" s="11">
        <f t="shared" si="28"/>
        <v>70</v>
      </c>
    </row>
    <row r="216" spans="1:21">
      <c r="A216" s="2" t="s">
        <v>439</v>
      </c>
      <c r="B216" s="12" t="s">
        <v>710</v>
      </c>
      <c r="C216" s="2" t="s">
        <v>17</v>
      </c>
      <c r="D216" s="2">
        <v>83</v>
      </c>
      <c r="E216" s="2"/>
      <c r="F216" s="2">
        <v>83</v>
      </c>
      <c r="G216" s="2"/>
      <c r="H216" s="2">
        <v>59</v>
      </c>
      <c r="I216" s="2">
        <v>59</v>
      </c>
      <c r="J216" s="2">
        <v>79</v>
      </c>
      <c r="K216" s="2"/>
      <c r="L216" s="2">
        <v>94</v>
      </c>
      <c r="M216" s="2">
        <v>457</v>
      </c>
      <c r="N216" s="2">
        <v>76.17</v>
      </c>
      <c r="O216" s="8">
        <f t="shared" si="22"/>
        <v>94</v>
      </c>
      <c r="P216" s="8">
        <f t="shared" si="23"/>
        <v>83</v>
      </c>
      <c r="Q216" s="8">
        <f t="shared" si="24"/>
        <v>83</v>
      </c>
      <c r="R216" s="8">
        <f t="shared" si="25"/>
        <v>79</v>
      </c>
      <c r="S216" s="8">
        <f t="shared" si="26"/>
        <v>59</v>
      </c>
      <c r="T216" s="11">
        <f t="shared" si="27"/>
        <v>398</v>
      </c>
      <c r="U216" s="11">
        <f t="shared" si="28"/>
        <v>79.599999999999994</v>
      </c>
    </row>
    <row r="217" spans="1:21">
      <c r="A217" s="2" t="s">
        <v>441</v>
      </c>
      <c r="B217" s="13" t="s">
        <v>711</v>
      </c>
      <c r="C217" s="2" t="s">
        <v>17</v>
      </c>
      <c r="D217" s="2">
        <v>94</v>
      </c>
      <c r="E217" s="2"/>
      <c r="F217" s="2">
        <v>99</v>
      </c>
      <c r="G217" s="2"/>
      <c r="H217" s="2">
        <v>93</v>
      </c>
      <c r="I217" s="2">
        <v>99</v>
      </c>
      <c r="J217" s="2">
        <v>98</v>
      </c>
      <c r="K217" s="2"/>
      <c r="L217" s="2">
        <v>99</v>
      </c>
      <c r="M217" s="2">
        <v>582</v>
      </c>
      <c r="N217" s="2">
        <v>97</v>
      </c>
      <c r="O217" s="8">
        <f t="shared" si="22"/>
        <v>99</v>
      </c>
      <c r="P217" s="8">
        <f t="shared" si="23"/>
        <v>99</v>
      </c>
      <c r="Q217" s="8">
        <f t="shared" si="24"/>
        <v>99</v>
      </c>
      <c r="R217" s="8">
        <f t="shared" si="25"/>
        <v>98</v>
      </c>
      <c r="S217" s="8">
        <f t="shared" si="26"/>
        <v>94</v>
      </c>
      <c r="T217" s="11">
        <f t="shared" si="27"/>
        <v>489</v>
      </c>
      <c r="U217" s="11">
        <f t="shared" si="28"/>
        <v>97.8</v>
      </c>
    </row>
    <row r="218" spans="1:21">
      <c r="A218" s="2" t="s">
        <v>443</v>
      </c>
      <c r="B218" s="13" t="s">
        <v>712</v>
      </c>
      <c r="C218" s="2" t="s">
        <v>17</v>
      </c>
      <c r="D218" s="2">
        <v>82</v>
      </c>
      <c r="E218" s="2"/>
      <c r="F218" s="2"/>
      <c r="G218" s="2">
        <v>98</v>
      </c>
      <c r="H218" s="2">
        <v>93</v>
      </c>
      <c r="I218" s="2">
        <v>97</v>
      </c>
      <c r="J218" s="2">
        <v>97</v>
      </c>
      <c r="K218" s="2"/>
      <c r="L218" s="2">
        <v>100</v>
      </c>
      <c r="M218" s="2">
        <v>567</v>
      </c>
      <c r="N218" s="2">
        <v>94.5</v>
      </c>
      <c r="O218" s="8">
        <f t="shared" si="22"/>
        <v>100</v>
      </c>
      <c r="P218" s="8">
        <f t="shared" si="23"/>
        <v>98</v>
      </c>
      <c r="Q218" s="8">
        <f t="shared" si="24"/>
        <v>97</v>
      </c>
      <c r="R218" s="8">
        <f t="shared" si="25"/>
        <v>97</v>
      </c>
      <c r="S218" s="8">
        <f t="shared" si="26"/>
        <v>93</v>
      </c>
      <c r="T218" s="11">
        <f t="shared" si="27"/>
        <v>485</v>
      </c>
      <c r="U218" s="11">
        <f t="shared" si="28"/>
        <v>97</v>
      </c>
    </row>
    <row r="219" spans="1:21">
      <c r="A219" s="2" t="s">
        <v>445</v>
      </c>
      <c r="B219" s="12" t="s">
        <v>713</v>
      </c>
      <c r="C219" s="2" t="s">
        <v>22</v>
      </c>
      <c r="D219" s="2">
        <v>88</v>
      </c>
      <c r="E219" s="2"/>
      <c r="F219" s="2">
        <v>92</v>
      </c>
      <c r="G219" s="2"/>
      <c r="H219" s="2">
        <v>47</v>
      </c>
      <c r="I219" s="2">
        <v>71</v>
      </c>
      <c r="J219" s="2">
        <v>77</v>
      </c>
      <c r="K219" s="2"/>
      <c r="L219" s="2">
        <v>100</v>
      </c>
      <c r="M219" s="2">
        <v>475</v>
      </c>
      <c r="N219" s="2">
        <v>79.17</v>
      </c>
      <c r="O219" s="8">
        <f t="shared" si="22"/>
        <v>100</v>
      </c>
      <c r="P219" s="8">
        <f t="shared" si="23"/>
        <v>92</v>
      </c>
      <c r="Q219" s="8">
        <f t="shared" si="24"/>
        <v>88</v>
      </c>
      <c r="R219" s="8">
        <f t="shared" si="25"/>
        <v>77</v>
      </c>
      <c r="S219" s="8">
        <f t="shared" si="26"/>
        <v>71</v>
      </c>
      <c r="T219" s="11">
        <f t="shared" si="27"/>
        <v>428</v>
      </c>
      <c r="U219" s="11">
        <f t="shared" si="28"/>
        <v>85.6</v>
      </c>
    </row>
    <row r="220" spans="1:21">
      <c r="A220" s="2" t="s">
        <v>447</v>
      </c>
      <c r="B220" s="12" t="s">
        <v>714</v>
      </c>
      <c r="C220" s="2" t="s">
        <v>22</v>
      </c>
      <c r="D220" s="2">
        <v>84</v>
      </c>
      <c r="E220" s="2"/>
      <c r="F220" s="2">
        <v>93</v>
      </c>
      <c r="G220" s="2"/>
      <c r="H220" s="2">
        <v>78</v>
      </c>
      <c r="I220" s="2">
        <v>69</v>
      </c>
      <c r="J220" s="2">
        <v>86</v>
      </c>
      <c r="K220" s="2"/>
      <c r="L220" s="2">
        <v>96</v>
      </c>
      <c r="M220" s="2">
        <v>506</v>
      </c>
      <c r="N220" s="2">
        <v>84.33</v>
      </c>
      <c r="O220" s="8">
        <f t="shared" si="22"/>
        <v>96</v>
      </c>
      <c r="P220" s="8">
        <f t="shared" si="23"/>
        <v>93</v>
      </c>
      <c r="Q220" s="8">
        <f t="shared" si="24"/>
        <v>86</v>
      </c>
      <c r="R220" s="8">
        <f t="shared" si="25"/>
        <v>84</v>
      </c>
      <c r="S220" s="8">
        <f t="shared" si="26"/>
        <v>78</v>
      </c>
      <c r="T220" s="11">
        <f t="shared" si="27"/>
        <v>437</v>
      </c>
      <c r="U220" s="11">
        <f t="shared" si="28"/>
        <v>87.4</v>
      </c>
    </row>
    <row r="221" spans="1:21">
      <c r="A221" s="2" t="s">
        <v>449</v>
      </c>
      <c r="B221" s="13" t="s">
        <v>715</v>
      </c>
      <c r="C221" s="2" t="s">
        <v>22</v>
      </c>
      <c r="D221" s="2">
        <v>89</v>
      </c>
      <c r="E221" s="2">
        <v>82</v>
      </c>
      <c r="F221" s="2"/>
      <c r="G221" s="2"/>
      <c r="H221" s="2"/>
      <c r="I221" s="2">
        <v>89</v>
      </c>
      <c r="J221" s="2">
        <v>84</v>
      </c>
      <c r="K221" s="2">
        <v>79</v>
      </c>
      <c r="L221" s="2">
        <v>96</v>
      </c>
      <c r="M221" s="2">
        <v>519</v>
      </c>
      <c r="N221" s="2">
        <v>86.5</v>
      </c>
      <c r="O221" s="8">
        <f t="shared" si="22"/>
        <v>96</v>
      </c>
      <c r="P221" s="8">
        <f t="shared" si="23"/>
        <v>89</v>
      </c>
      <c r="Q221" s="8">
        <f t="shared" si="24"/>
        <v>89</v>
      </c>
      <c r="R221" s="8">
        <f t="shared" si="25"/>
        <v>84</v>
      </c>
      <c r="S221" s="8">
        <f t="shared" si="26"/>
        <v>82</v>
      </c>
      <c r="T221" s="11">
        <f t="shared" si="27"/>
        <v>440</v>
      </c>
      <c r="U221" s="11">
        <f t="shared" si="28"/>
        <v>88</v>
      </c>
    </row>
    <row r="222" spans="1:21">
      <c r="A222" s="2" t="s">
        <v>451</v>
      </c>
      <c r="B222" s="13" t="s">
        <v>716</v>
      </c>
      <c r="C222" s="2" t="s">
        <v>17</v>
      </c>
      <c r="D222" s="2">
        <v>82</v>
      </c>
      <c r="E222" s="2"/>
      <c r="F222" s="2"/>
      <c r="G222" s="2">
        <v>96</v>
      </c>
      <c r="H222" s="2">
        <v>85</v>
      </c>
      <c r="I222" s="2">
        <v>94</v>
      </c>
      <c r="J222" s="2">
        <v>94</v>
      </c>
      <c r="K222" s="2"/>
      <c r="L222" s="2">
        <v>98</v>
      </c>
      <c r="M222" s="2">
        <v>549</v>
      </c>
      <c r="N222" s="2">
        <v>91.5</v>
      </c>
      <c r="O222" s="8">
        <f t="shared" si="22"/>
        <v>98</v>
      </c>
      <c r="P222" s="8">
        <f t="shared" si="23"/>
        <v>96</v>
      </c>
      <c r="Q222" s="8">
        <f t="shared" si="24"/>
        <v>94</v>
      </c>
      <c r="R222" s="8">
        <f t="shared" si="25"/>
        <v>94</v>
      </c>
      <c r="S222" s="8">
        <f t="shared" si="26"/>
        <v>85</v>
      </c>
      <c r="T222" s="11">
        <f t="shared" si="27"/>
        <v>467</v>
      </c>
      <c r="U222" s="11">
        <f t="shared" si="28"/>
        <v>93.4</v>
      </c>
    </row>
    <row r="223" spans="1:21">
      <c r="A223" s="2" t="s">
        <v>453</v>
      </c>
      <c r="B223" s="13" t="s">
        <v>717</v>
      </c>
      <c r="C223" s="2" t="s">
        <v>17</v>
      </c>
      <c r="D223" s="2">
        <v>87</v>
      </c>
      <c r="E223" s="2">
        <v>92</v>
      </c>
      <c r="F223" s="2"/>
      <c r="G223" s="2"/>
      <c r="H223" s="2"/>
      <c r="I223" s="2">
        <v>94</v>
      </c>
      <c r="J223" s="2">
        <v>92</v>
      </c>
      <c r="K223" s="2">
        <v>84</v>
      </c>
      <c r="L223" s="2">
        <v>100</v>
      </c>
      <c r="M223" s="2">
        <v>549</v>
      </c>
      <c r="N223" s="2">
        <v>91.5</v>
      </c>
      <c r="O223" s="8">
        <f t="shared" si="22"/>
        <v>100</v>
      </c>
      <c r="P223" s="8">
        <f t="shared" si="23"/>
        <v>94</v>
      </c>
      <c r="Q223" s="8">
        <f t="shared" si="24"/>
        <v>92</v>
      </c>
      <c r="R223" s="8">
        <f t="shared" si="25"/>
        <v>92</v>
      </c>
      <c r="S223" s="8">
        <f t="shared" si="26"/>
        <v>87</v>
      </c>
      <c r="T223" s="11">
        <f t="shared" si="27"/>
        <v>465</v>
      </c>
      <c r="U223" s="11">
        <f t="shared" si="28"/>
        <v>93</v>
      </c>
    </row>
    <row r="224" spans="1:21">
      <c r="A224" s="2" t="s">
        <v>455</v>
      </c>
      <c r="B224" s="12" t="s">
        <v>718</v>
      </c>
      <c r="C224" s="2" t="s">
        <v>22</v>
      </c>
      <c r="D224" s="2">
        <v>70</v>
      </c>
      <c r="E224" s="2"/>
      <c r="F224" s="2"/>
      <c r="G224" s="2">
        <v>61</v>
      </c>
      <c r="H224" s="2"/>
      <c r="I224" s="2">
        <v>94</v>
      </c>
      <c r="J224" s="2">
        <v>62</v>
      </c>
      <c r="K224" s="2">
        <v>70</v>
      </c>
      <c r="L224" s="2">
        <v>98</v>
      </c>
      <c r="M224" s="2">
        <v>455</v>
      </c>
      <c r="N224" s="2">
        <v>75.83</v>
      </c>
      <c r="O224" s="8">
        <f t="shared" si="22"/>
        <v>98</v>
      </c>
      <c r="P224" s="8">
        <f t="shared" si="23"/>
        <v>94</v>
      </c>
      <c r="Q224" s="8">
        <f t="shared" si="24"/>
        <v>70</v>
      </c>
      <c r="R224" s="8">
        <f t="shared" si="25"/>
        <v>70</v>
      </c>
      <c r="S224" s="8">
        <f t="shared" si="26"/>
        <v>62</v>
      </c>
      <c r="T224" s="11">
        <f t="shared" si="27"/>
        <v>394</v>
      </c>
      <c r="U224" s="11">
        <f t="shared" si="28"/>
        <v>78.8</v>
      </c>
    </row>
    <row r="225" spans="1:21">
      <c r="A225" s="2" t="s">
        <v>457</v>
      </c>
      <c r="B225" s="13" t="s">
        <v>719</v>
      </c>
      <c r="C225" s="2" t="s">
        <v>17</v>
      </c>
      <c r="D225" s="2">
        <v>96</v>
      </c>
      <c r="E225" s="2"/>
      <c r="F225" s="2">
        <v>100</v>
      </c>
      <c r="G225" s="2"/>
      <c r="H225" s="2">
        <v>95</v>
      </c>
      <c r="I225" s="2">
        <v>94</v>
      </c>
      <c r="J225" s="2">
        <v>100</v>
      </c>
      <c r="K225" s="2"/>
      <c r="L225" s="2">
        <v>100</v>
      </c>
      <c r="M225" s="2">
        <v>585</v>
      </c>
      <c r="N225" s="2">
        <v>97.5</v>
      </c>
      <c r="O225" s="8">
        <f t="shared" si="22"/>
        <v>100</v>
      </c>
      <c r="P225" s="8">
        <f t="shared" si="23"/>
        <v>100</v>
      </c>
      <c r="Q225" s="8">
        <f t="shared" si="24"/>
        <v>100</v>
      </c>
      <c r="R225" s="8">
        <f t="shared" si="25"/>
        <v>96</v>
      </c>
      <c r="S225" s="8">
        <f t="shared" si="26"/>
        <v>95</v>
      </c>
      <c r="T225" s="11">
        <f t="shared" si="27"/>
        <v>491</v>
      </c>
      <c r="U225" s="11">
        <f t="shared" si="28"/>
        <v>98.2</v>
      </c>
    </row>
    <row r="226" spans="1:21">
      <c r="A226" s="2" t="s">
        <v>459</v>
      </c>
      <c r="B226" s="12" t="s">
        <v>720</v>
      </c>
      <c r="C226" s="2" t="s">
        <v>17</v>
      </c>
      <c r="D226" s="2">
        <v>62</v>
      </c>
      <c r="E226" s="2"/>
      <c r="F226" s="2">
        <v>66</v>
      </c>
      <c r="G226" s="2"/>
      <c r="H226" s="2"/>
      <c r="I226" s="2">
        <v>36</v>
      </c>
      <c r="J226" s="2">
        <v>53</v>
      </c>
      <c r="K226" s="2">
        <v>28</v>
      </c>
      <c r="L226" s="2">
        <v>68</v>
      </c>
      <c r="M226" s="2">
        <v>313</v>
      </c>
      <c r="N226" s="2">
        <v>52.17</v>
      </c>
      <c r="O226" s="8">
        <f t="shared" si="22"/>
        <v>68</v>
      </c>
      <c r="P226" s="8">
        <f t="shared" si="23"/>
        <v>66</v>
      </c>
      <c r="Q226" s="8">
        <f t="shared" si="24"/>
        <v>62</v>
      </c>
      <c r="R226" s="8">
        <f t="shared" si="25"/>
        <v>53</v>
      </c>
      <c r="S226" s="8">
        <f t="shared" si="26"/>
        <v>36</v>
      </c>
      <c r="T226" s="11">
        <f t="shared" si="27"/>
        <v>285</v>
      </c>
      <c r="U226" s="11">
        <f t="shared" si="28"/>
        <v>57</v>
      </c>
    </row>
    <row r="227" spans="1:21">
      <c r="A227" s="2" t="s">
        <v>461</v>
      </c>
      <c r="B227" s="12" t="s">
        <v>721</v>
      </c>
      <c r="C227" s="2" t="s">
        <v>22</v>
      </c>
      <c r="D227" s="2">
        <v>77</v>
      </c>
      <c r="E227" s="2">
        <v>90</v>
      </c>
      <c r="F227" s="2"/>
      <c r="G227" s="2"/>
      <c r="H227" s="2"/>
      <c r="I227" s="2">
        <v>84</v>
      </c>
      <c r="J227" s="2">
        <v>83</v>
      </c>
      <c r="K227" s="2">
        <v>87</v>
      </c>
      <c r="L227" s="2">
        <v>98</v>
      </c>
      <c r="M227" s="2">
        <v>519</v>
      </c>
      <c r="N227" s="2">
        <v>86.5</v>
      </c>
      <c r="O227" s="8">
        <f t="shared" si="22"/>
        <v>98</v>
      </c>
      <c r="P227" s="8">
        <f t="shared" si="23"/>
        <v>90</v>
      </c>
      <c r="Q227" s="8">
        <f t="shared" si="24"/>
        <v>87</v>
      </c>
      <c r="R227" s="8">
        <f t="shared" si="25"/>
        <v>84</v>
      </c>
      <c r="S227" s="8">
        <f t="shared" si="26"/>
        <v>83</v>
      </c>
      <c r="T227" s="11">
        <f t="shared" si="27"/>
        <v>442</v>
      </c>
      <c r="U227" s="11">
        <f t="shared" si="28"/>
        <v>88.4</v>
      </c>
    </row>
    <row r="228" spans="1:21">
      <c r="A228" s="2" t="s">
        <v>463</v>
      </c>
      <c r="B228" s="12" t="s">
        <v>722</v>
      </c>
      <c r="C228" s="2" t="s">
        <v>22</v>
      </c>
      <c r="D228" s="2">
        <v>82</v>
      </c>
      <c r="E228" s="2">
        <v>85</v>
      </c>
      <c r="F228" s="2"/>
      <c r="G228" s="2"/>
      <c r="H228" s="2">
        <v>75</v>
      </c>
      <c r="I228" s="2">
        <v>91</v>
      </c>
      <c r="J228" s="2">
        <v>98</v>
      </c>
      <c r="K228" s="2"/>
      <c r="L228" s="2">
        <v>100</v>
      </c>
      <c r="M228" s="2">
        <v>531</v>
      </c>
      <c r="N228" s="2">
        <v>88.5</v>
      </c>
      <c r="O228" s="8">
        <f t="shared" si="22"/>
        <v>100</v>
      </c>
      <c r="P228" s="8">
        <f t="shared" si="23"/>
        <v>98</v>
      </c>
      <c r="Q228" s="8">
        <f t="shared" si="24"/>
        <v>91</v>
      </c>
      <c r="R228" s="8">
        <f t="shared" si="25"/>
        <v>85</v>
      </c>
      <c r="S228" s="8">
        <f t="shared" si="26"/>
        <v>82</v>
      </c>
      <c r="T228" s="11">
        <f t="shared" si="27"/>
        <v>456</v>
      </c>
      <c r="U228" s="11">
        <f t="shared" si="28"/>
        <v>91.2</v>
      </c>
    </row>
    <row r="229" spans="1:21">
      <c r="A229" s="2" t="s">
        <v>465</v>
      </c>
      <c r="B229" s="12" t="s">
        <v>723</v>
      </c>
      <c r="C229" s="2" t="s">
        <v>22</v>
      </c>
      <c r="D229" s="2">
        <v>75</v>
      </c>
      <c r="E229" s="2"/>
      <c r="F229" s="2"/>
      <c r="G229" s="2">
        <v>61</v>
      </c>
      <c r="H229" s="2">
        <v>79</v>
      </c>
      <c r="I229" s="2">
        <v>85</v>
      </c>
      <c r="J229" s="2">
        <v>91</v>
      </c>
      <c r="K229" s="2"/>
      <c r="L229" s="2">
        <v>97</v>
      </c>
      <c r="M229" s="2">
        <v>488</v>
      </c>
      <c r="N229" s="2">
        <v>81.33</v>
      </c>
      <c r="O229" s="8">
        <f t="shared" si="22"/>
        <v>97</v>
      </c>
      <c r="P229" s="8">
        <f t="shared" si="23"/>
        <v>91</v>
      </c>
      <c r="Q229" s="8">
        <f t="shared" si="24"/>
        <v>85</v>
      </c>
      <c r="R229" s="8">
        <f t="shared" si="25"/>
        <v>79</v>
      </c>
      <c r="S229" s="8">
        <f t="shared" si="26"/>
        <v>75</v>
      </c>
      <c r="T229" s="11">
        <f t="shared" si="27"/>
        <v>427</v>
      </c>
      <c r="U229" s="11">
        <f t="shared" si="28"/>
        <v>85.4</v>
      </c>
    </row>
    <row r="230" spans="1:21">
      <c r="A230" s="2" t="s">
        <v>467</v>
      </c>
      <c r="B230" s="12" t="s">
        <v>724</v>
      </c>
      <c r="C230" s="2" t="s">
        <v>22</v>
      </c>
      <c r="D230" s="2">
        <v>81</v>
      </c>
      <c r="E230" s="2"/>
      <c r="F230" s="2"/>
      <c r="G230" s="2">
        <v>71</v>
      </c>
      <c r="H230" s="2">
        <v>55</v>
      </c>
      <c r="I230" s="2">
        <v>82</v>
      </c>
      <c r="J230" s="2">
        <v>85</v>
      </c>
      <c r="K230" s="2"/>
      <c r="L230" s="2">
        <v>97</v>
      </c>
      <c r="M230" s="2">
        <v>471</v>
      </c>
      <c r="N230" s="2">
        <v>78.5</v>
      </c>
      <c r="O230" s="8">
        <f t="shared" si="22"/>
        <v>97</v>
      </c>
      <c r="P230" s="8">
        <f t="shared" si="23"/>
        <v>85</v>
      </c>
      <c r="Q230" s="8">
        <f t="shared" si="24"/>
        <v>82</v>
      </c>
      <c r="R230" s="8">
        <f t="shared" si="25"/>
        <v>81</v>
      </c>
      <c r="S230" s="8">
        <f t="shared" si="26"/>
        <v>71</v>
      </c>
      <c r="T230" s="11">
        <f t="shared" si="27"/>
        <v>416</v>
      </c>
      <c r="U230" s="11">
        <f t="shared" si="28"/>
        <v>83.2</v>
      </c>
    </row>
    <row r="231" spans="1:21">
      <c r="A231" s="2" t="s">
        <v>469</v>
      </c>
      <c r="B231" s="12" t="s">
        <v>725</v>
      </c>
      <c r="C231" s="2" t="s">
        <v>22</v>
      </c>
      <c r="D231" s="2">
        <v>95</v>
      </c>
      <c r="E231" s="2"/>
      <c r="F231" s="2"/>
      <c r="G231" s="2">
        <v>91</v>
      </c>
      <c r="H231" s="2">
        <v>96</v>
      </c>
      <c r="I231" s="2">
        <v>92</v>
      </c>
      <c r="J231" s="2">
        <v>95</v>
      </c>
      <c r="K231" s="2"/>
      <c r="L231" s="2">
        <v>94</v>
      </c>
      <c r="M231" s="2">
        <v>563</v>
      </c>
      <c r="N231" s="2">
        <v>93.83</v>
      </c>
      <c r="O231" s="8">
        <f t="shared" si="22"/>
        <v>96</v>
      </c>
      <c r="P231" s="8">
        <f t="shared" si="23"/>
        <v>95</v>
      </c>
      <c r="Q231" s="8">
        <f t="shared" si="24"/>
        <v>95</v>
      </c>
      <c r="R231" s="8">
        <f t="shared" si="25"/>
        <v>94</v>
      </c>
      <c r="S231" s="8">
        <f t="shared" si="26"/>
        <v>92</v>
      </c>
      <c r="T231" s="11">
        <f t="shared" si="27"/>
        <v>472</v>
      </c>
      <c r="U231" s="11">
        <f t="shared" si="28"/>
        <v>94.4</v>
      </c>
    </row>
    <row r="232" spans="1:21">
      <c r="A232" s="2" t="s">
        <v>471</v>
      </c>
      <c r="B232" s="12" t="s">
        <v>726</v>
      </c>
      <c r="C232" s="2" t="s">
        <v>22</v>
      </c>
      <c r="D232" s="2">
        <v>82</v>
      </c>
      <c r="E232" s="2"/>
      <c r="F232" s="2">
        <v>89</v>
      </c>
      <c r="G232" s="2"/>
      <c r="H232" s="2">
        <v>74</v>
      </c>
      <c r="I232" s="2">
        <v>96</v>
      </c>
      <c r="J232" s="2">
        <v>96</v>
      </c>
      <c r="K232" s="2"/>
      <c r="L232" s="2">
        <v>100</v>
      </c>
      <c r="M232" s="2">
        <v>537</v>
      </c>
      <c r="N232" s="2">
        <v>89.5</v>
      </c>
      <c r="O232" s="8">
        <f t="shared" si="22"/>
        <v>100</v>
      </c>
      <c r="P232" s="8">
        <f t="shared" si="23"/>
        <v>96</v>
      </c>
      <c r="Q232" s="8">
        <f t="shared" si="24"/>
        <v>96</v>
      </c>
      <c r="R232" s="8">
        <f t="shared" si="25"/>
        <v>89</v>
      </c>
      <c r="S232" s="8">
        <f t="shared" si="26"/>
        <v>82</v>
      </c>
      <c r="T232" s="11">
        <f t="shared" si="27"/>
        <v>463</v>
      </c>
      <c r="U232" s="11">
        <f t="shared" si="28"/>
        <v>92.6</v>
      </c>
    </row>
    <row r="233" spans="1:21">
      <c r="A233" s="2" t="s">
        <v>473</v>
      </c>
      <c r="B233" s="12" t="s">
        <v>727</v>
      </c>
      <c r="C233" s="2" t="s">
        <v>22</v>
      </c>
      <c r="D233" s="2">
        <v>79</v>
      </c>
      <c r="E233" s="2"/>
      <c r="F233" s="2">
        <v>97</v>
      </c>
      <c r="G233" s="2"/>
      <c r="H233" s="2">
        <v>95</v>
      </c>
      <c r="I233" s="2">
        <v>95</v>
      </c>
      <c r="J233" s="2">
        <v>85</v>
      </c>
      <c r="K233" s="2"/>
      <c r="L233" s="2">
        <v>100</v>
      </c>
      <c r="M233" s="2">
        <v>551</v>
      </c>
      <c r="N233" s="2">
        <v>91.83</v>
      </c>
      <c r="O233" s="8">
        <f t="shared" si="22"/>
        <v>100</v>
      </c>
      <c r="P233" s="8">
        <f t="shared" si="23"/>
        <v>97</v>
      </c>
      <c r="Q233" s="8">
        <f t="shared" si="24"/>
        <v>95</v>
      </c>
      <c r="R233" s="8">
        <f t="shared" si="25"/>
        <v>95</v>
      </c>
      <c r="S233" s="8">
        <f t="shared" si="26"/>
        <v>85</v>
      </c>
      <c r="T233" s="11">
        <f t="shared" si="27"/>
        <v>472</v>
      </c>
      <c r="U233" s="11">
        <f t="shared" si="28"/>
        <v>94.4</v>
      </c>
    </row>
    <row r="234" spans="1:21">
      <c r="A234" s="2" t="s">
        <v>475</v>
      </c>
      <c r="B234" s="12" t="s">
        <v>728</v>
      </c>
      <c r="C234" s="2" t="s">
        <v>22</v>
      </c>
      <c r="D234" s="2">
        <v>81</v>
      </c>
      <c r="E234" s="2">
        <v>73</v>
      </c>
      <c r="F234" s="2"/>
      <c r="G234" s="2"/>
      <c r="H234" s="2"/>
      <c r="I234" s="2">
        <v>48</v>
      </c>
      <c r="J234" s="2">
        <v>83</v>
      </c>
      <c r="K234" s="2">
        <v>37</v>
      </c>
      <c r="L234" s="2">
        <v>98</v>
      </c>
      <c r="M234" s="2">
        <v>420</v>
      </c>
      <c r="N234" s="2">
        <v>70</v>
      </c>
      <c r="O234" s="8">
        <f t="shared" si="22"/>
        <v>98</v>
      </c>
      <c r="P234" s="8">
        <f t="shared" si="23"/>
        <v>83</v>
      </c>
      <c r="Q234" s="8">
        <f t="shared" si="24"/>
        <v>81</v>
      </c>
      <c r="R234" s="8">
        <f t="shared" si="25"/>
        <v>73</v>
      </c>
      <c r="S234" s="8">
        <f t="shared" si="26"/>
        <v>48</v>
      </c>
      <c r="T234" s="11">
        <f t="shared" si="27"/>
        <v>383</v>
      </c>
      <c r="U234" s="11">
        <f t="shared" si="28"/>
        <v>76.599999999999994</v>
      </c>
    </row>
    <row r="235" spans="1:21">
      <c r="A235" s="2" t="s">
        <v>477</v>
      </c>
      <c r="B235" s="12" t="s">
        <v>729</v>
      </c>
      <c r="C235" s="2" t="s">
        <v>22</v>
      </c>
      <c r="D235" s="2">
        <v>62</v>
      </c>
      <c r="E235" s="2"/>
      <c r="F235" s="2">
        <v>61</v>
      </c>
      <c r="G235" s="2"/>
      <c r="H235" s="2">
        <v>49</v>
      </c>
      <c r="I235" s="2">
        <v>42</v>
      </c>
      <c r="J235" s="2">
        <v>59</v>
      </c>
      <c r="K235" s="2"/>
      <c r="L235" s="2">
        <v>80</v>
      </c>
      <c r="M235" s="2">
        <v>353</v>
      </c>
      <c r="N235" s="2">
        <v>58.83</v>
      </c>
      <c r="O235" s="8">
        <f t="shared" si="22"/>
        <v>80</v>
      </c>
      <c r="P235" s="8">
        <f t="shared" si="23"/>
        <v>62</v>
      </c>
      <c r="Q235" s="8">
        <f t="shared" si="24"/>
        <v>61</v>
      </c>
      <c r="R235" s="8">
        <f t="shared" si="25"/>
        <v>59</v>
      </c>
      <c r="S235" s="8">
        <f t="shared" si="26"/>
        <v>49</v>
      </c>
      <c r="T235" s="11">
        <f t="shared" si="27"/>
        <v>311</v>
      </c>
      <c r="U235" s="11">
        <f t="shared" si="28"/>
        <v>62.2</v>
      </c>
    </row>
    <row r="236" spans="1:21">
      <c r="A236" s="2" t="s">
        <v>479</v>
      </c>
      <c r="B236" s="13" t="s">
        <v>730</v>
      </c>
      <c r="C236" s="2" t="s">
        <v>22</v>
      </c>
      <c r="D236" s="2">
        <v>95</v>
      </c>
      <c r="E236" s="2">
        <v>91</v>
      </c>
      <c r="F236" s="2"/>
      <c r="G236" s="2"/>
      <c r="H236" s="2">
        <v>93</v>
      </c>
      <c r="I236" s="2">
        <v>95</v>
      </c>
      <c r="J236" s="2">
        <v>88</v>
      </c>
      <c r="K236" s="2"/>
      <c r="L236" s="2">
        <v>99</v>
      </c>
      <c r="M236" s="2">
        <v>561</v>
      </c>
      <c r="N236" s="2">
        <v>93.5</v>
      </c>
      <c r="O236" s="8">
        <f t="shared" si="22"/>
        <v>99</v>
      </c>
      <c r="P236" s="8">
        <f t="shared" si="23"/>
        <v>95</v>
      </c>
      <c r="Q236" s="8">
        <f t="shared" si="24"/>
        <v>95</v>
      </c>
      <c r="R236" s="8">
        <f t="shared" si="25"/>
        <v>93</v>
      </c>
      <c r="S236" s="8">
        <f t="shared" si="26"/>
        <v>91</v>
      </c>
      <c r="T236" s="11">
        <f t="shared" si="27"/>
        <v>473</v>
      </c>
      <c r="U236" s="11">
        <f t="shared" si="28"/>
        <v>94.6</v>
      </c>
    </row>
    <row r="237" spans="1:21">
      <c r="A237" s="2" t="s">
        <v>481</v>
      </c>
      <c r="B237" s="12" t="s">
        <v>731</v>
      </c>
      <c r="C237" s="2" t="s">
        <v>22</v>
      </c>
      <c r="D237" s="2">
        <v>86</v>
      </c>
      <c r="E237" s="2">
        <v>75</v>
      </c>
      <c r="F237" s="2"/>
      <c r="G237" s="2"/>
      <c r="H237" s="2"/>
      <c r="I237" s="2">
        <v>78</v>
      </c>
      <c r="J237" s="2">
        <v>86</v>
      </c>
      <c r="K237" s="2">
        <v>81</v>
      </c>
      <c r="L237" s="2">
        <v>92</v>
      </c>
      <c r="M237" s="2">
        <v>498</v>
      </c>
      <c r="N237" s="2">
        <v>83</v>
      </c>
      <c r="O237" s="8">
        <f t="shared" si="22"/>
        <v>92</v>
      </c>
      <c r="P237" s="8">
        <f t="shared" si="23"/>
        <v>86</v>
      </c>
      <c r="Q237" s="8">
        <f t="shared" si="24"/>
        <v>86</v>
      </c>
      <c r="R237" s="8">
        <f t="shared" si="25"/>
        <v>81</v>
      </c>
      <c r="S237" s="8">
        <f t="shared" si="26"/>
        <v>78</v>
      </c>
      <c r="T237" s="11">
        <f t="shared" si="27"/>
        <v>423</v>
      </c>
      <c r="U237" s="11">
        <f t="shared" si="28"/>
        <v>84.6</v>
      </c>
    </row>
    <row r="238" spans="1:21">
      <c r="A238" s="2" t="s">
        <v>483</v>
      </c>
      <c r="B238" s="12" t="s">
        <v>732</v>
      </c>
      <c r="C238" s="2" t="s">
        <v>22</v>
      </c>
      <c r="D238" s="2">
        <v>88</v>
      </c>
      <c r="E238" s="2"/>
      <c r="F238" s="2">
        <v>95</v>
      </c>
      <c r="G238" s="2"/>
      <c r="H238" s="2">
        <v>81</v>
      </c>
      <c r="I238" s="2">
        <v>94</v>
      </c>
      <c r="J238" s="2">
        <v>96</v>
      </c>
      <c r="K238" s="2"/>
      <c r="L238" s="2">
        <v>96</v>
      </c>
      <c r="M238" s="2">
        <v>550</v>
      </c>
      <c r="N238" s="2">
        <v>91.67</v>
      </c>
      <c r="O238" s="8">
        <f t="shared" si="22"/>
        <v>96</v>
      </c>
      <c r="P238" s="8">
        <f t="shared" si="23"/>
        <v>96</v>
      </c>
      <c r="Q238" s="8">
        <f t="shared" si="24"/>
        <v>95</v>
      </c>
      <c r="R238" s="8">
        <f t="shared" si="25"/>
        <v>94</v>
      </c>
      <c r="S238" s="8">
        <f t="shared" si="26"/>
        <v>88</v>
      </c>
      <c r="T238" s="11">
        <f t="shared" si="27"/>
        <v>469</v>
      </c>
      <c r="U238" s="11">
        <f t="shared" si="28"/>
        <v>93.8</v>
      </c>
    </row>
    <row r="239" spans="1:21">
      <c r="A239" s="2" t="s">
        <v>485</v>
      </c>
      <c r="B239" s="12" t="s">
        <v>733</v>
      </c>
      <c r="C239" s="2" t="s">
        <v>22</v>
      </c>
      <c r="D239" s="2">
        <v>62</v>
      </c>
      <c r="E239" s="2">
        <v>76</v>
      </c>
      <c r="F239" s="2"/>
      <c r="G239" s="2"/>
      <c r="H239" s="2"/>
      <c r="I239" s="2">
        <v>86</v>
      </c>
      <c r="J239" s="2">
        <v>87</v>
      </c>
      <c r="K239" s="2">
        <v>74</v>
      </c>
      <c r="L239" s="2">
        <v>91</v>
      </c>
      <c r="M239" s="2">
        <v>476</v>
      </c>
      <c r="N239" s="2">
        <v>79.33</v>
      </c>
      <c r="O239" s="8">
        <f t="shared" si="22"/>
        <v>91</v>
      </c>
      <c r="P239" s="8">
        <f t="shared" si="23"/>
        <v>87</v>
      </c>
      <c r="Q239" s="8">
        <f t="shared" si="24"/>
        <v>86</v>
      </c>
      <c r="R239" s="8">
        <f t="shared" si="25"/>
        <v>76</v>
      </c>
      <c r="S239" s="8">
        <f t="shared" si="26"/>
        <v>74</v>
      </c>
      <c r="T239" s="11">
        <f t="shared" si="27"/>
        <v>414</v>
      </c>
      <c r="U239" s="11">
        <f t="shared" si="28"/>
        <v>82.8</v>
      </c>
    </row>
    <row r="240" spans="1:21">
      <c r="A240" s="2" t="s">
        <v>487</v>
      </c>
      <c r="B240" s="13" t="s">
        <v>734</v>
      </c>
      <c r="C240" s="2" t="s">
        <v>17</v>
      </c>
      <c r="D240" s="2">
        <v>88</v>
      </c>
      <c r="E240" s="2">
        <v>90</v>
      </c>
      <c r="F240" s="2"/>
      <c r="G240" s="2"/>
      <c r="H240" s="2">
        <v>65</v>
      </c>
      <c r="I240" s="2">
        <v>91</v>
      </c>
      <c r="J240" s="2">
        <v>95</v>
      </c>
      <c r="K240" s="2"/>
      <c r="L240" s="2">
        <v>99</v>
      </c>
      <c r="M240" s="2">
        <v>528</v>
      </c>
      <c r="N240" s="2">
        <v>88</v>
      </c>
      <c r="O240" s="8">
        <f t="shared" si="22"/>
        <v>99</v>
      </c>
      <c r="P240" s="8">
        <f t="shared" si="23"/>
        <v>95</v>
      </c>
      <c r="Q240" s="8">
        <f t="shared" si="24"/>
        <v>91</v>
      </c>
      <c r="R240" s="8">
        <f t="shared" si="25"/>
        <v>90</v>
      </c>
      <c r="S240" s="8">
        <f t="shared" si="26"/>
        <v>88</v>
      </c>
      <c r="T240" s="11">
        <f t="shared" si="27"/>
        <v>463</v>
      </c>
      <c r="U240" s="11">
        <f t="shared" si="28"/>
        <v>92.6</v>
      </c>
    </row>
    <row r="241" spans="1:21">
      <c r="A241" s="2" t="s">
        <v>489</v>
      </c>
      <c r="B241" s="12" t="s">
        <v>735</v>
      </c>
      <c r="C241" s="2" t="s">
        <v>22</v>
      </c>
      <c r="D241" s="2">
        <v>82</v>
      </c>
      <c r="E241" s="2">
        <v>91</v>
      </c>
      <c r="F241" s="2"/>
      <c r="G241" s="2"/>
      <c r="H241" s="2"/>
      <c r="I241" s="2">
        <v>90</v>
      </c>
      <c r="J241" s="2">
        <v>78</v>
      </c>
      <c r="K241" s="2">
        <v>85</v>
      </c>
      <c r="L241" s="2">
        <v>91</v>
      </c>
      <c r="M241" s="2">
        <v>517</v>
      </c>
      <c r="N241" s="2">
        <v>86.17</v>
      </c>
      <c r="O241" s="8">
        <f t="shared" si="22"/>
        <v>91</v>
      </c>
      <c r="P241" s="8">
        <f t="shared" si="23"/>
        <v>91</v>
      </c>
      <c r="Q241" s="8">
        <f t="shared" si="24"/>
        <v>90</v>
      </c>
      <c r="R241" s="8">
        <f t="shared" si="25"/>
        <v>85</v>
      </c>
      <c r="S241" s="8">
        <f t="shared" si="26"/>
        <v>82</v>
      </c>
      <c r="T241" s="11">
        <f t="shared" si="27"/>
        <v>439</v>
      </c>
      <c r="U241" s="11">
        <f t="shared" si="28"/>
        <v>87.8</v>
      </c>
    </row>
    <row r="242" spans="1:21">
      <c r="A242" s="2" t="s">
        <v>491</v>
      </c>
      <c r="B242" s="13" t="s">
        <v>736</v>
      </c>
      <c r="C242" s="2" t="s">
        <v>22</v>
      </c>
      <c r="D242" s="2">
        <v>91</v>
      </c>
      <c r="E242" s="2">
        <v>90</v>
      </c>
      <c r="F242" s="2"/>
      <c r="G242" s="2"/>
      <c r="H242" s="2">
        <v>97</v>
      </c>
      <c r="I242" s="2">
        <v>97</v>
      </c>
      <c r="J242" s="2">
        <v>92</v>
      </c>
      <c r="K242" s="2"/>
      <c r="L242" s="2">
        <v>100</v>
      </c>
      <c r="M242" s="2">
        <v>567</v>
      </c>
      <c r="N242" s="2">
        <v>94.5</v>
      </c>
      <c r="O242" s="8">
        <f t="shared" si="22"/>
        <v>100</v>
      </c>
      <c r="P242" s="8">
        <f t="shared" si="23"/>
        <v>97</v>
      </c>
      <c r="Q242" s="8">
        <f t="shared" si="24"/>
        <v>97</v>
      </c>
      <c r="R242" s="8">
        <f t="shared" si="25"/>
        <v>92</v>
      </c>
      <c r="S242" s="8">
        <f t="shared" si="26"/>
        <v>91</v>
      </c>
      <c r="T242" s="11">
        <f t="shared" si="27"/>
        <v>477</v>
      </c>
      <c r="U242" s="11">
        <f t="shared" si="28"/>
        <v>95.4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>
      <selection activeCell="D2" sqref="D1:L1048576"/>
    </sheetView>
  </sheetViews>
  <sheetFormatPr defaultRowHeight="15"/>
  <cols>
    <col min="1" max="1" width="12" customWidth="1"/>
    <col min="2" max="2" width="46.42578125" style="7" customWidth="1"/>
    <col min="3" max="3" width="7.5703125" customWidth="1"/>
    <col min="4" max="12" width="8.42578125" customWidth="1"/>
    <col min="13" max="14" width="12" customWidth="1"/>
  </cols>
  <sheetData>
    <row r="1" spans="1:14" ht="18.7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4">
      <c r="A3" s="1" t="s">
        <v>1</v>
      </c>
      <c r="B3" s="5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>
      <c r="A4" s="2" t="s">
        <v>15</v>
      </c>
      <c r="B4" s="6" t="s">
        <v>16</v>
      </c>
      <c r="C4" s="2" t="s">
        <v>17</v>
      </c>
      <c r="D4" s="2">
        <v>91</v>
      </c>
      <c r="E4" s="2"/>
      <c r="F4" s="2">
        <v>97</v>
      </c>
      <c r="G4" s="2"/>
      <c r="H4" s="2"/>
      <c r="I4" s="2">
        <v>81</v>
      </c>
      <c r="J4" s="2">
        <v>92</v>
      </c>
      <c r="K4" s="2">
        <v>85</v>
      </c>
      <c r="L4" s="2">
        <v>94</v>
      </c>
      <c r="M4" s="2">
        <v>540</v>
      </c>
      <c r="N4" s="2">
        <v>90</v>
      </c>
    </row>
    <row r="5" spans="1:14">
      <c r="A5" s="2" t="s">
        <v>18</v>
      </c>
      <c r="B5" s="6" t="s">
        <v>19</v>
      </c>
      <c r="C5" s="2" t="s">
        <v>17</v>
      </c>
      <c r="D5" s="2">
        <v>90</v>
      </c>
      <c r="E5" s="2"/>
      <c r="F5" s="2"/>
      <c r="G5" s="2">
        <v>73</v>
      </c>
      <c r="H5" s="2">
        <v>61</v>
      </c>
      <c r="I5" s="2">
        <v>76</v>
      </c>
      <c r="J5" s="2">
        <v>86</v>
      </c>
      <c r="K5" s="2"/>
      <c r="L5" s="2">
        <v>100</v>
      </c>
      <c r="M5" s="2">
        <v>486</v>
      </c>
      <c r="N5" s="2">
        <v>81</v>
      </c>
    </row>
    <row r="6" spans="1:14">
      <c r="A6" s="2" t="s">
        <v>20</v>
      </c>
      <c r="B6" s="6" t="s">
        <v>21</v>
      </c>
      <c r="C6" s="2" t="s">
        <v>22</v>
      </c>
      <c r="D6" s="2">
        <v>95</v>
      </c>
      <c r="E6" s="2">
        <v>93</v>
      </c>
      <c r="F6" s="2"/>
      <c r="G6" s="2"/>
      <c r="H6" s="2">
        <v>99</v>
      </c>
      <c r="I6" s="2">
        <v>88</v>
      </c>
      <c r="J6" s="2">
        <v>93</v>
      </c>
      <c r="K6" s="2"/>
      <c r="L6" s="2">
        <v>100</v>
      </c>
      <c r="M6" s="2">
        <v>568</v>
      </c>
      <c r="N6" s="2">
        <v>94.67</v>
      </c>
    </row>
    <row r="7" spans="1:14">
      <c r="A7" s="2" t="s">
        <v>23</v>
      </c>
      <c r="B7" s="6" t="s">
        <v>21</v>
      </c>
      <c r="C7" s="2" t="s">
        <v>22</v>
      </c>
      <c r="D7" s="2">
        <v>80</v>
      </c>
      <c r="E7" s="2">
        <v>86</v>
      </c>
      <c r="F7" s="2"/>
      <c r="G7" s="2"/>
      <c r="H7" s="2">
        <v>60</v>
      </c>
      <c r="I7" s="2">
        <v>74</v>
      </c>
      <c r="J7" s="2">
        <v>90</v>
      </c>
      <c r="K7" s="2"/>
      <c r="L7" s="2">
        <v>92</v>
      </c>
      <c r="M7" s="2">
        <v>482</v>
      </c>
      <c r="N7" s="2">
        <v>80.33</v>
      </c>
    </row>
    <row r="8" spans="1:14">
      <c r="A8" s="2" t="s">
        <v>24</v>
      </c>
      <c r="B8" s="6" t="s">
        <v>25</v>
      </c>
      <c r="C8" s="2" t="s">
        <v>22</v>
      </c>
      <c r="D8" s="2">
        <v>73</v>
      </c>
      <c r="E8" s="2">
        <v>79</v>
      </c>
      <c r="F8" s="2"/>
      <c r="G8" s="2"/>
      <c r="H8" s="2"/>
      <c r="I8" s="2">
        <v>53</v>
      </c>
      <c r="J8" s="2">
        <v>79</v>
      </c>
      <c r="K8" s="2">
        <v>75</v>
      </c>
      <c r="L8" s="2">
        <v>89</v>
      </c>
      <c r="M8" s="2">
        <v>448</v>
      </c>
      <c r="N8" s="2">
        <v>74.67</v>
      </c>
    </row>
    <row r="9" spans="1:14">
      <c r="A9" s="2" t="s">
        <v>26</v>
      </c>
      <c r="B9" s="6" t="s">
        <v>27</v>
      </c>
      <c r="C9" s="2" t="s">
        <v>22</v>
      </c>
      <c r="D9" s="2">
        <v>91</v>
      </c>
      <c r="E9" s="2"/>
      <c r="F9" s="2">
        <v>96</v>
      </c>
      <c r="G9" s="2"/>
      <c r="H9" s="2"/>
      <c r="I9" s="2">
        <v>84</v>
      </c>
      <c r="J9" s="2">
        <v>98</v>
      </c>
      <c r="K9" s="2">
        <v>95</v>
      </c>
      <c r="L9" s="2">
        <v>98</v>
      </c>
      <c r="M9" s="2">
        <v>562</v>
      </c>
      <c r="N9" s="2">
        <v>93.67</v>
      </c>
    </row>
    <row r="10" spans="1:14">
      <c r="A10" s="2" t="s">
        <v>28</v>
      </c>
      <c r="B10" s="6" t="s">
        <v>29</v>
      </c>
      <c r="C10" s="2" t="s">
        <v>22</v>
      </c>
      <c r="D10" s="2">
        <v>87</v>
      </c>
      <c r="E10" s="2"/>
      <c r="F10" s="2"/>
      <c r="G10" s="2">
        <v>96</v>
      </c>
      <c r="H10" s="2"/>
      <c r="I10" s="2">
        <v>86</v>
      </c>
      <c r="J10" s="2">
        <v>84</v>
      </c>
      <c r="K10" s="2">
        <v>97</v>
      </c>
      <c r="L10" s="2">
        <v>95</v>
      </c>
      <c r="M10" s="2">
        <v>545</v>
      </c>
      <c r="N10" s="2">
        <v>90.83</v>
      </c>
    </row>
    <row r="11" spans="1:14">
      <c r="A11" s="2" t="s">
        <v>30</v>
      </c>
      <c r="B11" s="6" t="s">
        <v>31</v>
      </c>
      <c r="C11" s="2" t="s">
        <v>22</v>
      </c>
      <c r="D11" s="2">
        <v>86</v>
      </c>
      <c r="E11" s="2">
        <v>87</v>
      </c>
      <c r="F11" s="2"/>
      <c r="G11" s="2"/>
      <c r="H11" s="2">
        <v>60</v>
      </c>
      <c r="I11" s="2">
        <v>66</v>
      </c>
      <c r="J11" s="2">
        <v>75</v>
      </c>
      <c r="K11" s="2"/>
      <c r="L11" s="2">
        <v>88</v>
      </c>
      <c r="M11" s="2">
        <v>462</v>
      </c>
      <c r="N11" s="2">
        <v>77</v>
      </c>
    </row>
    <row r="12" spans="1:14">
      <c r="A12" s="2" t="s">
        <v>32</v>
      </c>
      <c r="B12" s="6" t="s">
        <v>33</v>
      </c>
      <c r="C12" s="2" t="s">
        <v>17</v>
      </c>
      <c r="D12" s="2">
        <v>96</v>
      </c>
      <c r="E12" s="2"/>
      <c r="F12" s="2">
        <v>98</v>
      </c>
      <c r="G12" s="2"/>
      <c r="H12" s="2">
        <v>95</v>
      </c>
      <c r="I12" s="2">
        <v>88</v>
      </c>
      <c r="J12" s="2">
        <v>99</v>
      </c>
      <c r="K12" s="2"/>
      <c r="L12" s="2">
        <v>99</v>
      </c>
      <c r="M12" s="2">
        <v>575</v>
      </c>
      <c r="N12" s="2">
        <v>95.83</v>
      </c>
    </row>
    <row r="13" spans="1:14">
      <c r="A13" s="2" t="s">
        <v>34</v>
      </c>
      <c r="B13" s="6" t="s">
        <v>35</v>
      </c>
      <c r="C13" s="2" t="s">
        <v>17</v>
      </c>
      <c r="D13" s="2">
        <v>93</v>
      </c>
      <c r="E13" s="2">
        <v>92</v>
      </c>
      <c r="F13" s="2"/>
      <c r="G13" s="2"/>
      <c r="H13" s="2"/>
      <c r="I13" s="2">
        <v>92</v>
      </c>
      <c r="J13" s="2">
        <v>93</v>
      </c>
      <c r="K13" s="2">
        <v>98</v>
      </c>
      <c r="L13" s="2">
        <v>97</v>
      </c>
      <c r="M13" s="2">
        <v>565</v>
      </c>
      <c r="N13" s="2">
        <v>94.17</v>
      </c>
    </row>
    <row r="14" spans="1:14">
      <c r="A14" s="2" t="s">
        <v>36</v>
      </c>
      <c r="B14" s="6" t="s">
        <v>37</v>
      </c>
      <c r="C14" s="2" t="s">
        <v>17</v>
      </c>
      <c r="D14" s="2">
        <v>94</v>
      </c>
      <c r="E14" s="2">
        <v>89</v>
      </c>
      <c r="F14" s="2"/>
      <c r="G14" s="2"/>
      <c r="H14" s="2">
        <v>90</v>
      </c>
      <c r="I14" s="2">
        <v>87</v>
      </c>
      <c r="J14" s="2">
        <v>96</v>
      </c>
      <c r="K14" s="2"/>
      <c r="L14" s="2">
        <v>100</v>
      </c>
      <c r="M14" s="2">
        <v>556</v>
      </c>
      <c r="N14" s="2">
        <v>92.67</v>
      </c>
    </row>
    <row r="15" spans="1:14">
      <c r="A15" s="2" t="s">
        <v>38</v>
      </c>
      <c r="B15" s="6" t="s">
        <v>39</v>
      </c>
      <c r="C15" s="2" t="s">
        <v>17</v>
      </c>
      <c r="D15" s="2">
        <v>95</v>
      </c>
      <c r="E15" s="2"/>
      <c r="F15" s="2">
        <v>91</v>
      </c>
      <c r="G15" s="2"/>
      <c r="H15" s="2"/>
      <c r="I15" s="2">
        <v>87</v>
      </c>
      <c r="J15" s="2">
        <v>99</v>
      </c>
      <c r="K15" s="2">
        <v>90</v>
      </c>
      <c r="L15" s="2">
        <v>99</v>
      </c>
      <c r="M15" s="2">
        <v>561</v>
      </c>
      <c r="N15" s="2">
        <v>93.5</v>
      </c>
    </row>
    <row r="16" spans="1:14">
      <c r="A16" s="2" t="s">
        <v>40</v>
      </c>
      <c r="B16" s="6" t="s">
        <v>41</v>
      </c>
      <c r="C16" s="2" t="s">
        <v>17</v>
      </c>
      <c r="D16" s="2">
        <v>92</v>
      </c>
      <c r="E16" s="2"/>
      <c r="F16" s="2">
        <v>82</v>
      </c>
      <c r="G16" s="2"/>
      <c r="H16" s="2"/>
      <c r="I16" s="2">
        <v>61</v>
      </c>
      <c r="J16" s="2">
        <v>84</v>
      </c>
      <c r="K16" s="2">
        <v>81</v>
      </c>
      <c r="L16" s="2">
        <v>95</v>
      </c>
      <c r="M16" s="2">
        <v>495</v>
      </c>
      <c r="N16" s="2">
        <v>82.5</v>
      </c>
    </row>
    <row r="17" spans="1:14">
      <c r="A17" s="2" t="s">
        <v>42</v>
      </c>
      <c r="B17" s="6" t="s">
        <v>43</v>
      </c>
      <c r="C17" s="2" t="s">
        <v>17</v>
      </c>
      <c r="D17" s="2">
        <v>90</v>
      </c>
      <c r="E17" s="2"/>
      <c r="F17" s="2"/>
      <c r="G17" s="2">
        <v>50</v>
      </c>
      <c r="H17" s="2"/>
      <c r="I17" s="2">
        <v>44</v>
      </c>
      <c r="J17" s="2">
        <v>78</v>
      </c>
      <c r="K17" s="2">
        <v>36</v>
      </c>
      <c r="L17" s="2">
        <v>90</v>
      </c>
      <c r="M17" s="2">
        <v>388</v>
      </c>
      <c r="N17" s="2">
        <v>64.67</v>
      </c>
    </row>
    <row r="18" spans="1:14">
      <c r="A18" s="2" t="s">
        <v>44</v>
      </c>
      <c r="B18" s="6" t="s">
        <v>45</v>
      </c>
      <c r="C18" s="2" t="s">
        <v>22</v>
      </c>
      <c r="D18" s="2">
        <v>94</v>
      </c>
      <c r="E18" s="2">
        <v>95</v>
      </c>
      <c r="F18" s="2"/>
      <c r="G18" s="2"/>
      <c r="H18" s="2"/>
      <c r="I18" s="2">
        <v>74</v>
      </c>
      <c r="J18" s="2">
        <v>98</v>
      </c>
      <c r="K18" s="2">
        <v>69</v>
      </c>
      <c r="L18" s="2">
        <v>97</v>
      </c>
      <c r="M18" s="2">
        <v>527</v>
      </c>
      <c r="N18" s="2">
        <v>87.83</v>
      </c>
    </row>
    <row r="19" spans="1:14">
      <c r="A19" s="2" t="s">
        <v>46</v>
      </c>
      <c r="B19" s="6" t="s">
        <v>47</v>
      </c>
      <c r="C19" s="2" t="s">
        <v>22</v>
      </c>
      <c r="D19" s="2">
        <v>89</v>
      </c>
      <c r="E19" s="2">
        <v>96</v>
      </c>
      <c r="F19" s="2"/>
      <c r="G19" s="2"/>
      <c r="H19" s="2">
        <v>81</v>
      </c>
      <c r="I19" s="2">
        <v>90</v>
      </c>
      <c r="J19" s="2">
        <v>92</v>
      </c>
      <c r="K19" s="2"/>
      <c r="L19" s="2">
        <v>96</v>
      </c>
      <c r="M19" s="2">
        <v>544</v>
      </c>
      <c r="N19" s="2">
        <v>90.67</v>
      </c>
    </row>
    <row r="20" spans="1:14">
      <c r="A20" s="2" t="s">
        <v>48</v>
      </c>
      <c r="B20" s="6" t="s">
        <v>49</v>
      </c>
      <c r="C20" s="2" t="s">
        <v>17</v>
      </c>
      <c r="D20" s="2">
        <v>83</v>
      </c>
      <c r="E20" s="2"/>
      <c r="F20" s="2">
        <v>82</v>
      </c>
      <c r="G20" s="2"/>
      <c r="H20" s="2"/>
      <c r="I20" s="2">
        <v>59</v>
      </c>
      <c r="J20" s="2">
        <v>79</v>
      </c>
      <c r="K20" s="2">
        <v>61</v>
      </c>
      <c r="L20" s="2">
        <v>92</v>
      </c>
      <c r="M20" s="2">
        <v>456</v>
      </c>
      <c r="N20" s="2">
        <v>76</v>
      </c>
    </row>
    <row r="21" spans="1:14">
      <c r="A21" s="2" t="s">
        <v>50</v>
      </c>
      <c r="B21" s="6" t="s">
        <v>51</v>
      </c>
      <c r="C21" s="2" t="s">
        <v>17</v>
      </c>
      <c r="D21" s="2">
        <v>94</v>
      </c>
      <c r="E21" s="2"/>
      <c r="F21" s="2">
        <v>99</v>
      </c>
      <c r="G21" s="2"/>
      <c r="H21" s="2"/>
      <c r="I21" s="2">
        <v>76</v>
      </c>
      <c r="J21" s="2">
        <v>88</v>
      </c>
      <c r="K21" s="2">
        <v>72</v>
      </c>
      <c r="L21" s="2">
        <v>99</v>
      </c>
      <c r="M21" s="2">
        <v>528</v>
      </c>
      <c r="N21" s="2">
        <v>88</v>
      </c>
    </row>
    <row r="22" spans="1:14">
      <c r="A22" s="2" t="s">
        <v>52</v>
      </c>
      <c r="B22" s="6" t="s">
        <v>53</v>
      </c>
      <c r="C22" s="2" t="s">
        <v>22</v>
      </c>
      <c r="D22" s="2">
        <v>90</v>
      </c>
      <c r="E22" s="2"/>
      <c r="F22" s="2"/>
      <c r="G22" s="2">
        <v>75</v>
      </c>
      <c r="H22" s="2">
        <v>72</v>
      </c>
      <c r="I22" s="2">
        <v>90</v>
      </c>
      <c r="J22" s="2">
        <v>93</v>
      </c>
      <c r="K22" s="2"/>
      <c r="L22" s="2">
        <v>98</v>
      </c>
      <c r="M22" s="2">
        <v>518</v>
      </c>
      <c r="N22" s="2">
        <v>86.33</v>
      </c>
    </row>
    <row r="23" spans="1:14">
      <c r="A23" s="2" t="s">
        <v>54</v>
      </c>
      <c r="B23" s="6" t="s">
        <v>55</v>
      </c>
      <c r="C23" s="2" t="s">
        <v>22</v>
      </c>
      <c r="D23" s="2">
        <v>86</v>
      </c>
      <c r="E23" s="2"/>
      <c r="F23" s="2">
        <v>90</v>
      </c>
      <c r="G23" s="2"/>
      <c r="H23" s="2">
        <v>59</v>
      </c>
      <c r="I23" s="2">
        <v>74</v>
      </c>
      <c r="J23" s="2">
        <v>68</v>
      </c>
      <c r="K23" s="2"/>
      <c r="L23" s="2">
        <v>95</v>
      </c>
      <c r="M23" s="2">
        <v>472</v>
      </c>
      <c r="N23" s="2">
        <v>78.67</v>
      </c>
    </row>
    <row r="24" spans="1:14">
      <c r="A24" s="2" t="s">
        <v>56</v>
      </c>
      <c r="B24" s="6" t="s">
        <v>57</v>
      </c>
      <c r="C24" s="2" t="s">
        <v>22</v>
      </c>
      <c r="D24" s="2">
        <v>86</v>
      </c>
      <c r="E24" s="2">
        <v>71</v>
      </c>
      <c r="F24" s="2"/>
      <c r="G24" s="2"/>
      <c r="H24" s="2"/>
      <c r="I24" s="2">
        <v>49</v>
      </c>
      <c r="J24" s="2">
        <v>75</v>
      </c>
      <c r="K24" s="2">
        <v>63</v>
      </c>
      <c r="L24" s="2">
        <v>89</v>
      </c>
      <c r="M24" s="2">
        <v>433</v>
      </c>
      <c r="N24" s="2">
        <v>72.17</v>
      </c>
    </row>
    <row r="25" spans="1:14">
      <c r="A25" s="2" t="s">
        <v>58</v>
      </c>
      <c r="B25" s="6" t="s">
        <v>59</v>
      </c>
      <c r="C25" s="2" t="s">
        <v>17</v>
      </c>
      <c r="D25" s="2">
        <v>91</v>
      </c>
      <c r="E25" s="2"/>
      <c r="F25" s="2">
        <v>94</v>
      </c>
      <c r="G25" s="2"/>
      <c r="H25" s="2"/>
      <c r="I25" s="2">
        <v>93</v>
      </c>
      <c r="J25" s="2">
        <v>94</v>
      </c>
      <c r="K25" s="2">
        <v>92</v>
      </c>
      <c r="L25" s="2">
        <v>100</v>
      </c>
      <c r="M25" s="2">
        <v>564</v>
      </c>
      <c r="N25" s="2">
        <v>94</v>
      </c>
    </row>
    <row r="26" spans="1:14">
      <c r="A26" s="2" t="s">
        <v>60</v>
      </c>
      <c r="B26" s="6" t="s">
        <v>61</v>
      </c>
      <c r="C26" s="2" t="s">
        <v>17</v>
      </c>
      <c r="D26" s="2">
        <v>93</v>
      </c>
      <c r="E26" s="2"/>
      <c r="F26" s="2"/>
      <c r="G26" s="2">
        <v>68</v>
      </c>
      <c r="H26" s="2"/>
      <c r="I26" s="2">
        <v>85</v>
      </c>
      <c r="J26" s="2">
        <v>85</v>
      </c>
      <c r="K26" s="2">
        <v>80</v>
      </c>
      <c r="L26" s="2">
        <v>95</v>
      </c>
      <c r="M26" s="2">
        <v>506</v>
      </c>
      <c r="N26" s="2">
        <v>84.33</v>
      </c>
    </row>
    <row r="27" spans="1:14">
      <c r="A27" s="2" t="s">
        <v>62</v>
      </c>
      <c r="B27" s="6" t="s">
        <v>63</v>
      </c>
      <c r="C27" s="2" t="s">
        <v>22</v>
      </c>
      <c r="D27" s="2">
        <v>93</v>
      </c>
      <c r="E27" s="2"/>
      <c r="F27" s="2">
        <v>98</v>
      </c>
      <c r="G27" s="2"/>
      <c r="H27" s="2">
        <v>100</v>
      </c>
      <c r="I27" s="2">
        <v>97</v>
      </c>
      <c r="J27" s="2">
        <v>85</v>
      </c>
      <c r="K27" s="2"/>
      <c r="L27" s="2">
        <v>98</v>
      </c>
      <c r="M27" s="2">
        <v>571</v>
      </c>
      <c r="N27" s="2">
        <v>95.17</v>
      </c>
    </row>
    <row r="28" spans="1:14">
      <c r="A28" s="2" t="s">
        <v>64</v>
      </c>
      <c r="B28" s="6" t="s">
        <v>65</v>
      </c>
      <c r="C28" s="2" t="s">
        <v>22</v>
      </c>
      <c r="D28" s="2">
        <v>84</v>
      </c>
      <c r="E28" s="2">
        <v>88</v>
      </c>
      <c r="F28" s="2"/>
      <c r="G28" s="2"/>
      <c r="H28" s="2"/>
      <c r="I28" s="2">
        <v>76</v>
      </c>
      <c r="J28" s="2">
        <v>91</v>
      </c>
      <c r="K28" s="2">
        <v>77</v>
      </c>
      <c r="L28" s="2">
        <v>80</v>
      </c>
      <c r="M28" s="2">
        <v>496</v>
      </c>
      <c r="N28" s="2">
        <v>82.67</v>
      </c>
    </row>
    <row r="29" spans="1:14">
      <c r="A29" s="2" t="s">
        <v>66</v>
      </c>
      <c r="B29" s="6" t="s">
        <v>67</v>
      </c>
      <c r="C29" s="2" t="s">
        <v>22</v>
      </c>
      <c r="D29" s="2">
        <v>92</v>
      </c>
      <c r="E29" s="2"/>
      <c r="F29" s="2">
        <v>100</v>
      </c>
      <c r="G29" s="2"/>
      <c r="H29" s="2">
        <v>81</v>
      </c>
      <c r="I29" s="2">
        <v>91</v>
      </c>
      <c r="J29" s="2">
        <v>94</v>
      </c>
      <c r="K29" s="2"/>
      <c r="L29" s="2">
        <v>99</v>
      </c>
      <c r="M29" s="2">
        <v>557</v>
      </c>
      <c r="N29" s="2">
        <v>92.83</v>
      </c>
    </row>
    <row r="30" spans="1:14">
      <c r="A30" s="2" t="s">
        <v>68</v>
      </c>
      <c r="B30" s="6" t="s">
        <v>69</v>
      </c>
      <c r="C30" s="2" t="s">
        <v>17</v>
      </c>
      <c r="D30" s="2">
        <v>95</v>
      </c>
      <c r="E30" s="2">
        <v>93</v>
      </c>
      <c r="F30" s="2"/>
      <c r="G30" s="2"/>
      <c r="H30" s="2">
        <v>95</v>
      </c>
      <c r="I30" s="2">
        <v>97</v>
      </c>
      <c r="J30" s="2">
        <v>96</v>
      </c>
      <c r="K30" s="2"/>
      <c r="L30" s="2">
        <v>98</v>
      </c>
      <c r="M30" s="2">
        <v>574</v>
      </c>
      <c r="N30" s="2">
        <v>95.67</v>
      </c>
    </row>
    <row r="31" spans="1:14">
      <c r="A31" s="2" t="s">
        <v>70</v>
      </c>
      <c r="B31" s="6" t="s">
        <v>71</v>
      </c>
      <c r="C31" s="2" t="s">
        <v>22</v>
      </c>
      <c r="D31" s="2">
        <v>89</v>
      </c>
      <c r="E31" s="2">
        <v>76</v>
      </c>
      <c r="F31" s="2"/>
      <c r="G31" s="2"/>
      <c r="H31" s="2">
        <v>59</v>
      </c>
      <c r="I31" s="2">
        <v>57</v>
      </c>
      <c r="J31" s="2">
        <v>84</v>
      </c>
      <c r="K31" s="2"/>
      <c r="L31" s="2">
        <v>89</v>
      </c>
      <c r="M31" s="2">
        <v>454</v>
      </c>
      <c r="N31" s="2">
        <v>75.67</v>
      </c>
    </row>
    <row r="32" spans="1:14">
      <c r="A32" s="2" t="s">
        <v>72</v>
      </c>
      <c r="B32" s="6" t="s">
        <v>73</v>
      </c>
      <c r="C32" s="2" t="s">
        <v>17</v>
      </c>
      <c r="D32" s="2">
        <v>92</v>
      </c>
      <c r="E32" s="2"/>
      <c r="F32" s="2">
        <v>99</v>
      </c>
      <c r="G32" s="2"/>
      <c r="H32" s="2">
        <v>88</v>
      </c>
      <c r="I32" s="2">
        <v>91</v>
      </c>
      <c r="J32" s="2">
        <v>86</v>
      </c>
      <c r="K32" s="2"/>
      <c r="L32" s="2">
        <v>98</v>
      </c>
      <c r="M32" s="2">
        <v>554</v>
      </c>
      <c r="N32" s="2">
        <v>92.33</v>
      </c>
    </row>
    <row r="33" spans="1:14">
      <c r="A33" s="2" t="s">
        <v>74</v>
      </c>
      <c r="B33" s="6" t="s">
        <v>75</v>
      </c>
      <c r="C33" s="2" t="s">
        <v>17</v>
      </c>
      <c r="D33" s="2">
        <v>97</v>
      </c>
      <c r="E33" s="2"/>
      <c r="F33" s="2">
        <v>98</v>
      </c>
      <c r="G33" s="2"/>
      <c r="H33" s="2">
        <v>92</v>
      </c>
      <c r="I33" s="2">
        <v>76</v>
      </c>
      <c r="J33" s="2">
        <v>81</v>
      </c>
      <c r="K33" s="2"/>
      <c r="L33" s="2">
        <v>98</v>
      </c>
      <c r="M33" s="2">
        <v>542</v>
      </c>
      <c r="N33" s="2">
        <v>90.33</v>
      </c>
    </row>
    <row r="34" spans="1:14">
      <c r="A34" s="2" t="s">
        <v>76</v>
      </c>
      <c r="B34" s="6" t="s">
        <v>77</v>
      </c>
      <c r="C34" s="2" t="s">
        <v>22</v>
      </c>
      <c r="D34" s="2">
        <v>95</v>
      </c>
      <c r="E34" s="2"/>
      <c r="F34" s="2">
        <v>87</v>
      </c>
      <c r="G34" s="2"/>
      <c r="H34" s="2">
        <v>89</v>
      </c>
      <c r="I34" s="2">
        <v>84</v>
      </c>
      <c r="J34" s="2">
        <v>75</v>
      </c>
      <c r="K34" s="2"/>
      <c r="L34" s="2">
        <v>99</v>
      </c>
      <c r="M34" s="2">
        <v>529</v>
      </c>
      <c r="N34" s="2">
        <v>88.17</v>
      </c>
    </row>
    <row r="35" spans="1:14">
      <c r="A35" s="2" t="s">
        <v>78</v>
      </c>
      <c r="B35" s="6" t="s">
        <v>79</v>
      </c>
      <c r="C35" s="2" t="s">
        <v>22</v>
      </c>
      <c r="D35" s="2">
        <v>88</v>
      </c>
      <c r="E35" s="2"/>
      <c r="F35" s="2">
        <v>84</v>
      </c>
      <c r="G35" s="2"/>
      <c r="H35" s="2">
        <v>78</v>
      </c>
      <c r="I35" s="2">
        <v>70</v>
      </c>
      <c r="J35" s="2">
        <v>81</v>
      </c>
      <c r="K35" s="2"/>
      <c r="L35" s="2">
        <v>96</v>
      </c>
      <c r="M35" s="2">
        <v>497</v>
      </c>
      <c r="N35" s="2">
        <v>82.83</v>
      </c>
    </row>
    <row r="36" spans="1:14">
      <c r="A36" s="2" t="s">
        <v>80</v>
      </c>
      <c r="B36" s="6" t="s">
        <v>81</v>
      </c>
      <c r="C36" s="2" t="s">
        <v>17</v>
      </c>
      <c r="D36" s="2">
        <v>98</v>
      </c>
      <c r="E36" s="2"/>
      <c r="F36" s="2"/>
      <c r="G36" s="2">
        <v>99</v>
      </c>
      <c r="H36" s="2">
        <v>85</v>
      </c>
      <c r="I36" s="2">
        <v>90</v>
      </c>
      <c r="J36" s="2">
        <v>95</v>
      </c>
      <c r="K36" s="2"/>
      <c r="L36" s="2">
        <v>100</v>
      </c>
      <c r="M36" s="2">
        <v>567</v>
      </c>
      <c r="N36" s="2">
        <v>94.5</v>
      </c>
    </row>
    <row r="37" spans="1:14">
      <c r="A37" s="2" t="s">
        <v>82</v>
      </c>
      <c r="B37" s="6" t="s">
        <v>83</v>
      </c>
      <c r="C37" s="2" t="s">
        <v>22</v>
      </c>
      <c r="D37" s="2">
        <v>91</v>
      </c>
      <c r="E37" s="2"/>
      <c r="F37" s="2">
        <v>99</v>
      </c>
      <c r="G37" s="2"/>
      <c r="H37" s="2"/>
      <c r="I37" s="2">
        <v>91</v>
      </c>
      <c r="J37" s="2">
        <v>90</v>
      </c>
      <c r="K37" s="2">
        <v>91</v>
      </c>
      <c r="L37" s="2">
        <v>97</v>
      </c>
      <c r="M37" s="2">
        <v>559</v>
      </c>
      <c r="N37" s="2">
        <v>93.17</v>
      </c>
    </row>
    <row r="38" spans="1:14">
      <c r="A38" s="2" t="s">
        <v>84</v>
      </c>
      <c r="B38" s="6" t="s">
        <v>85</v>
      </c>
      <c r="C38" s="2" t="s">
        <v>22</v>
      </c>
      <c r="D38" s="2">
        <v>76</v>
      </c>
      <c r="E38" s="2"/>
      <c r="F38" s="2">
        <v>80</v>
      </c>
      <c r="G38" s="2"/>
      <c r="H38" s="2"/>
      <c r="I38" s="2">
        <v>60</v>
      </c>
      <c r="J38" s="2">
        <v>79</v>
      </c>
      <c r="K38" s="2">
        <v>78</v>
      </c>
      <c r="L38" s="2">
        <v>89</v>
      </c>
      <c r="M38" s="2">
        <v>462</v>
      </c>
      <c r="N38" s="2">
        <v>77</v>
      </c>
    </row>
    <row r="39" spans="1:14">
      <c r="A39" s="2" t="s">
        <v>86</v>
      </c>
      <c r="B39" s="6" t="s">
        <v>87</v>
      </c>
      <c r="C39" s="2" t="s">
        <v>17</v>
      </c>
      <c r="D39" s="2">
        <v>91</v>
      </c>
      <c r="E39" s="2"/>
      <c r="F39" s="2"/>
      <c r="G39" s="2">
        <v>74</v>
      </c>
      <c r="H39" s="2">
        <v>73</v>
      </c>
      <c r="I39" s="2">
        <v>77</v>
      </c>
      <c r="J39" s="2">
        <v>95</v>
      </c>
      <c r="K39" s="2"/>
      <c r="L39" s="2">
        <v>99</v>
      </c>
      <c r="M39" s="2">
        <v>509</v>
      </c>
      <c r="N39" s="2">
        <v>84.83</v>
      </c>
    </row>
    <row r="40" spans="1:14">
      <c r="A40" s="2" t="s">
        <v>88</v>
      </c>
      <c r="B40" s="6" t="s">
        <v>89</v>
      </c>
      <c r="C40" s="2" t="s">
        <v>17</v>
      </c>
      <c r="D40" s="2">
        <v>94</v>
      </c>
      <c r="E40" s="2">
        <v>93</v>
      </c>
      <c r="F40" s="2"/>
      <c r="G40" s="2"/>
      <c r="H40" s="2"/>
      <c r="I40" s="2">
        <v>49</v>
      </c>
      <c r="J40" s="2">
        <v>90</v>
      </c>
      <c r="K40" s="2">
        <v>70</v>
      </c>
      <c r="L40" s="2">
        <v>81</v>
      </c>
      <c r="M40" s="2">
        <v>477</v>
      </c>
      <c r="N40" s="2">
        <v>79.5</v>
      </c>
    </row>
    <row r="41" spans="1:14">
      <c r="A41" s="2" t="s">
        <v>90</v>
      </c>
      <c r="B41" s="6" t="s">
        <v>91</v>
      </c>
      <c r="C41" s="2" t="s">
        <v>17</v>
      </c>
      <c r="D41" s="2">
        <v>89</v>
      </c>
      <c r="E41" s="2"/>
      <c r="F41" s="2">
        <v>92</v>
      </c>
      <c r="G41" s="2"/>
      <c r="H41" s="2">
        <v>78</v>
      </c>
      <c r="I41" s="2">
        <v>70</v>
      </c>
      <c r="J41" s="2">
        <v>92</v>
      </c>
      <c r="K41" s="2"/>
      <c r="L41" s="2">
        <v>98</v>
      </c>
      <c r="M41" s="2">
        <v>519</v>
      </c>
      <c r="N41" s="2">
        <v>86.5</v>
      </c>
    </row>
    <row r="42" spans="1:14">
      <c r="A42" s="2" t="s">
        <v>92</v>
      </c>
      <c r="B42" s="6" t="s">
        <v>93</v>
      </c>
      <c r="C42" s="2" t="s">
        <v>17</v>
      </c>
      <c r="D42" s="2">
        <v>85</v>
      </c>
      <c r="E42" s="2">
        <v>81</v>
      </c>
      <c r="F42" s="2"/>
      <c r="G42" s="2"/>
      <c r="H42" s="2"/>
      <c r="I42" s="2">
        <v>51</v>
      </c>
      <c r="J42" s="2">
        <v>80</v>
      </c>
      <c r="K42" s="2">
        <v>55</v>
      </c>
      <c r="L42" s="2">
        <v>89</v>
      </c>
      <c r="M42" s="2">
        <v>441</v>
      </c>
      <c r="N42" s="2">
        <v>73.5</v>
      </c>
    </row>
    <row r="43" spans="1:14">
      <c r="A43" s="2" t="s">
        <v>94</v>
      </c>
      <c r="B43" s="6" t="s">
        <v>95</v>
      </c>
      <c r="C43" s="2" t="s">
        <v>22</v>
      </c>
      <c r="D43" s="2">
        <v>87</v>
      </c>
      <c r="E43" s="2">
        <v>76</v>
      </c>
      <c r="F43" s="2"/>
      <c r="G43" s="2"/>
      <c r="H43" s="2">
        <v>82</v>
      </c>
      <c r="I43" s="2">
        <v>85</v>
      </c>
      <c r="J43" s="2">
        <v>92</v>
      </c>
      <c r="K43" s="2"/>
      <c r="L43" s="2">
        <v>96</v>
      </c>
      <c r="M43" s="2">
        <v>518</v>
      </c>
      <c r="N43" s="2">
        <v>86.33</v>
      </c>
    </row>
    <row r="44" spans="1:14">
      <c r="A44" s="2" t="s">
        <v>96</v>
      </c>
      <c r="B44" s="6" t="s">
        <v>97</v>
      </c>
      <c r="C44" s="2" t="s">
        <v>17</v>
      </c>
      <c r="D44" s="2">
        <v>81</v>
      </c>
      <c r="E44" s="2"/>
      <c r="F44" s="2">
        <v>81</v>
      </c>
      <c r="G44" s="2"/>
      <c r="H44" s="2"/>
      <c r="I44" s="2">
        <v>59</v>
      </c>
      <c r="J44" s="2">
        <v>79</v>
      </c>
      <c r="K44" s="2">
        <v>83</v>
      </c>
      <c r="L44" s="2">
        <v>91</v>
      </c>
      <c r="M44" s="2">
        <v>474</v>
      </c>
      <c r="N44" s="2">
        <v>79</v>
      </c>
    </row>
    <row r="45" spans="1:14">
      <c r="A45" s="2" t="s">
        <v>98</v>
      </c>
      <c r="B45" s="6" t="s">
        <v>99</v>
      </c>
      <c r="C45" s="2" t="s">
        <v>17</v>
      </c>
      <c r="D45" s="2">
        <v>94</v>
      </c>
      <c r="E45" s="2"/>
      <c r="F45" s="2">
        <v>96</v>
      </c>
      <c r="G45" s="2"/>
      <c r="H45" s="2">
        <v>69</v>
      </c>
      <c r="I45" s="2">
        <v>85</v>
      </c>
      <c r="J45" s="2">
        <v>95</v>
      </c>
      <c r="K45" s="2"/>
      <c r="L45" s="2">
        <v>97</v>
      </c>
      <c r="M45" s="2">
        <v>536</v>
      </c>
      <c r="N45" s="2">
        <v>89.33</v>
      </c>
    </row>
    <row r="46" spans="1:14">
      <c r="A46" s="2" t="s">
        <v>100</v>
      </c>
      <c r="B46" s="6" t="s">
        <v>101</v>
      </c>
      <c r="C46" s="2" t="s">
        <v>22</v>
      </c>
      <c r="D46" s="2">
        <v>86</v>
      </c>
      <c r="E46" s="2"/>
      <c r="F46" s="2">
        <v>98</v>
      </c>
      <c r="G46" s="2"/>
      <c r="H46" s="2">
        <v>83</v>
      </c>
      <c r="I46" s="2">
        <v>70</v>
      </c>
      <c r="J46" s="2">
        <v>77</v>
      </c>
      <c r="K46" s="2"/>
      <c r="L46" s="2">
        <v>97</v>
      </c>
      <c r="M46" s="2">
        <v>511</v>
      </c>
      <c r="N46" s="2">
        <v>85.17</v>
      </c>
    </row>
    <row r="47" spans="1:14">
      <c r="A47" s="2" t="s">
        <v>102</v>
      </c>
      <c r="B47" s="6" t="s">
        <v>103</v>
      </c>
      <c r="C47" s="2" t="s">
        <v>17</v>
      </c>
      <c r="D47" s="2">
        <v>95</v>
      </c>
      <c r="E47" s="2"/>
      <c r="F47" s="2">
        <v>100</v>
      </c>
      <c r="G47" s="2"/>
      <c r="H47" s="2">
        <v>89</v>
      </c>
      <c r="I47" s="2">
        <v>92</v>
      </c>
      <c r="J47" s="2">
        <v>95</v>
      </c>
      <c r="K47" s="2"/>
      <c r="L47" s="2">
        <v>99</v>
      </c>
      <c r="M47" s="2">
        <v>570</v>
      </c>
      <c r="N47" s="2">
        <v>95</v>
      </c>
    </row>
    <row r="48" spans="1:14">
      <c r="A48" s="2" t="s">
        <v>104</v>
      </c>
      <c r="B48" s="6" t="s">
        <v>105</v>
      </c>
      <c r="C48" s="2" t="s">
        <v>17</v>
      </c>
      <c r="D48" s="2">
        <v>86</v>
      </c>
      <c r="E48" s="2">
        <v>88</v>
      </c>
      <c r="F48" s="2"/>
      <c r="G48" s="2"/>
      <c r="H48" s="2">
        <v>73</v>
      </c>
      <c r="I48" s="2">
        <v>73</v>
      </c>
      <c r="J48" s="2">
        <v>91</v>
      </c>
      <c r="K48" s="2"/>
      <c r="L48" s="2">
        <v>99</v>
      </c>
      <c r="M48" s="2">
        <v>510</v>
      </c>
      <c r="N48" s="2">
        <v>85</v>
      </c>
    </row>
    <row r="49" spans="1:14">
      <c r="A49" s="2" t="s">
        <v>106</v>
      </c>
      <c r="B49" s="6" t="s">
        <v>107</v>
      </c>
      <c r="C49" s="2" t="s">
        <v>17</v>
      </c>
      <c r="D49" s="2">
        <v>86</v>
      </c>
      <c r="E49" s="2"/>
      <c r="F49" s="2">
        <v>87</v>
      </c>
      <c r="G49" s="2"/>
      <c r="H49" s="2">
        <v>52</v>
      </c>
      <c r="I49" s="2">
        <v>53</v>
      </c>
      <c r="J49" s="2">
        <v>85</v>
      </c>
      <c r="K49" s="2"/>
      <c r="L49" s="2">
        <v>92</v>
      </c>
      <c r="M49" s="2">
        <v>455</v>
      </c>
      <c r="N49" s="2">
        <v>75.83</v>
      </c>
    </row>
    <row r="50" spans="1:14">
      <c r="A50" s="2" t="s">
        <v>108</v>
      </c>
      <c r="B50" s="6" t="s">
        <v>109</v>
      </c>
      <c r="C50" s="2" t="s">
        <v>17</v>
      </c>
      <c r="D50" s="2">
        <v>90</v>
      </c>
      <c r="E50" s="2"/>
      <c r="F50" s="2">
        <v>82</v>
      </c>
      <c r="G50" s="2"/>
      <c r="H50" s="2"/>
      <c r="I50" s="2">
        <v>69</v>
      </c>
      <c r="J50" s="2">
        <v>75</v>
      </c>
      <c r="K50" s="2">
        <v>65</v>
      </c>
      <c r="L50" s="2">
        <v>91</v>
      </c>
      <c r="M50" s="2">
        <v>472</v>
      </c>
      <c r="N50" s="2">
        <v>78.67</v>
      </c>
    </row>
    <row r="51" spans="1:14">
      <c r="A51" s="2" t="s">
        <v>110</v>
      </c>
      <c r="B51" s="6" t="s">
        <v>111</v>
      </c>
      <c r="C51" s="2" t="s">
        <v>17</v>
      </c>
      <c r="D51" s="2">
        <v>92</v>
      </c>
      <c r="E51" s="2"/>
      <c r="F51" s="2">
        <v>96</v>
      </c>
      <c r="G51" s="2"/>
      <c r="H51" s="2"/>
      <c r="I51" s="2">
        <v>83</v>
      </c>
      <c r="J51" s="2">
        <v>93</v>
      </c>
      <c r="K51" s="2">
        <v>75</v>
      </c>
      <c r="L51" s="2">
        <v>98</v>
      </c>
      <c r="M51" s="2">
        <v>537</v>
      </c>
      <c r="N51" s="2">
        <v>89.5</v>
      </c>
    </row>
    <row r="52" spans="1:14">
      <c r="A52" s="2" t="s">
        <v>112</v>
      </c>
      <c r="B52" s="6" t="s">
        <v>113</v>
      </c>
      <c r="C52" s="2" t="s">
        <v>22</v>
      </c>
      <c r="D52" s="2">
        <v>85</v>
      </c>
      <c r="E52" s="2">
        <v>89</v>
      </c>
      <c r="F52" s="2"/>
      <c r="G52" s="2"/>
      <c r="H52" s="2">
        <v>93</v>
      </c>
      <c r="I52" s="2">
        <v>88</v>
      </c>
      <c r="J52" s="2">
        <v>91</v>
      </c>
      <c r="K52" s="2"/>
      <c r="L52" s="2">
        <v>99</v>
      </c>
      <c r="M52" s="2">
        <v>545</v>
      </c>
      <c r="N52" s="2">
        <v>90.83</v>
      </c>
    </row>
    <row r="53" spans="1:14">
      <c r="A53" s="2" t="s">
        <v>114</v>
      </c>
      <c r="B53" s="6" t="s">
        <v>115</v>
      </c>
      <c r="C53" s="2" t="s">
        <v>22</v>
      </c>
      <c r="D53" s="2">
        <v>80</v>
      </c>
      <c r="E53" s="2"/>
      <c r="F53" s="2">
        <v>77</v>
      </c>
      <c r="G53" s="2"/>
      <c r="H53" s="2"/>
      <c r="I53" s="2">
        <v>57</v>
      </c>
      <c r="J53" s="2">
        <v>73</v>
      </c>
      <c r="K53" s="2">
        <v>78</v>
      </c>
      <c r="L53" s="2">
        <v>95</v>
      </c>
      <c r="M53" s="2">
        <v>460</v>
      </c>
      <c r="N53" s="2">
        <v>76.67</v>
      </c>
    </row>
    <row r="54" spans="1:14">
      <c r="A54" s="2" t="s">
        <v>116</v>
      </c>
      <c r="B54" s="6" t="s">
        <v>117</v>
      </c>
      <c r="C54" s="2" t="s">
        <v>22</v>
      </c>
      <c r="D54" s="2">
        <v>62</v>
      </c>
      <c r="E54" s="2">
        <v>74</v>
      </c>
      <c r="F54" s="2"/>
      <c r="G54" s="2"/>
      <c r="H54" s="2"/>
      <c r="I54" s="2">
        <v>38</v>
      </c>
      <c r="J54" s="2">
        <v>57</v>
      </c>
      <c r="K54" s="2">
        <v>33</v>
      </c>
      <c r="L54" s="2">
        <v>82</v>
      </c>
      <c r="M54" s="2">
        <v>346</v>
      </c>
      <c r="N54" s="2">
        <v>57.67</v>
      </c>
    </row>
    <row r="55" spans="1:14">
      <c r="A55" s="2" t="s">
        <v>118</v>
      </c>
      <c r="B55" s="6" t="s">
        <v>119</v>
      </c>
      <c r="C55" s="2" t="s">
        <v>17</v>
      </c>
      <c r="D55" s="2">
        <v>93</v>
      </c>
      <c r="E55" s="2">
        <v>93</v>
      </c>
      <c r="F55" s="2"/>
      <c r="G55" s="2"/>
      <c r="H55" s="2"/>
      <c r="I55" s="2">
        <v>93</v>
      </c>
      <c r="J55" s="2">
        <v>97</v>
      </c>
      <c r="K55" s="2">
        <v>79</v>
      </c>
      <c r="L55" s="2">
        <v>94</v>
      </c>
      <c r="M55" s="2">
        <v>549</v>
      </c>
      <c r="N55" s="2">
        <v>91.5</v>
      </c>
    </row>
    <row r="56" spans="1:14">
      <c r="A56" s="2" t="s">
        <v>120</v>
      </c>
      <c r="B56" s="6" t="s">
        <v>121</v>
      </c>
      <c r="C56" s="2" t="s">
        <v>22</v>
      </c>
      <c r="D56" s="2">
        <v>88</v>
      </c>
      <c r="E56" s="2"/>
      <c r="F56" s="2">
        <v>87</v>
      </c>
      <c r="G56" s="2"/>
      <c r="H56" s="2"/>
      <c r="I56" s="2">
        <v>75</v>
      </c>
      <c r="J56" s="2">
        <v>84</v>
      </c>
      <c r="K56" s="2">
        <v>90</v>
      </c>
      <c r="L56" s="2">
        <v>92</v>
      </c>
      <c r="M56" s="2">
        <v>516</v>
      </c>
      <c r="N56" s="2">
        <v>86</v>
      </c>
    </row>
    <row r="57" spans="1:14">
      <c r="A57" s="2" t="s">
        <v>122</v>
      </c>
      <c r="B57" s="6" t="s">
        <v>123</v>
      </c>
      <c r="C57" s="2" t="s">
        <v>22</v>
      </c>
      <c r="D57" s="2">
        <v>85</v>
      </c>
      <c r="E57" s="2">
        <v>91</v>
      </c>
      <c r="F57" s="2"/>
      <c r="G57" s="2"/>
      <c r="H57" s="2"/>
      <c r="I57" s="2">
        <v>88</v>
      </c>
      <c r="J57" s="2">
        <v>98</v>
      </c>
      <c r="K57" s="2">
        <v>94</v>
      </c>
      <c r="L57" s="2">
        <v>100</v>
      </c>
      <c r="M57" s="2">
        <v>556</v>
      </c>
      <c r="N57" s="2">
        <v>92.67</v>
      </c>
    </row>
    <row r="58" spans="1:14">
      <c r="A58" s="2" t="s">
        <v>124</v>
      </c>
      <c r="B58" s="6" t="s">
        <v>125</v>
      </c>
      <c r="C58" s="2" t="s">
        <v>22</v>
      </c>
      <c r="D58" s="2">
        <v>92</v>
      </c>
      <c r="E58" s="2"/>
      <c r="F58" s="2">
        <v>98</v>
      </c>
      <c r="G58" s="2"/>
      <c r="H58" s="2">
        <v>95</v>
      </c>
      <c r="I58" s="2">
        <v>88</v>
      </c>
      <c r="J58" s="2">
        <v>94</v>
      </c>
      <c r="K58" s="2"/>
      <c r="L58" s="2">
        <v>98</v>
      </c>
      <c r="M58" s="2">
        <v>565</v>
      </c>
      <c r="N58" s="2">
        <v>94.17</v>
      </c>
    </row>
    <row r="59" spans="1:14">
      <c r="A59" s="2" t="s">
        <v>126</v>
      </c>
      <c r="B59" s="6" t="s">
        <v>127</v>
      </c>
      <c r="C59" s="2" t="s">
        <v>17</v>
      </c>
      <c r="D59" s="2">
        <v>87</v>
      </c>
      <c r="E59" s="2"/>
      <c r="F59" s="2">
        <v>92</v>
      </c>
      <c r="G59" s="2"/>
      <c r="H59" s="2"/>
      <c r="I59" s="2">
        <v>91</v>
      </c>
      <c r="J59" s="2">
        <v>92</v>
      </c>
      <c r="K59" s="2">
        <v>90</v>
      </c>
      <c r="L59" s="2">
        <v>98</v>
      </c>
      <c r="M59" s="2">
        <v>550</v>
      </c>
      <c r="N59" s="2">
        <v>91.67</v>
      </c>
    </row>
    <row r="60" spans="1:14">
      <c r="A60" s="2" t="s">
        <v>128</v>
      </c>
      <c r="B60" s="6" t="s">
        <v>129</v>
      </c>
      <c r="C60" s="2" t="s">
        <v>22</v>
      </c>
      <c r="D60" s="2">
        <v>98</v>
      </c>
      <c r="E60" s="2"/>
      <c r="F60" s="2">
        <v>99</v>
      </c>
      <c r="G60" s="2"/>
      <c r="H60" s="2"/>
      <c r="I60" s="2">
        <v>79</v>
      </c>
      <c r="J60" s="2">
        <v>96</v>
      </c>
      <c r="K60" s="2">
        <v>88</v>
      </c>
      <c r="L60" s="2">
        <v>98</v>
      </c>
      <c r="M60" s="2">
        <v>558</v>
      </c>
      <c r="N60" s="2">
        <v>93</v>
      </c>
    </row>
    <row r="61" spans="1:14">
      <c r="A61" s="2" t="s">
        <v>130</v>
      </c>
      <c r="B61" s="6" t="s">
        <v>131</v>
      </c>
      <c r="C61" s="2" t="s">
        <v>17</v>
      </c>
      <c r="D61" s="2">
        <v>96</v>
      </c>
      <c r="E61" s="2"/>
      <c r="F61" s="2"/>
      <c r="G61" s="2">
        <v>100</v>
      </c>
      <c r="H61" s="2">
        <v>95</v>
      </c>
      <c r="I61" s="2">
        <v>96</v>
      </c>
      <c r="J61" s="2">
        <v>97</v>
      </c>
      <c r="K61" s="2"/>
      <c r="L61" s="2">
        <v>100</v>
      </c>
      <c r="M61" s="2">
        <v>584</v>
      </c>
      <c r="N61" s="2">
        <v>97.33</v>
      </c>
    </row>
    <row r="62" spans="1:14">
      <c r="A62" s="2" t="s">
        <v>132</v>
      </c>
      <c r="B62" s="6" t="s">
        <v>133</v>
      </c>
      <c r="C62" s="2" t="s">
        <v>17</v>
      </c>
      <c r="D62" s="2">
        <v>98</v>
      </c>
      <c r="E62" s="2"/>
      <c r="F62" s="2">
        <v>96</v>
      </c>
      <c r="G62" s="2"/>
      <c r="H62" s="2">
        <v>74</v>
      </c>
      <c r="I62" s="2">
        <v>85</v>
      </c>
      <c r="J62" s="2">
        <v>95</v>
      </c>
      <c r="K62" s="2"/>
      <c r="L62" s="2">
        <v>97</v>
      </c>
      <c r="M62" s="2">
        <v>545</v>
      </c>
      <c r="N62" s="2">
        <v>90.83</v>
      </c>
    </row>
    <row r="63" spans="1:14">
      <c r="A63" s="2" t="s">
        <v>134</v>
      </c>
      <c r="B63" s="6" t="s">
        <v>135</v>
      </c>
      <c r="C63" s="2" t="s">
        <v>22</v>
      </c>
      <c r="D63" s="2">
        <v>96</v>
      </c>
      <c r="E63" s="2">
        <v>88</v>
      </c>
      <c r="F63" s="2"/>
      <c r="G63" s="2"/>
      <c r="H63" s="2">
        <v>90</v>
      </c>
      <c r="I63" s="2">
        <v>96</v>
      </c>
      <c r="J63" s="2">
        <v>99</v>
      </c>
      <c r="K63" s="2"/>
      <c r="L63" s="2">
        <v>99</v>
      </c>
      <c r="M63" s="2">
        <v>568</v>
      </c>
      <c r="N63" s="2">
        <v>94.67</v>
      </c>
    </row>
    <row r="64" spans="1:14">
      <c r="A64" s="2" t="s">
        <v>136</v>
      </c>
      <c r="B64" s="6" t="s">
        <v>137</v>
      </c>
      <c r="C64" s="2" t="s">
        <v>22</v>
      </c>
      <c r="D64" s="2">
        <v>83</v>
      </c>
      <c r="E64" s="2"/>
      <c r="F64" s="2">
        <v>92</v>
      </c>
      <c r="G64" s="2"/>
      <c r="H64" s="2">
        <v>95</v>
      </c>
      <c r="I64" s="2">
        <v>82</v>
      </c>
      <c r="J64" s="2">
        <v>86</v>
      </c>
      <c r="K64" s="2"/>
      <c r="L64" s="2">
        <v>98</v>
      </c>
      <c r="M64" s="2">
        <v>536</v>
      </c>
      <c r="N64" s="2">
        <v>89.33</v>
      </c>
    </row>
    <row r="65" spans="1:14">
      <c r="A65" s="2" t="s">
        <v>138</v>
      </c>
      <c r="B65" s="6" t="s">
        <v>139</v>
      </c>
      <c r="C65" s="2" t="s">
        <v>22</v>
      </c>
      <c r="D65" s="2">
        <v>99</v>
      </c>
      <c r="E65" s="2"/>
      <c r="F65" s="2"/>
      <c r="G65" s="2">
        <v>98</v>
      </c>
      <c r="H65" s="2">
        <v>99</v>
      </c>
      <c r="I65" s="2">
        <v>94</v>
      </c>
      <c r="J65" s="2">
        <v>99</v>
      </c>
      <c r="K65" s="2"/>
      <c r="L65" s="2">
        <v>100</v>
      </c>
      <c r="M65" s="2">
        <v>589</v>
      </c>
      <c r="N65" s="2">
        <v>98.17</v>
      </c>
    </row>
    <row r="66" spans="1:14">
      <c r="A66" s="2" t="s">
        <v>140</v>
      </c>
      <c r="B66" s="6" t="s">
        <v>141</v>
      </c>
      <c r="C66" s="2" t="s">
        <v>22</v>
      </c>
      <c r="D66" s="2">
        <v>88</v>
      </c>
      <c r="E66" s="2"/>
      <c r="F66" s="2"/>
      <c r="G66" s="2">
        <v>68</v>
      </c>
      <c r="H66" s="2"/>
      <c r="I66" s="2">
        <v>83</v>
      </c>
      <c r="J66" s="2">
        <v>95</v>
      </c>
      <c r="K66" s="2">
        <v>91</v>
      </c>
      <c r="L66" s="2">
        <v>95</v>
      </c>
      <c r="M66" s="2">
        <v>520</v>
      </c>
      <c r="N66" s="2">
        <v>86.67</v>
      </c>
    </row>
    <row r="67" spans="1:14">
      <c r="A67" s="2" t="s">
        <v>142</v>
      </c>
      <c r="B67" s="6" t="s">
        <v>143</v>
      </c>
      <c r="C67" s="2" t="s">
        <v>17</v>
      </c>
      <c r="D67" s="2">
        <v>92</v>
      </c>
      <c r="E67" s="2"/>
      <c r="F67" s="2"/>
      <c r="G67" s="2">
        <v>78</v>
      </c>
      <c r="H67" s="2"/>
      <c r="I67" s="2">
        <v>54</v>
      </c>
      <c r="J67" s="2">
        <v>86</v>
      </c>
      <c r="K67" s="2">
        <v>60</v>
      </c>
      <c r="L67" s="2">
        <v>92</v>
      </c>
      <c r="M67" s="2">
        <v>462</v>
      </c>
      <c r="N67" s="2">
        <v>77</v>
      </c>
    </row>
    <row r="68" spans="1:14">
      <c r="A68" s="2" t="s">
        <v>144</v>
      </c>
      <c r="B68" s="6" t="s">
        <v>145</v>
      </c>
      <c r="C68" s="2" t="s">
        <v>17</v>
      </c>
      <c r="D68" s="2">
        <v>87</v>
      </c>
      <c r="E68" s="2">
        <v>85</v>
      </c>
      <c r="F68" s="2"/>
      <c r="G68" s="2"/>
      <c r="H68" s="2"/>
      <c r="I68" s="2">
        <v>63</v>
      </c>
      <c r="J68" s="2">
        <v>68</v>
      </c>
      <c r="K68" s="2">
        <v>62</v>
      </c>
      <c r="L68" s="2">
        <v>90</v>
      </c>
      <c r="M68" s="2">
        <v>455</v>
      </c>
      <c r="N68" s="2">
        <v>75.83</v>
      </c>
    </row>
    <row r="69" spans="1:14">
      <c r="A69" s="2" t="s">
        <v>146</v>
      </c>
      <c r="B69" s="6" t="s">
        <v>147</v>
      </c>
      <c r="C69" s="2" t="s">
        <v>17</v>
      </c>
      <c r="D69" s="2">
        <v>93</v>
      </c>
      <c r="E69" s="2"/>
      <c r="F69" s="2"/>
      <c r="G69" s="2">
        <v>90</v>
      </c>
      <c r="H69" s="2">
        <v>69</v>
      </c>
      <c r="I69" s="2">
        <v>86</v>
      </c>
      <c r="J69" s="2">
        <v>92</v>
      </c>
      <c r="K69" s="2"/>
      <c r="L69" s="2">
        <v>100</v>
      </c>
      <c r="M69" s="2">
        <v>530</v>
      </c>
      <c r="N69" s="2">
        <v>88.33</v>
      </c>
    </row>
    <row r="70" spans="1:14">
      <c r="A70" s="2" t="s">
        <v>148</v>
      </c>
      <c r="B70" s="6" t="s">
        <v>149</v>
      </c>
      <c r="C70" s="2" t="s">
        <v>17</v>
      </c>
      <c r="D70" s="2">
        <v>94</v>
      </c>
      <c r="E70" s="2"/>
      <c r="F70" s="2"/>
      <c r="G70" s="2">
        <v>83</v>
      </c>
      <c r="H70" s="2">
        <v>85</v>
      </c>
      <c r="I70" s="2">
        <v>92</v>
      </c>
      <c r="J70" s="2">
        <v>91</v>
      </c>
      <c r="K70" s="2"/>
      <c r="L70" s="2">
        <v>99</v>
      </c>
      <c r="M70" s="2">
        <v>544</v>
      </c>
      <c r="N70" s="2">
        <v>90.67</v>
      </c>
    </row>
    <row r="71" spans="1:14">
      <c r="A71" s="2" t="s">
        <v>150</v>
      </c>
      <c r="B71" s="6" t="s">
        <v>151</v>
      </c>
      <c r="C71" s="2" t="s">
        <v>22</v>
      </c>
      <c r="D71" s="2">
        <v>92</v>
      </c>
      <c r="E71" s="2"/>
      <c r="F71" s="2">
        <v>94</v>
      </c>
      <c r="G71" s="2"/>
      <c r="H71" s="2">
        <v>85</v>
      </c>
      <c r="I71" s="2">
        <v>94</v>
      </c>
      <c r="J71" s="2">
        <v>98</v>
      </c>
      <c r="K71" s="2"/>
      <c r="L71" s="2">
        <v>100</v>
      </c>
      <c r="M71" s="2">
        <v>563</v>
      </c>
      <c r="N71" s="2">
        <v>93.83</v>
      </c>
    </row>
    <row r="72" spans="1:14">
      <c r="A72" s="2" t="s">
        <v>152</v>
      </c>
      <c r="B72" s="6" t="s">
        <v>153</v>
      </c>
      <c r="C72" s="2" t="s">
        <v>17</v>
      </c>
      <c r="D72" s="2">
        <v>95</v>
      </c>
      <c r="E72" s="2"/>
      <c r="F72" s="2">
        <v>96</v>
      </c>
      <c r="G72" s="2"/>
      <c r="H72" s="2">
        <v>61</v>
      </c>
      <c r="I72" s="2">
        <v>64</v>
      </c>
      <c r="J72" s="2">
        <v>91</v>
      </c>
      <c r="K72" s="2"/>
      <c r="L72" s="2">
        <v>98</v>
      </c>
      <c r="M72" s="2">
        <v>505</v>
      </c>
      <c r="N72" s="2">
        <v>84.17</v>
      </c>
    </row>
    <row r="73" spans="1:14">
      <c r="A73" s="2" t="s">
        <v>154</v>
      </c>
      <c r="B73" s="6" t="s">
        <v>155</v>
      </c>
      <c r="C73" s="2" t="s">
        <v>22</v>
      </c>
      <c r="D73" s="2">
        <v>83</v>
      </c>
      <c r="E73" s="2">
        <v>82</v>
      </c>
      <c r="F73" s="2"/>
      <c r="G73" s="2"/>
      <c r="H73" s="2"/>
      <c r="I73" s="2">
        <v>69</v>
      </c>
      <c r="J73" s="2">
        <v>80</v>
      </c>
      <c r="K73" s="2">
        <v>79</v>
      </c>
      <c r="L73" s="2">
        <v>86</v>
      </c>
      <c r="M73" s="2">
        <v>479</v>
      </c>
      <c r="N73" s="2">
        <v>79.83</v>
      </c>
    </row>
    <row r="74" spans="1:14">
      <c r="A74" s="2" t="s">
        <v>156</v>
      </c>
      <c r="B74" s="6" t="s">
        <v>157</v>
      </c>
      <c r="C74" s="2" t="s">
        <v>17</v>
      </c>
      <c r="D74" s="2">
        <v>80</v>
      </c>
      <c r="E74" s="2"/>
      <c r="F74" s="2">
        <v>83</v>
      </c>
      <c r="G74" s="2"/>
      <c r="H74" s="2"/>
      <c r="I74" s="2">
        <v>55</v>
      </c>
      <c r="J74" s="2">
        <v>61</v>
      </c>
      <c r="K74" s="2">
        <v>66</v>
      </c>
      <c r="L74" s="2">
        <v>86</v>
      </c>
      <c r="M74" s="2">
        <v>431</v>
      </c>
      <c r="N74" s="2">
        <v>71.83</v>
      </c>
    </row>
    <row r="75" spans="1:14">
      <c r="A75" s="2" t="s">
        <v>158</v>
      </c>
      <c r="B75" s="6" t="s">
        <v>159</v>
      </c>
      <c r="C75" s="2" t="s">
        <v>22</v>
      </c>
      <c r="D75" s="2">
        <v>96</v>
      </c>
      <c r="E75" s="2"/>
      <c r="F75" s="2">
        <v>99</v>
      </c>
      <c r="G75" s="2"/>
      <c r="H75" s="2">
        <v>91</v>
      </c>
      <c r="I75" s="2">
        <v>94</v>
      </c>
      <c r="J75" s="2">
        <v>98</v>
      </c>
      <c r="K75" s="2"/>
      <c r="L75" s="2">
        <v>99</v>
      </c>
      <c r="M75" s="2">
        <v>577</v>
      </c>
      <c r="N75" s="2">
        <v>96.17</v>
      </c>
    </row>
    <row r="76" spans="1:14">
      <c r="A76" s="2" t="s">
        <v>160</v>
      </c>
      <c r="B76" s="6" t="s">
        <v>159</v>
      </c>
      <c r="C76" s="2" t="s">
        <v>22</v>
      </c>
      <c r="D76" s="2">
        <v>88</v>
      </c>
      <c r="E76" s="2"/>
      <c r="F76" s="2">
        <v>94</v>
      </c>
      <c r="G76" s="2"/>
      <c r="H76" s="2">
        <v>81</v>
      </c>
      <c r="I76" s="2">
        <v>76</v>
      </c>
      <c r="J76" s="2">
        <v>87</v>
      </c>
      <c r="K76" s="2"/>
      <c r="L76" s="2">
        <v>96</v>
      </c>
      <c r="M76" s="2">
        <v>522</v>
      </c>
      <c r="N76" s="2">
        <v>87</v>
      </c>
    </row>
    <row r="77" spans="1:14">
      <c r="A77" s="2" t="s">
        <v>161</v>
      </c>
      <c r="B77" s="6" t="s">
        <v>162</v>
      </c>
      <c r="C77" s="2" t="s">
        <v>22</v>
      </c>
      <c r="D77" s="2">
        <v>84</v>
      </c>
      <c r="E77" s="2"/>
      <c r="F77" s="2">
        <v>94</v>
      </c>
      <c r="G77" s="2"/>
      <c r="H77" s="2"/>
      <c r="I77" s="2">
        <v>86</v>
      </c>
      <c r="J77" s="2">
        <v>99</v>
      </c>
      <c r="K77" s="2">
        <v>76</v>
      </c>
      <c r="L77" s="2">
        <v>97</v>
      </c>
      <c r="M77" s="2">
        <v>536</v>
      </c>
      <c r="N77" s="2">
        <v>89.33</v>
      </c>
    </row>
    <row r="78" spans="1:14">
      <c r="A78" s="2" t="s">
        <v>163</v>
      </c>
      <c r="B78" s="6" t="s">
        <v>164</v>
      </c>
      <c r="C78" s="2" t="s">
        <v>22</v>
      </c>
      <c r="D78" s="2">
        <v>84</v>
      </c>
      <c r="E78" s="2"/>
      <c r="F78" s="2">
        <v>72</v>
      </c>
      <c r="G78" s="2"/>
      <c r="H78" s="2"/>
      <c r="I78" s="2">
        <v>48</v>
      </c>
      <c r="J78" s="2">
        <v>63</v>
      </c>
      <c r="K78" s="2">
        <v>60</v>
      </c>
      <c r="L78" s="2">
        <v>88</v>
      </c>
      <c r="M78" s="2">
        <v>415</v>
      </c>
      <c r="N78" s="2">
        <v>69.17</v>
      </c>
    </row>
    <row r="79" spans="1:14">
      <c r="A79" s="2" t="s">
        <v>165</v>
      </c>
      <c r="B79" s="6" t="s">
        <v>166</v>
      </c>
      <c r="C79" s="2" t="s">
        <v>22</v>
      </c>
      <c r="D79" s="2">
        <v>90</v>
      </c>
      <c r="E79" s="2"/>
      <c r="F79" s="2">
        <v>84</v>
      </c>
      <c r="G79" s="2"/>
      <c r="H79" s="2">
        <v>70</v>
      </c>
      <c r="I79" s="2">
        <v>77</v>
      </c>
      <c r="J79" s="2">
        <v>90</v>
      </c>
      <c r="K79" s="2"/>
      <c r="L79" s="2">
        <v>94</v>
      </c>
      <c r="M79" s="2">
        <v>505</v>
      </c>
      <c r="N79" s="2">
        <v>84.17</v>
      </c>
    </row>
    <row r="80" spans="1:14">
      <c r="A80" s="2" t="s">
        <v>167</v>
      </c>
      <c r="B80" s="6" t="s">
        <v>168</v>
      </c>
      <c r="C80" s="2" t="s">
        <v>17</v>
      </c>
      <c r="D80" s="2">
        <v>90</v>
      </c>
      <c r="E80" s="2">
        <v>90</v>
      </c>
      <c r="F80" s="2"/>
      <c r="G80" s="2"/>
      <c r="H80" s="2"/>
      <c r="I80" s="2">
        <v>92</v>
      </c>
      <c r="J80" s="2">
        <v>85</v>
      </c>
      <c r="K80" s="2">
        <v>89</v>
      </c>
      <c r="L80" s="2">
        <v>98</v>
      </c>
      <c r="M80" s="2">
        <v>544</v>
      </c>
      <c r="N80" s="2">
        <v>90.67</v>
      </c>
    </row>
    <row r="81" spans="1:14">
      <c r="A81" s="2" t="s">
        <v>169</v>
      </c>
      <c r="B81" s="6" t="s">
        <v>170</v>
      </c>
      <c r="C81" s="2" t="s">
        <v>17</v>
      </c>
      <c r="D81" s="2">
        <v>83</v>
      </c>
      <c r="E81" s="2"/>
      <c r="F81" s="2">
        <v>74</v>
      </c>
      <c r="G81" s="2"/>
      <c r="H81" s="2">
        <v>65</v>
      </c>
      <c r="I81" s="2">
        <v>52</v>
      </c>
      <c r="J81" s="2">
        <v>79</v>
      </c>
      <c r="K81" s="2"/>
      <c r="L81" s="2">
        <v>85</v>
      </c>
      <c r="M81" s="2">
        <v>438</v>
      </c>
      <c r="N81" s="2">
        <v>73</v>
      </c>
    </row>
    <row r="82" spans="1:14">
      <c r="A82" s="2" t="s">
        <v>171</v>
      </c>
      <c r="B82" s="6" t="s">
        <v>172</v>
      </c>
      <c r="C82" s="2" t="s">
        <v>17</v>
      </c>
      <c r="D82" s="2">
        <v>97</v>
      </c>
      <c r="E82" s="2"/>
      <c r="F82" s="2"/>
      <c r="G82" s="2">
        <v>99</v>
      </c>
      <c r="H82" s="2">
        <v>98</v>
      </c>
      <c r="I82" s="2">
        <v>97</v>
      </c>
      <c r="J82" s="2">
        <v>100</v>
      </c>
      <c r="K82" s="2"/>
      <c r="L82" s="2">
        <v>98</v>
      </c>
      <c r="M82" s="2">
        <v>589</v>
      </c>
      <c r="N82" s="2">
        <v>98.17</v>
      </c>
    </row>
    <row r="83" spans="1:14">
      <c r="A83" s="2" t="s">
        <v>173</v>
      </c>
      <c r="B83" s="6" t="s">
        <v>174</v>
      </c>
      <c r="C83" s="2" t="s">
        <v>22</v>
      </c>
      <c r="D83" s="2">
        <v>90</v>
      </c>
      <c r="E83" s="2">
        <v>92</v>
      </c>
      <c r="F83" s="2"/>
      <c r="G83" s="2"/>
      <c r="H83" s="2"/>
      <c r="I83" s="2">
        <v>73</v>
      </c>
      <c r="J83" s="2">
        <v>83</v>
      </c>
      <c r="K83" s="2">
        <v>71</v>
      </c>
      <c r="L83" s="2">
        <v>91</v>
      </c>
      <c r="M83" s="2">
        <v>500</v>
      </c>
      <c r="N83" s="2">
        <v>83.33</v>
      </c>
    </row>
    <row r="84" spans="1:14">
      <c r="A84" s="2" t="s">
        <v>175</v>
      </c>
      <c r="B84" s="6" t="s">
        <v>176</v>
      </c>
      <c r="C84" s="2" t="s">
        <v>22</v>
      </c>
      <c r="D84" s="2">
        <v>88</v>
      </c>
      <c r="E84" s="2"/>
      <c r="F84" s="2">
        <v>99</v>
      </c>
      <c r="G84" s="2"/>
      <c r="H84" s="2">
        <v>88</v>
      </c>
      <c r="I84" s="2">
        <v>89</v>
      </c>
      <c r="J84" s="2">
        <v>98</v>
      </c>
      <c r="K84" s="2"/>
      <c r="L84" s="2">
        <v>95</v>
      </c>
      <c r="M84" s="2">
        <v>557</v>
      </c>
      <c r="N84" s="2">
        <v>92.83</v>
      </c>
    </row>
    <row r="85" spans="1:14">
      <c r="A85" s="2" t="s">
        <v>177</v>
      </c>
      <c r="B85" s="6" t="s">
        <v>178</v>
      </c>
      <c r="C85" s="2" t="s">
        <v>17</v>
      </c>
      <c r="D85" s="2">
        <v>97</v>
      </c>
      <c r="E85" s="2"/>
      <c r="F85" s="2"/>
      <c r="G85" s="2">
        <v>97</v>
      </c>
      <c r="H85" s="2">
        <v>94</v>
      </c>
      <c r="I85" s="2">
        <v>95</v>
      </c>
      <c r="J85" s="2">
        <v>96</v>
      </c>
      <c r="K85" s="2"/>
      <c r="L85" s="2">
        <v>99</v>
      </c>
      <c r="M85" s="2">
        <v>578</v>
      </c>
      <c r="N85" s="2">
        <v>96.33</v>
      </c>
    </row>
    <row r="86" spans="1:14">
      <c r="A86" s="2" t="s">
        <v>179</v>
      </c>
      <c r="B86" s="6" t="s">
        <v>180</v>
      </c>
      <c r="C86" s="2" t="s">
        <v>17</v>
      </c>
      <c r="D86" s="2">
        <v>97</v>
      </c>
      <c r="E86" s="2"/>
      <c r="F86" s="2">
        <v>94</v>
      </c>
      <c r="G86" s="2"/>
      <c r="H86" s="2">
        <v>63</v>
      </c>
      <c r="I86" s="2">
        <v>70</v>
      </c>
      <c r="J86" s="2">
        <v>93</v>
      </c>
      <c r="K86" s="2"/>
      <c r="L86" s="2">
        <v>96</v>
      </c>
      <c r="M86" s="2">
        <v>513</v>
      </c>
      <c r="N86" s="2">
        <v>85.5</v>
      </c>
    </row>
    <row r="87" spans="1:14">
      <c r="A87" s="2" t="s">
        <v>181</v>
      </c>
      <c r="B87" s="6" t="s">
        <v>182</v>
      </c>
      <c r="C87" s="2" t="s">
        <v>22</v>
      </c>
      <c r="D87" s="2">
        <v>87</v>
      </c>
      <c r="E87" s="2"/>
      <c r="F87" s="2">
        <v>85</v>
      </c>
      <c r="G87" s="2"/>
      <c r="H87" s="2">
        <v>76</v>
      </c>
      <c r="I87" s="2">
        <v>78</v>
      </c>
      <c r="J87" s="2">
        <v>90</v>
      </c>
      <c r="K87" s="2"/>
      <c r="L87" s="2">
        <v>98</v>
      </c>
      <c r="M87" s="2">
        <v>514</v>
      </c>
      <c r="N87" s="2">
        <v>85.67</v>
      </c>
    </row>
    <row r="88" spans="1:14">
      <c r="A88" s="2" t="s">
        <v>183</v>
      </c>
      <c r="B88" s="6" t="s">
        <v>184</v>
      </c>
      <c r="C88" s="2" t="s">
        <v>22</v>
      </c>
      <c r="D88" s="2">
        <v>94</v>
      </c>
      <c r="E88" s="2">
        <v>92</v>
      </c>
      <c r="F88" s="2"/>
      <c r="G88" s="2"/>
      <c r="H88" s="2">
        <v>72</v>
      </c>
      <c r="I88" s="2">
        <v>62</v>
      </c>
      <c r="J88" s="2">
        <v>81</v>
      </c>
      <c r="K88" s="2"/>
      <c r="L88" s="2">
        <v>94</v>
      </c>
      <c r="M88" s="2">
        <v>495</v>
      </c>
      <c r="N88" s="2">
        <v>82.5</v>
      </c>
    </row>
    <row r="89" spans="1:14">
      <c r="A89" s="2" t="s">
        <v>185</v>
      </c>
      <c r="B89" s="6" t="s">
        <v>186</v>
      </c>
      <c r="C89" s="2" t="s">
        <v>22</v>
      </c>
      <c r="D89" s="2">
        <v>87</v>
      </c>
      <c r="E89" s="2"/>
      <c r="F89" s="2">
        <v>98</v>
      </c>
      <c r="G89" s="2"/>
      <c r="H89" s="2">
        <v>89</v>
      </c>
      <c r="I89" s="2">
        <v>90</v>
      </c>
      <c r="J89" s="2">
        <v>96</v>
      </c>
      <c r="K89" s="2"/>
      <c r="L89" s="2">
        <v>99</v>
      </c>
      <c r="M89" s="2">
        <v>559</v>
      </c>
      <c r="N89" s="2">
        <v>93.17</v>
      </c>
    </row>
    <row r="90" spans="1:14">
      <c r="A90" s="2" t="s">
        <v>187</v>
      </c>
      <c r="B90" s="6" t="s">
        <v>188</v>
      </c>
      <c r="C90" s="2" t="s">
        <v>22</v>
      </c>
      <c r="D90" s="2">
        <v>92</v>
      </c>
      <c r="E90" s="2"/>
      <c r="F90" s="2">
        <v>84</v>
      </c>
      <c r="G90" s="2"/>
      <c r="H90" s="2">
        <v>74</v>
      </c>
      <c r="I90" s="2">
        <v>70</v>
      </c>
      <c r="J90" s="2">
        <v>82</v>
      </c>
      <c r="K90" s="2"/>
      <c r="L90" s="2">
        <v>92</v>
      </c>
      <c r="M90" s="2">
        <v>494</v>
      </c>
      <c r="N90" s="2">
        <v>82.33</v>
      </c>
    </row>
    <row r="91" spans="1:14">
      <c r="A91" s="2" t="s">
        <v>189</v>
      </c>
      <c r="B91" s="6" t="s">
        <v>190</v>
      </c>
      <c r="C91" s="2" t="s">
        <v>22</v>
      </c>
      <c r="D91" s="2">
        <v>87</v>
      </c>
      <c r="E91" s="2">
        <v>90</v>
      </c>
      <c r="F91" s="2"/>
      <c r="G91" s="2"/>
      <c r="H91" s="2">
        <v>94</v>
      </c>
      <c r="I91" s="2">
        <v>81</v>
      </c>
      <c r="J91" s="2">
        <v>91</v>
      </c>
      <c r="K91" s="2"/>
      <c r="L91" s="2">
        <v>97</v>
      </c>
      <c r="M91" s="2">
        <v>540</v>
      </c>
      <c r="N91" s="2">
        <v>90</v>
      </c>
    </row>
    <row r="92" spans="1:14">
      <c r="A92" s="2" t="s">
        <v>191</v>
      </c>
      <c r="B92" s="6" t="s">
        <v>192</v>
      </c>
      <c r="C92" s="2" t="s">
        <v>22</v>
      </c>
      <c r="D92" s="2">
        <v>91</v>
      </c>
      <c r="E92" s="2">
        <v>89</v>
      </c>
      <c r="F92" s="2"/>
      <c r="G92" s="2"/>
      <c r="H92" s="2"/>
      <c r="I92" s="2">
        <v>94</v>
      </c>
      <c r="J92" s="2">
        <v>83</v>
      </c>
      <c r="K92" s="2">
        <v>89</v>
      </c>
      <c r="L92" s="2">
        <v>99</v>
      </c>
      <c r="M92" s="2">
        <v>545</v>
      </c>
      <c r="N92" s="2">
        <v>90.83</v>
      </c>
    </row>
    <row r="93" spans="1:14">
      <c r="A93" s="2" t="s">
        <v>193</v>
      </c>
      <c r="B93" s="6" t="s">
        <v>194</v>
      </c>
      <c r="C93" s="2" t="s">
        <v>17</v>
      </c>
      <c r="D93" s="2">
        <v>97</v>
      </c>
      <c r="E93" s="2"/>
      <c r="F93" s="2">
        <v>98</v>
      </c>
      <c r="G93" s="2"/>
      <c r="H93" s="2">
        <v>75</v>
      </c>
      <c r="I93" s="2">
        <v>88</v>
      </c>
      <c r="J93" s="2">
        <v>98</v>
      </c>
      <c r="K93" s="2"/>
      <c r="L93" s="2">
        <v>98</v>
      </c>
      <c r="M93" s="2">
        <v>554</v>
      </c>
      <c r="N93" s="2">
        <v>92.33</v>
      </c>
    </row>
    <row r="94" spans="1:14">
      <c r="A94" s="2" t="s">
        <v>195</v>
      </c>
      <c r="B94" s="6" t="s">
        <v>196</v>
      </c>
      <c r="C94" s="2" t="s">
        <v>17</v>
      </c>
      <c r="D94" s="2">
        <v>93</v>
      </c>
      <c r="E94" s="2"/>
      <c r="F94" s="2">
        <v>88</v>
      </c>
      <c r="G94" s="2"/>
      <c r="H94" s="2">
        <v>70</v>
      </c>
      <c r="I94" s="2">
        <v>80</v>
      </c>
      <c r="J94" s="2">
        <v>81</v>
      </c>
      <c r="K94" s="2"/>
      <c r="L94" s="2">
        <v>97</v>
      </c>
      <c r="M94" s="2">
        <v>509</v>
      </c>
      <c r="N94" s="2">
        <v>84.83</v>
      </c>
    </row>
    <row r="95" spans="1:14">
      <c r="A95" s="2" t="s">
        <v>197</v>
      </c>
      <c r="B95" s="6" t="s">
        <v>198</v>
      </c>
      <c r="C95" s="2" t="s">
        <v>17</v>
      </c>
      <c r="D95" s="2">
        <v>91</v>
      </c>
      <c r="E95" s="2"/>
      <c r="F95" s="2">
        <v>97</v>
      </c>
      <c r="G95" s="2"/>
      <c r="H95" s="2">
        <v>72</v>
      </c>
      <c r="I95" s="2">
        <v>88</v>
      </c>
      <c r="J95" s="2">
        <v>98</v>
      </c>
      <c r="K95" s="2"/>
      <c r="L95" s="2">
        <v>98</v>
      </c>
      <c r="M95" s="2">
        <v>544</v>
      </c>
      <c r="N95" s="2">
        <v>90.67</v>
      </c>
    </row>
    <row r="96" spans="1:14">
      <c r="A96" s="2" t="s">
        <v>199</v>
      </c>
      <c r="B96" s="6" t="s">
        <v>200</v>
      </c>
      <c r="C96" s="2" t="s">
        <v>22</v>
      </c>
      <c r="D96" s="2">
        <v>92</v>
      </c>
      <c r="E96" s="2">
        <v>76</v>
      </c>
      <c r="F96" s="2"/>
      <c r="G96" s="2"/>
      <c r="H96" s="2"/>
      <c r="I96" s="2">
        <v>89</v>
      </c>
      <c r="J96" s="2">
        <v>92</v>
      </c>
      <c r="K96" s="2">
        <v>88</v>
      </c>
      <c r="L96" s="2">
        <v>98</v>
      </c>
      <c r="M96" s="2">
        <v>535</v>
      </c>
      <c r="N96" s="2">
        <v>89.17</v>
      </c>
    </row>
    <row r="97" spans="1:14">
      <c r="A97" s="2" t="s">
        <v>201</v>
      </c>
      <c r="B97" s="6" t="s">
        <v>202</v>
      </c>
      <c r="C97" s="2" t="s">
        <v>22</v>
      </c>
      <c r="D97" s="2">
        <v>82</v>
      </c>
      <c r="E97" s="2">
        <v>92</v>
      </c>
      <c r="F97" s="2"/>
      <c r="G97" s="2"/>
      <c r="H97" s="2">
        <v>66</v>
      </c>
      <c r="I97" s="2">
        <v>87</v>
      </c>
      <c r="J97" s="2">
        <v>90</v>
      </c>
      <c r="K97" s="2"/>
      <c r="L97" s="2">
        <v>96</v>
      </c>
      <c r="M97" s="2">
        <v>513</v>
      </c>
      <c r="N97" s="2">
        <v>85.5</v>
      </c>
    </row>
    <row r="98" spans="1:14">
      <c r="A98" s="2" t="s">
        <v>203</v>
      </c>
      <c r="B98" s="6" t="s">
        <v>204</v>
      </c>
      <c r="C98" s="2" t="s">
        <v>22</v>
      </c>
      <c r="D98" s="2">
        <v>68</v>
      </c>
      <c r="E98" s="2">
        <v>83</v>
      </c>
      <c r="F98" s="2"/>
      <c r="G98" s="2"/>
      <c r="H98" s="2"/>
      <c r="I98" s="2">
        <v>64</v>
      </c>
      <c r="J98" s="2">
        <v>75</v>
      </c>
      <c r="K98" s="2">
        <v>39</v>
      </c>
      <c r="L98" s="2">
        <v>74</v>
      </c>
      <c r="M98" s="2">
        <v>403</v>
      </c>
      <c r="N98" s="2">
        <v>67.17</v>
      </c>
    </row>
    <row r="99" spans="1:14">
      <c r="A99" s="2" t="s">
        <v>205</v>
      </c>
      <c r="B99" s="6" t="s">
        <v>206</v>
      </c>
      <c r="C99" s="2" t="s">
        <v>22</v>
      </c>
      <c r="D99" s="2">
        <v>92</v>
      </c>
      <c r="E99" s="2"/>
      <c r="F99" s="2">
        <v>100</v>
      </c>
      <c r="G99" s="2"/>
      <c r="H99" s="2"/>
      <c r="I99" s="2">
        <v>98</v>
      </c>
      <c r="J99" s="2">
        <v>98</v>
      </c>
      <c r="K99" s="2">
        <v>100</v>
      </c>
      <c r="L99" s="2">
        <v>100</v>
      </c>
      <c r="M99" s="2">
        <v>588</v>
      </c>
      <c r="N99" s="2">
        <v>98</v>
      </c>
    </row>
    <row r="100" spans="1:14">
      <c r="A100" s="2" t="s">
        <v>207</v>
      </c>
      <c r="B100" s="6" t="s">
        <v>208</v>
      </c>
      <c r="C100" s="2" t="s">
        <v>17</v>
      </c>
      <c r="D100" s="2">
        <v>87</v>
      </c>
      <c r="E100" s="2">
        <v>90</v>
      </c>
      <c r="F100" s="2"/>
      <c r="G100" s="2"/>
      <c r="H100" s="2">
        <v>67</v>
      </c>
      <c r="I100" s="2">
        <v>80</v>
      </c>
      <c r="J100" s="2">
        <v>82</v>
      </c>
      <c r="K100" s="2"/>
      <c r="L100" s="2">
        <v>97</v>
      </c>
      <c r="M100" s="2">
        <v>503</v>
      </c>
      <c r="N100" s="2">
        <v>83.83</v>
      </c>
    </row>
    <row r="101" spans="1:14">
      <c r="A101" s="2" t="s">
        <v>209</v>
      </c>
      <c r="B101" s="6" t="s">
        <v>210</v>
      </c>
      <c r="C101" s="2" t="s">
        <v>17</v>
      </c>
      <c r="D101" s="2">
        <v>91</v>
      </c>
      <c r="E101" s="2"/>
      <c r="F101" s="2">
        <v>99</v>
      </c>
      <c r="G101" s="2"/>
      <c r="H101" s="2">
        <v>90</v>
      </c>
      <c r="I101" s="2">
        <v>97</v>
      </c>
      <c r="J101" s="2">
        <v>93</v>
      </c>
      <c r="K101" s="2"/>
      <c r="L101" s="2">
        <v>100</v>
      </c>
      <c r="M101" s="2">
        <v>570</v>
      </c>
      <c r="N101" s="2">
        <v>95</v>
      </c>
    </row>
    <row r="102" spans="1:14">
      <c r="A102" s="2" t="s">
        <v>211</v>
      </c>
      <c r="B102" s="6" t="s">
        <v>212</v>
      </c>
      <c r="C102" s="2" t="s">
        <v>22</v>
      </c>
      <c r="D102" s="2">
        <v>81</v>
      </c>
      <c r="E102" s="2">
        <v>90</v>
      </c>
      <c r="F102" s="2"/>
      <c r="G102" s="2"/>
      <c r="H102" s="2"/>
      <c r="I102" s="2">
        <v>96</v>
      </c>
      <c r="J102" s="2">
        <v>93</v>
      </c>
      <c r="K102" s="2">
        <v>96</v>
      </c>
      <c r="L102" s="2">
        <v>100</v>
      </c>
      <c r="M102" s="2">
        <v>556</v>
      </c>
      <c r="N102" s="2">
        <v>92.67</v>
      </c>
    </row>
    <row r="103" spans="1:14">
      <c r="A103" s="2" t="s">
        <v>213</v>
      </c>
      <c r="B103" s="6" t="s">
        <v>214</v>
      </c>
      <c r="C103" s="2" t="s">
        <v>22</v>
      </c>
      <c r="D103" s="2">
        <v>85</v>
      </c>
      <c r="E103" s="2">
        <v>93</v>
      </c>
      <c r="F103" s="2"/>
      <c r="G103" s="2"/>
      <c r="H103" s="2">
        <v>64</v>
      </c>
      <c r="I103" s="2">
        <v>88</v>
      </c>
      <c r="J103" s="2">
        <v>95</v>
      </c>
      <c r="K103" s="2"/>
      <c r="L103" s="2">
        <v>98</v>
      </c>
      <c r="M103" s="2">
        <v>523</v>
      </c>
      <c r="N103" s="2">
        <v>87.17</v>
      </c>
    </row>
    <row r="104" spans="1:14">
      <c r="A104" s="2" t="s">
        <v>215</v>
      </c>
      <c r="B104" s="6" t="s">
        <v>216</v>
      </c>
      <c r="C104" s="2" t="s">
        <v>17</v>
      </c>
      <c r="D104" s="2">
        <v>96</v>
      </c>
      <c r="E104" s="2">
        <v>96</v>
      </c>
      <c r="F104" s="2"/>
      <c r="G104" s="2"/>
      <c r="H104" s="2">
        <v>95</v>
      </c>
      <c r="I104" s="2">
        <v>99</v>
      </c>
      <c r="J104" s="2">
        <v>96</v>
      </c>
      <c r="K104" s="2"/>
      <c r="L104" s="2">
        <v>100</v>
      </c>
      <c r="M104" s="2">
        <v>582</v>
      </c>
      <c r="N104" s="2">
        <v>97</v>
      </c>
    </row>
    <row r="105" spans="1:14">
      <c r="A105" s="2" t="s">
        <v>217</v>
      </c>
      <c r="B105" s="6" t="s">
        <v>218</v>
      </c>
      <c r="C105" s="2" t="s">
        <v>17</v>
      </c>
      <c r="D105" s="2">
        <v>96</v>
      </c>
      <c r="E105" s="2">
        <v>97</v>
      </c>
      <c r="F105" s="2"/>
      <c r="G105" s="2"/>
      <c r="H105" s="2">
        <v>79</v>
      </c>
      <c r="I105" s="2">
        <v>96</v>
      </c>
      <c r="J105" s="2">
        <v>98</v>
      </c>
      <c r="K105" s="2"/>
      <c r="L105" s="2">
        <v>100</v>
      </c>
      <c r="M105" s="2">
        <v>566</v>
      </c>
      <c r="N105" s="2">
        <v>94.33</v>
      </c>
    </row>
    <row r="106" spans="1:14">
      <c r="A106" s="2" t="s">
        <v>219</v>
      </c>
      <c r="B106" s="6" t="s">
        <v>220</v>
      </c>
      <c r="C106" s="2" t="s">
        <v>17</v>
      </c>
      <c r="D106" s="2">
        <v>93</v>
      </c>
      <c r="E106" s="2"/>
      <c r="F106" s="2">
        <v>99</v>
      </c>
      <c r="G106" s="2"/>
      <c r="H106" s="2">
        <v>85</v>
      </c>
      <c r="I106" s="2">
        <v>100</v>
      </c>
      <c r="J106" s="2">
        <v>97</v>
      </c>
      <c r="K106" s="2"/>
      <c r="L106" s="2">
        <v>100</v>
      </c>
      <c r="M106" s="2">
        <v>574</v>
      </c>
      <c r="N106" s="2">
        <v>95.67</v>
      </c>
    </row>
    <row r="107" spans="1:14">
      <c r="A107" s="2" t="s">
        <v>221</v>
      </c>
      <c r="B107" s="6" t="s">
        <v>222</v>
      </c>
      <c r="C107" s="2" t="s">
        <v>17</v>
      </c>
      <c r="D107" s="2">
        <v>78</v>
      </c>
      <c r="E107" s="2"/>
      <c r="F107" s="2">
        <v>84</v>
      </c>
      <c r="G107" s="2"/>
      <c r="H107" s="2"/>
      <c r="I107" s="2">
        <v>60</v>
      </c>
      <c r="J107" s="2">
        <v>86</v>
      </c>
      <c r="K107" s="2">
        <v>53</v>
      </c>
      <c r="L107" s="2">
        <v>95</v>
      </c>
      <c r="M107" s="2">
        <v>456</v>
      </c>
      <c r="N107" s="2">
        <v>76</v>
      </c>
    </row>
    <row r="108" spans="1:14">
      <c r="A108" s="2" t="s">
        <v>223</v>
      </c>
      <c r="B108" s="6" t="s">
        <v>224</v>
      </c>
      <c r="C108" s="2" t="s">
        <v>22</v>
      </c>
      <c r="D108" s="2">
        <v>92</v>
      </c>
      <c r="E108" s="2">
        <v>94</v>
      </c>
      <c r="F108" s="2"/>
      <c r="G108" s="2"/>
      <c r="H108" s="2"/>
      <c r="I108" s="2">
        <v>80</v>
      </c>
      <c r="J108" s="2">
        <v>85</v>
      </c>
      <c r="K108" s="2">
        <v>66</v>
      </c>
      <c r="L108" s="2">
        <v>96</v>
      </c>
      <c r="M108" s="2">
        <v>513</v>
      </c>
      <c r="N108" s="2">
        <v>85.5</v>
      </c>
    </row>
    <row r="109" spans="1:14">
      <c r="A109" s="2" t="s">
        <v>225</v>
      </c>
      <c r="B109" s="6" t="s">
        <v>226</v>
      </c>
      <c r="C109" s="2" t="s">
        <v>17</v>
      </c>
      <c r="D109" s="2">
        <v>89</v>
      </c>
      <c r="E109" s="2"/>
      <c r="F109" s="2">
        <v>87</v>
      </c>
      <c r="G109" s="2"/>
      <c r="H109" s="2"/>
      <c r="I109" s="2">
        <v>59</v>
      </c>
      <c r="J109" s="2">
        <v>89</v>
      </c>
      <c r="K109" s="2">
        <v>74</v>
      </c>
      <c r="L109" s="2">
        <v>91</v>
      </c>
      <c r="M109" s="2">
        <v>489</v>
      </c>
      <c r="N109" s="2">
        <v>81.5</v>
      </c>
    </row>
    <row r="110" spans="1:14">
      <c r="A110" s="2" t="s">
        <v>227</v>
      </c>
      <c r="B110" s="6" t="s">
        <v>228</v>
      </c>
      <c r="C110" s="2" t="s">
        <v>17</v>
      </c>
      <c r="D110" s="2">
        <v>94</v>
      </c>
      <c r="E110" s="2"/>
      <c r="F110" s="2">
        <v>97</v>
      </c>
      <c r="G110" s="2"/>
      <c r="H110" s="2">
        <v>88</v>
      </c>
      <c r="I110" s="2">
        <v>96</v>
      </c>
      <c r="J110" s="2">
        <v>94</v>
      </c>
      <c r="K110" s="2"/>
      <c r="L110" s="2">
        <v>99</v>
      </c>
      <c r="M110" s="2">
        <v>568</v>
      </c>
      <c r="N110" s="2">
        <v>94.67</v>
      </c>
    </row>
    <row r="111" spans="1:14">
      <c r="A111" s="2" t="s">
        <v>229</v>
      </c>
      <c r="B111" s="6" t="s">
        <v>230</v>
      </c>
      <c r="C111" s="2" t="s">
        <v>22</v>
      </c>
      <c r="D111" s="2">
        <v>86</v>
      </c>
      <c r="E111" s="2">
        <v>85</v>
      </c>
      <c r="F111" s="2"/>
      <c r="G111" s="2"/>
      <c r="H111" s="2">
        <v>50</v>
      </c>
      <c r="I111" s="2">
        <v>62</v>
      </c>
      <c r="J111" s="2">
        <v>76</v>
      </c>
      <c r="K111" s="2"/>
      <c r="L111" s="2">
        <v>88</v>
      </c>
      <c r="M111" s="2">
        <v>447</v>
      </c>
      <c r="N111" s="2">
        <v>74.5</v>
      </c>
    </row>
    <row r="112" spans="1:14">
      <c r="A112" s="2" t="s">
        <v>231</v>
      </c>
      <c r="B112" s="6" t="s">
        <v>232</v>
      </c>
      <c r="C112" s="2" t="s">
        <v>17</v>
      </c>
      <c r="D112" s="2">
        <v>94</v>
      </c>
      <c r="E112" s="2"/>
      <c r="F112" s="2">
        <v>98</v>
      </c>
      <c r="G112" s="2"/>
      <c r="H112" s="2">
        <v>91</v>
      </c>
      <c r="I112" s="2">
        <v>96</v>
      </c>
      <c r="J112" s="2">
        <v>92</v>
      </c>
      <c r="K112" s="2"/>
      <c r="L112" s="2">
        <v>98</v>
      </c>
      <c r="M112" s="2">
        <v>569</v>
      </c>
      <c r="N112" s="2">
        <v>94.83</v>
      </c>
    </row>
    <row r="113" spans="1:14">
      <c r="A113" s="2" t="s">
        <v>233</v>
      </c>
      <c r="B113" s="6" t="s">
        <v>234</v>
      </c>
      <c r="C113" s="2" t="s">
        <v>17</v>
      </c>
      <c r="D113" s="2">
        <v>86</v>
      </c>
      <c r="E113" s="2"/>
      <c r="F113" s="2">
        <v>92</v>
      </c>
      <c r="G113" s="2"/>
      <c r="H113" s="2"/>
      <c r="I113" s="2">
        <v>61</v>
      </c>
      <c r="J113" s="2">
        <v>80</v>
      </c>
      <c r="K113" s="2">
        <v>68</v>
      </c>
      <c r="L113" s="2">
        <v>90</v>
      </c>
      <c r="M113" s="2">
        <v>477</v>
      </c>
      <c r="N113" s="2">
        <v>79.5</v>
      </c>
    </row>
    <row r="114" spans="1:14">
      <c r="A114" s="2" t="s">
        <v>235</v>
      </c>
      <c r="B114" s="6" t="s">
        <v>236</v>
      </c>
      <c r="C114" s="2" t="s">
        <v>22</v>
      </c>
      <c r="D114" s="2">
        <v>90</v>
      </c>
      <c r="E114" s="2">
        <v>90</v>
      </c>
      <c r="F114" s="2"/>
      <c r="G114" s="2"/>
      <c r="H114" s="2">
        <v>96</v>
      </c>
      <c r="I114" s="2">
        <v>71</v>
      </c>
      <c r="J114" s="2">
        <v>81</v>
      </c>
      <c r="K114" s="2"/>
      <c r="L114" s="2">
        <v>93</v>
      </c>
      <c r="M114" s="2">
        <v>521</v>
      </c>
      <c r="N114" s="2">
        <v>86.83</v>
      </c>
    </row>
    <row r="115" spans="1:14">
      <c r="A115" s="2" t="s">
        <v>237</v>
      </c>
      <c r="B115" s="6" t="s">
        <v>238</v>
      </c>
      <c r="C115" s="2" t="s">
        <v>22</v>
      </c>
      <c r="D115" s="2">
        <v>88</v>
      </c>
      <c r="E115" s="2"/>
      <c r="F115" s="2"/>
      <c r="G115" s="2">
        <v>87</v>
      </c>
      <c r="H115" s="2">
        <v>89</v>
      </c>
      <c r="I115" s="2">
        <v>95</v>
      </c>
      <c r="J115" s="2">
        <v>96</v>
      </c>
      <c r="K115" s="2"/>
      <c r="L115" s="2">
        <v>97</v>
      </c>
      <c r="M115" s="2">
        <v>552</v>
      </c>
      <c r="N115" s="2">
        <v>92</v>
      </c>
    </row>
    <row r="116" spans="1:14">
      <c r="A116" s="2" t="s">
        <v>239</v>
      </c>
      <c r="B116" s="6" t="s">
        <v>240</v>
      </c>
      <c r="C116" s="2" t="s">
        <v>22</v>
      </c>
      <c r="D116" s="2">
        <v>95</v>
      </c>
      <c r="E116" s="2"/>
      <c r="F116" s="2">
        <v>98</v>
      </c>
      <c r="G116" s="2"/>
      <c r="H116" s="2">
        <v>90</v>
      </c>
      <c r="I116" s="2">
        <v>94</v>
      </c>
      <c r="J116" s="2">
        <v>81</v>
      </c>
      <c r="K116" s="2"/>
      <c r="L116" s="2">
        <v>98</v>
      </c>
      <c r="M116" s="2">
        <v>556</v>
      </c>
      <c r="N116" s="2">
        <v>92.67</v>
      </c>
    </row>
    <row r="117" spans="1:14">
      <c r="A117" s="2" t="s">
        <v>241</v>
      </c>
      <c r="B117" s="6" t="s">
        <v>242</v>
      </c>
      <c r="C117" s="2" t="s">
        <v>22</v>
      </c>
      <c r="D117" s="2">
        <v>93</v>
      </c>
      <c r="E117" s="2">
        <v>85</v>
      </c>
      <c r="F117" s="2"/>
      <c r="G117" s="2"/>
      <c r="H117" s="2">
        <v>68</v>
      </c>
      <c r="I117" s="2">
        <v>65</v>
      </c>
      <c r="J117" s="2">
        <v>90</v>
      </c>
      <c r="K117" s="2"/>
      <c r="L117" s="2">
        <v>95</v>
      </c>
      <c r="M117" s="2">
        <v>496</v>
      </c>
      <c r="N117" s="2">
        <v>82.67</v>
      </c>
    </row>
    <row r="118" spans="1:14">
      <c r="A118" s="2" t="s">
        <v>243</v>
      </c>
      <c r="B118" s="6" t="s">
        <v>244</v>
      </c>
      <c r="C118" s="2" t="s">
        <v>22</v>
      </c>
      <c r="D118" s="2">
        <v>94</v>
      </c>
      <c r="E118" s="2"/>
      <c r="F118" s="2">
        <v>98</v>
      </c>
      <c r="G118" s="2"/>
      <c r="H118" s="2"/>
      <c r="I118" s="2">
        <v>94</v>
      </c>
      <c r="J118" s="2">
        <v>91</v>
      </c>
      <c r="K118" s="2">
        <v>89</v>
      </c>
      <c r="L118" s="2">
        <v>94</v>
      </c>
      <c r="M118" s="2">
        <v>560</v>
      </c>
      <c r="N118" s="2">
        <v>93.33</v>
      </c>
    </row>
    <row r="119" spans="1:14">
      <c r="A119" s="2" t="s">
        <v>245</v>
      </c>
      <c r="B119" s="6" t="s">
        <v>246</v>
      </c>
      <c r="C119" s="2" t="s">
        <v>22</v>
      </c>
      <c r="D119" s="2">
        <v>91</v>
      </c>
      <c r="E119" s="2"/>
      <c r="F119" s="2">
        <v>99</v>
      </c>
      <c r="G119" s="2"/>
      <c r="H119" s="2">
        <v>99</v>
      </c>
      <c r="I119" s="2">
        <v>97</v>
      </c>
      <c r="J119" s="2">
        <v>91</v>
      </c>
      <c r="K119" s="2"/>
      <c r="L119" s="2">
        <v>100</v>
      </c>
      <c r="M119" s="2">
        <v>577</v>
      </c>
      <c r="N119" s="2">
        <v>96.17</v>
      </c>
    </row>
    <row r="120" spans="1:14">
      <c r="A120" s="2" t="s">
        <v>247</v>
      </c>
      <c r="B120" s="6" t="s">
        <v>248</v>
      </c>
      <c r="C120" s="2" t="s">
        <v>22</v>
      </c>
      <c r="D120" s="2">
        <v>78</v>
      </c>
      <c r="E120" s="2">
        <v>84</v>
      </c>
      <c r="F120" s="2"/>
      <c r="G120" s="2"/>
      <c r="H120" s="2">
        <v>62</v>
      </c>
      <c r="I120" s="2">
        <v>82</v>
      </c>
      <c r="J120" s="2">
        <v>78</v>
      </c>
      <c r="K120" s="2"/>
      <c r="L120" s="2">
        <v>85</v>
      </c>
      <c r="M120" s="2">
        <v>469</v>
      </c>
      <c r="N120" s="2">
        <v>78.17</v>
      </c>
    </row>
    <row r="121" spans="1:14">
      <c r="A121" s="2" t="s">
        <v>249</v>
      </c>
      <c r="B121" s="6" t="s">
        <v>250</v>
      </c>
      <c r="C121" s="2" t="s">
        <v>22</v>
      </c>
      <c r="D121" s="2">
        <v>78</v>
      </c>
      <c r="E121" s="2"/>
      <c r="F121" s="2">
        <v>80</v>
      </c>
      <c r="G121" s="2"/>
      <c r="H121" s="2"/>
      <c r="I121" s="2">
        <v>69</v>
      </c>
      <c r="J121" s="2">
        <v>84</v>
      </c>
      <c r="K121" s="2">
        <v>64</v>
      </c>
      <c r="L121" s="2">
        <v>79</v>
      </c>
      <c r="M121" s="2">
        <v>454</v>
      </c>
      <c r="N121" s="2">
        <v>75.67</v>
      </c>
    </row>
    <row r="122" spans="1:14">
      <c r="A122" s="2" t="s">
        <v>251</v>
      </c>
      <c r="B122" s="6" t="s">
        <v>252</v>
      </c>
      <c r="C122" s="2" t="s">
        <v>17</v>
      </c>
      <c r="D122" s="2">
        <v>84</v>
      </c>
      <c r="E122" s="2">
        <v>69</v>
      </c>
      <c r="F122" s="2"/>
      <c r="G122" s="2"/>
      <c r="H122" s="2"/>
      <c r="I122" s="2">
        <v>71</v>
      </c>
      <c r="J122" s="2">
        <v>82</v>
      </c>
      <c r="K122" s="2">
        <v>48</v>
      </c>
      <c r="L122" s="2">
        <v>91</v>
      </c>
      <c r="M122" s="2">
        <v>445</v>
      </c>
      <c r="N122" s="2">
        <v>74.17</v>
      </c>
    </row>
    <row r="123" spans="1:14">
      <c r="A123" s="2" t="s">
        <v>253</v>
      </c>
      <c r="B123" s="6" t="s">
        <v>254</v>
      </c>
      <c r="C123" s="2" t="s">
        <v>22</v>
      </c>
      <c r="D123" s="2">
        <v>98</v>
      </c>
      <c r="E123" s="2"/>
      <c r="F123" s="2"/>
      <c r="G123" s="2">
        <v>98</v>
      </c>
      <c r="H123" s="2">
        <v>95</v>
      </c>
      <c r="I123" s="2">
        <v>96</v>
      </c>
      <c r="J123" s="2">
        <v>98</v>
      </c>
      <c r="K123" s="2"/>
      <c r="L123" s="2">
        <v>98</v>
      </c>
      <c r="M123" s="2">
        <v>583</v>
      </c>
      <c r="N123" s="2">
        <v>97.17</v>
      </c>
    </row>
    <row r="124" spans="1:14">
      <c r="A124" s="2" t="s">
        <v>255</v>
      </c>
      <c r="B124" s="6" t="s">
        <v>256</v>
      </c>
      <c r="C124" s="2" t="s">
        <v>22</v>
      </c>
      <c r="D124" s="2">
        <v>92</v>
      </c>
      <c r="E124" s="2"/>
      <c r="F124" s="2">
        <v>91</v>
      </c>
      <c r="G124" s="2"/>
      <c r="H124" s="2">
        <v>84</v>
      </c>
      <c r="I124" s="2">
        <v>96</v>
      </c>
      <c r="J124" s="2">
        <v>89</v>
      </c>
      <c r="K124" s="2"/>
      <c r="L124" s="2">
        <v>99</v>
      </c>
      <c r="M124" s="2">
        <v>551</v>
      </c>
      <c r="N124" s="2">
        <v>91.83</v>
      </c>
    </row>
    <row r="125" spans="1:14">
      <c r="A125" s="2" t="s">
        <v>257</v>
      </c>
      <c r="B125" s="6" t="s">
        <v>258</v>
      </c>
      <c r="C125" s="2" t="s">
        <v>17</v>
      </c>
      <c r="D125" s="2">
        <v>92</v>
      </c>
      <c r="E125" s="2"/>
      <c r="F125" s="2">
        <v>99</v>
      </c>
      <c r="G125" s="2"/>
      <c r="H125" s="2">
        <v>84</v>
      </c>
      <c r="I125" s="2">
        <v>89</v>
      </c>
      <c r="J125" s="2">
        <v>94</v>
      </c>
      <c r="K125" s="2"/>
      <c r="L125" s="2">
        <v>98</v>
      </c>
      <c r="M125" s="2">
        <v>556</v>
      </c>
      <c r="N125" s="2">
        <v>92.67</v>
      </c>
    </row>
    <row r="126" spans="1:14">
      <c r="A126" s="2" t="s">
        <v>259</v>
      </c>
      <c r="B126" s="6" t="s">
        <v>260</v>
      </c>
      <c r="C126" s="2" t="s">
        <v>22</v>
      </c>
      <c r="D126" s="2">
        <v>98</v>
      </c>
      <c r="E126" s="2">
        <v>88</v>
      </c>
      <c r="F126" s="2"/>
      <c r="G126" s="2"/>
      <c r="H126" s="2">
        <v>95</v>
      </c>
      <c r="I126" s="2">
        <v>92</v>
      </c>
      <c r="J126" s="2">
        <v>95</v>
      </c>
      <c r="K126" s="2"/>
      <c r="L126" s="2">
        <v>100</v>
      </c>
      <c r="M126" s="2">
        <v>568</v>
      </c>
      <c r="N126" s="2">
        <v>94.67</v>
      </c>
    </row>
    <row r="127" spans="1:14">
      <c r="A127" s="2" t="s">
        <v>261</v>
      </c>
      <c r="B127" s="6" t="s">
        <v>262</v>
      </c>
      <c r="C127" s="2" t="s">
        <v>22</v>
      </c>
      <c r="D127" s="2">
        <v>76</v>
      </c>
      <c r="E127" s="2"/>
      <c r="F127" s="2">
        <v>99</v>
      </c>
      <c r="G127" s="2"/>
      <c r="H127" s="2">
        <v>84</v>
      </c>
      <c r="I127" s="2">
        <v>92</v>
      </c>
      <c r="J127" s="2">
        <v>91</v>
      </c>
      <c r="K127" s="2"/>
      <c r="L127" s="2">
        <v>97</v>
      </c>
      <c r="M127" s="2">
        <v>539</v>
      </c>
      <c r="N127" s="2">
        <v>89.83</v>
      </c>
    </row>
    <row r="128" spans="1:14">
      <c r="A128" s="2" t="s">
        <v>263</v>
      </c>
      <c r="B128" s="6" t="s">
        <v>264</v>
      </c>
      <c r="C128" s="2" t="s">
        <v>22</v>
      </c>
      <c r="D128" s="2">
        <v>86</v>
      </c>
      <c r="E128" s="2"/>
      <c r="F128" s="2"/>
      <c r="G128" s="2">
        <v>91</v>
      </c>
      <c r="H128" s="2"/>
      <c r="I128" s="2">
        <v>94</v>
      </c>
      <c r="J128" s="2">
        <v>92</v>
      </c>
      <c r="K128" s="2">
        <v>94</v>
      </c>
      <c r="L128" s="2">
        <v>100</v>
      </c>
      <c r="M128" s="2">
        <v>557</v>
      </c>
      <c r="N128" s="2">
        <v>92.83</v>
      </c>
    </row>
    <row r="129" spans="1:14">
      <c r="A129" s="2" t="s">
        <v>265</v>
      </c>
      <c r="B129" s="6" t="s">
        <v>266</v>
      </c>
      <c r="C129" s="2" t="s">
        <v>22</v>
      </c>
      <c r="D129" s="2">
        <v>95</v>
      </c>
      <c r="E129" s="2">
        <v>88</v>
      </c>
      <c r="F129" s="2"/>
      <c r="G129" s="2"/>
      <c r="H129" s="2"/>
      <c r="I129" s="2">
        <v>53</v>
      </c>
      <c r="J129" s="2">
        <v>73</v>
      </c>
      <c r="K129" s="2">
        <v>78</v>
      </c>
      <c r="L129" s="2">
        <v>96</v>
      </c>
      <c r="M129" s="2">
        <v>483</v>
      </c>
      <c r="N129" s="2">
        <v>80.5</v>
      </c>
    </row>
    <row r="130" spans="1:14">
      <c r="A130" s="2" t="s">
        <v>267</v>
      </c>
      <c r="B130" s="6" t="s">
        <v>268</v>
      </c>
      <c r="C130" s="2" t="s">
        <v>22</v>
      </c>
      <c r="D130" s="2">
        <v>79</v>
      </c>
      <c r="E130" s="2">
        <v>74</v>
      </c>
      <c r="F130" s="2"/>
      <c r="G130" s="2"/>
      <c r="H130" s="2"/>
      <c r="I130" s="2">
        <v>66</v>
      </c>
      <c r="J130" s="2">
        <v>73</v>
      </c>
      <c r="K130" s="2">
        <v>55</v>
      </c>
      <c r="L130" s="2">
        <v>91</v>
      </c>
      <c r="M130" s="2">
        <v>438</v>
      </c>
      <c r="N130" s="2">
        <v>73</v>
      </c>
    </row>
    <row r="131" spans="1:14">
      <c r="A131" s="2" t="s">
        <v>269</v>
      </c>
      <c r="B131" s="6" t="s">
        <v>270</v>
      </c>
      <c r="C131" s="2" t="s">
        <v>22</v>
      </c>
      <c r="D131" s="2">
        <v>77</v>
      </c>
      <c r="E131" s="2">
        <v>81</v>
      </c>
      <c r="F131" s="2"/>
      <c r="G131" s="2"/>
      <c r="H131" s="2"/>
      <c r="I131" s="2">
        <v>79</v>
      </c>
      <c r="J131" s="2">
        <v>64</v>
      </c>
      <c r="K131" s="2">
        <v>60</v>
      </c>
      <c r="L131" s="2">
        <v>90</v>
      </c>
      <c r="M131" s="2">
        <v>451</v>
      </c>
      <c r="N131" s="2">
        <v>75.17</v>
      </c>
    </row>
    <row r="132" spans="1:14">
      <c r="A132" s="2" t="s">
        <v>271</v>
      </c>
      <c r="B132" s="6" t="s">
        <v>272</v>
      </c>
      <c r="C132" s="2" t="s">
        <v>22</v>
      </c>
      <c r="D132" s="2">
        <v>93</v>
      </c>
      <c r="E132" s="2">
        <v>90</v>
      </c>
      <c r="F132" s="2"/>
      <c r="G132" s="2"/>
      <c r="H132" s="2">
        <v>92</v>
      </c>
      <c r="I132" s="2">
        <v>92</v>
      </c>
      <c r="J132" s="2">
        <v>96</v>
      </c>
      <c r="K132" s="2"/>
      <c r="L132" s="2">
        <v>99</v>
      </c>
      <c r="M132" s="2">
        <v>562</v>
      </c>
      <c r="N132" s="2">
        <v>93.67</v>
      </c>
    </row>
    <row r="133" spans="1:14">
      <c r="A133" s="2" t="s">
        <v>273</v>
      </c>
      <c r="B133" s="6" t="s">
        <v>274</v>
      </c>
      <c r="C133" s="2" t="s">
        <v>22</v>
      </c>
      <c r="D133" s="2">
        <v>93</v>
      </c>
      <c r="E133" s="2">
        <v>82</v>
      </c>
      <c r="F133" s="2"/>
      <c r="G133" s="2"/>
      <c r="H133" s="2">
        <v>89</v>
      </c>
      <c r="I133" s="2">
        <v>92</v>
      </c>
      <c r="J133" s="2">
        <v>91</v>
      </c>
      <c r="K133" s="2"/>
      <c r="L133" s="2">
        <v>100</v>
      </c>
      <c r="M133" s="2">
        <v>547</v>
      </c>
      <c r="N133" s="2">
        <v>91.17</v>
      </c>
    </row>
    <row r="134" spans="1:14">
      <c r="A134" s="2" t="s">
        <v>275</v>
      </c>
      <c r="B134" s="6" t="s">
        <v>276</v>
      </c>
      <c r="C134" s="2" t="s">
        <v>22</v>
      </c>
      <c r="D134" s="2">
        <v>81</v>
      </c>
      <c r="E134" s="2">
        <v>86</v>
      </c>
      <c r="F134" s="2"/>
      <c r="G134" s="2"/>
      <c r="H134" s="2"/>
      <c r="I134" s="2">
        <v>80</v>
      </c>
      <c r="J134" s="2">
        <v>88</v>
      </c>
      <c r="K134" s="2">
        <v>94</v>
      </c>
      <c r="L134" s="2">
        <v>95</v>
      </c>
      <c r="M134" s="2">
        <v>524</v>
      </c>
      <c r="N134" s="2">
        <v>87.33</v>
      </c>
    </row>
    <row r="135" spans="1:14">
      <c r="A135" s="2" t="s">
        <v>277</v>
      </c>
      <c r="B135" s="6" t="s">
        <v>278</v>
      </c>
      <c r="C135" s="2" t="s">
        <v>22</v>
      </c>
      <c r="D135" s="2">
        <v>98</v>
      </c>
      <c r="E135" s="2"/>
      <c r="F135" s="2"/>
      <c r="G135" s="2">
        <v>96</v>
      </c>
      <c r="H135" s="2">
        <v>79</v>
      </c>
      <c r="I135" s="2">
        <v>86</v>
      </c>
      <c r="J135" s="2">
        <v>96</v>
      </c>
      <c r="K135" s="2"/>
      <c r="L135" s="2">
        <v>99</v>
      </c>
      <c r="M135" s="2">
        <v>554</v>
      </c>
      <c r="N135" s="2">
        <v>92.33</v>
      </c>
    </row>
    <row r="136" spans="1:14">
      <c r="A136" s="2" t="s">
        <v>279</v>
      </c>
      <c r="B136" s="6" t="s">
        <v>280</v>
      </c>
      <c r="C136" s="2" t="s">
        <v>17</v>
      </c>
      <c r="D136" s="2">
        <v>92</v>
      </c>
      <c r="E136" s="2"/>
      <c r="F136" s="2"/>
      <c r="G136" s="2">
        <v>94</v>
      </c>
      <c r="H136" s="2">
        <v>82</v>
      </c>
      <c r="I136" s="2">
        <v>91</v>
      </c>
      <c r="J136" s="2">
        <v>93</v>
      </c>
      <c r="K136" s="2"/>
      <c r="L136" s="2">
        <v>100</v>
      </c>
      <c r="M136" s="2">
        <v>552</v>
      </c>
      <c r="N136" s="2">
        <v>92</v>
      </c>
    </row>
    <row r="137" spans="1:14">
      <c r="A137" s="2" t="s">
        <v>281</v>
      </c>
      <c r="B137" s="6" t="s">
        <v>282</v>
      </c>
      <c r="C137" s="2" t="s">
        <v>22</v>
      </c>
      <c r="D137" s="2">
        <v>94</v>
      </c>
      <c r="E137" s="2">
        <v>84</v>
      </c>
      <c r="F137" s="2"/>
      <c r="G137" s="2"/>
      <c r="H137" s="2"/>
      <c r="I137" s="2">
        <v>96</v>
      </c>
      <c r="J137" s="2">
        <v>86</v>
      </c>
      <c r="K137" s="2">
        <v>86</v>
      </c>
      <c r="L137" s="2">
        <v>98</v>
      </c>
      <c r="M137" s="2">
        <v>544</v>
      </c>
      <c r="N137" s="2">
        <v>90.67</v>
      </c>
    </row>
    <row r="138" spans="1:14">
      <c r="A138" s="2" t="s">
        <v>283</v>
      </c>
      <c r="B138" s="6" t="s">
        <v>284</v>
      </c>
      <c r="C138" s="2" t="s">
        <v>17</v>
      </c>
      <c r="D138" s="2">
        <v>98</v>
      </c>
      <c r="E138" s="2"/>
      <c r="F138" s="2"/>
      <c r="G138" s="2">
        <v>100</v>
      </c>
      <c r="H138" s="2">
        <v>82</v>
      </c>
      <c r="I138" s="2">
        <v>94</v>
      </c>
      <c r="J138" s="2">
        <v>98</v>
      </c>
      <c r="K138" s="2"/>
      <c r="L138" s="2">
        <v>100</v>
      </c>
      <c r="M138" s="2">
        <v>572</v>
      </c>
      <c r="N138" s="2">
        <v>95.33</v>
      </c>
    </row>
    <row r="139" spans="1:14">
      <c r="A139" s="2" t="s">
        <v>285</v>
      </c>
      <c r="B139" s="6" t="s">
        <v>286</v>
      </c>
      <c r="C139" s="2" t="s">
        <v>17</v>
      </c>
      <c r="D139" s="2">
        <v>88</v>
      </c>
      <c r="E139" s="2"/>
      <c r="F139" s="2"/>
      <c r="G139" s="2">
        <v>95</v>
      </c>
      <c r="H139" s="2">
        <v>84</v>
      </c>
      <c r="I139" s="2">
        <v>98</v>
      </c>
      <c r="J139" s="2">
        <v>97</v>
      </c>
      <c r="K139" s="2"/>
      <c r="L139" s="2">
        <v>100</v>
      </c>
      <c r="M139" s="2">
        <v>562</v>
      </c>
      <c r="N139" s="2">
        <v>93.67</v>
      </c>
    </row>
    <row r="140" spans="1:14">
      <c r="A140" s="2" t="s">
        <v>287</v>
      </c>
      <c r="B140" s="6" t="s">
        <v>288</v>
      </c>
      <c r="C140" s="2" t="s">
        <v>17</v>
      </c>
      <c r="D140" s="2">
        <v>98</v>
      </c>
      <c r="E140" s="2"/>
      <c r="F140" s="2">
        <v>98</v>
      </c>
      <c r="G140" s="2"/>
      <c r="H140" s="2">
        <v>83</v>
      </c>
      <c r="I140" s="2">
        <v>98</v>
      </c>
      <c r="J140" s="2">
        <v>96</v>
      </c>
      <c r="K140" s="2"/>
      <c r="L140" s="2">
        <v>100</v>
      </c>
      <c r="M140" s="2">
        <v>573</v>
      </c>
      <c r="N140" s="2">
        <v>95.5</v>
      </c>
    </row>
    <row r="141" spans="1:14">
      <c r="A141" s="2" t="s">
        <v>289</v>
      </c>
      <c r="B141" s="6" t="s">
        <v>290</v>
      </c>
      <c r="C141" s="2" t="s">
        <v>17</v>
      </c>
      <c r="D141" s="2">
        <v>93</v>
      </c>
      <c r="E141" s="2"/>
      <c r="F141" s="2">
        <v>98</v>
      </c>
      <c r="G141" s="2"/>
      <c r="H141" s="2">
        <v>62</v>
      </c>
      <c r="I141" s="2">
        <v>90</v>
      </c>
      <c r="J141" s="2">
        <v>90</v>
      </c>
      <c r="K141" s="2"/>
      <c r="L141" s="2">
        <v>95</v>
      </c>
      <c r="M141" s="2">
        <v>528</v>
      </c>
      <c r="N141" s="2">
        <v>88</v>
      </c>
    </row>
    <row r="142" spans="1:14">
      <c r="A142" s="2" t="s">
        <v>291</v>
      </c>
      <c r="B142" s="6" t="s">
        <v>292</v>
      </c>
      <c r="C142" s="2" t="s">
        <v>17</v>
      </c>
      <c r="D142" s="2">
        <v>79</v>
      </c>
      <c r="E142" s="2">
        <v>80</v>
      </c>
      <c r="F142" s="2"/>
      <c r="G142" s="2"/>
      <c r="H142" s="2"/>
      <c r="I142" s="2">
        <v>62</v>
      </c>
      <c r="J142" s="2">
        <v>79</v>
      </c>
      <c r="K142" s="2">
        <v>53</v>
      </c>
      <c r="L142" s="2">
        <v>96</v>
      </c>
      <c r="M142" s="2">
        <v>449</v>
      </c>
      <c r="N142" s="2">
        <v>74.83</v>
      </c>
    </row>
    <row r="143" spans="1:14">
      <c r="A143" s="2" t="s">
        <v>293</v>
      </c>
      <c r="B143" s="6" t="s">
        <v>294</v>
      </c>
      <c r="C143" s="2" t="s">
        <v>22</v>
      </c>
      <c r="D143" s="2">
        <v>87</v>
      </c>
      <c r="E143" s="2">
        <v>89</v>
      </c>
      <c r="F143" s="2"/>
      <c r="G143" s="2"/>
      <c r="H143" s="2"/>
      <c r="I143" s="2">
        <v>90</v>
      </c>
      <c r="J143" s="2">
        <v>79</v>
      </c>
      <c r="K143" s="2">
        <v>75</v>
      </c>
      <c r="L143" s="2">
        <v>90</v>
      </c>
      <c r="M143" s="2">
        <v>510</v>
      </c>
      <c r="N143" s="2">
        <v>85</v>
      </c>
    </row>
    <row r="144" spans="1:14">
      <c r="A144" s="2" t="s">
        <v>295</v>
      </c>
      <c r="B144" s="6" t="s">
        <v>296</v>
      </c>
      <c r="C144" s="2" t="s">
        <v>17</v>
      </c>
      <c r="D144" s="2">
        <v>95</v>
      </c>
      <c r="E144" s="2">
        <v>87</v>
      </c>
      <c r="F144" s="2"/>
      <c r="G144" s="2"/>
      <c r="H144" s="2"/>
      <c r="I144" s="2">
        <v>65</v>
      </c>
      <c r="J144" s="2">
        <v>73</v>
      </c>
      <c r="K144" s="2">
        <v>52</v>
      </c>
      <c r="L144" s="2">
        <v>93</v>
      </c>
      <c r="M144" s="2">
        <v>465</v>
      </c>
      <c r="N144" s="2">
        <v>77.5</v>
      </c>
    </row>
    <row r="145" spans="1:14">
      <c r="A145" s="2" t="s">
        <v>297</v>
      </c>
      <c r="B145" s="6" t="s">
        <v>298</v>
      </c>
      <c r="C145" s="2" t="s">
        <v>22</v>
      </c>
      <c r="D145" s="2">
        <v>93</v>
      </c>
      <c r="E145" s="2"/>
      <c r="F145" s="2">
        <v>96</v>
      </c>
      <c r="G145" s="2"/>
      <c r="H145" s="2">
        <v>95</v>
      </c>
      <c r="I145" s="2">
        <v>98</v>
      </c>
      <c r="J145" s="2">
        <v>96</v>
      </c>
      <c r="K145" s="2"/>
      <c r="L145" s="2">
        <v>100</v>
      </c>
      <c r="M145" s="2">
        <v>578</v>
      </c>
      <c r="N145" s="2">
        <v>96.33</v>
      </c>
    </row>
    <row r="146" spans="1:14">
      <c r="A146" s="2" t="s">
        <v>299</v>
      </c>
      <c r="B146" s="6" t="s">
        <v>300</v>
      </c>
      <c r="C146" s="2" t="s">
        <v>22</v>
      </c>
      <c r="D146" s="2">
        <v>85</v>
      </c>
      <c r="E146" s="2">
        <v>76</v>
      </c>
      <c r="F146" s="2"/>
      <c r="G146" s="2"/>
      <c r="H146" s="2">
        <v>94</v>
      </c>
      <c r="I146" s="2">
        <v>95</v>
      </c>
      <c r="J146" s="2">
        <v>85</v>
      </c>
      <c r="K146" s="2"/>
      <c r="L146" s="2">
        <v>97</v>
      </c>
      <c r="M146" s="2">
        <v>532</v>
      </c>
      <c r="N146" s="2">
        <v>88.67</v>
      </c>
    </row>
    <row r="147" spans="1:14">
      <c r="A147" s="2" t="s">
        <v>301</v>
      </c>
      <c r="B147" s="6" t="s">
        <v>302</v>
      </c>
      <c r="C147" s="2" t="s">
        <v>22</v>
      </c>
      <c r="D147" s="2">
        <v>98</v>
      </c>
      <c r="E147" s="2"/>
      <c r="F147" s="2">
        <v>90</v>
      </c>
      <c r="G147" s="2"/>
      <c r="H147" s="2">
        <v>89</v>
      </c>
      <c r="I147" s="2">
        <v>79</v>
      </c>
      <c r="J147" s="2">
        <v>82</v>
      </c>
      <c r="K147" s="2"/>
      <c r="L147" s="2">
        <v>99</v>
      </c>
      <c r="M147" s="2">
        <v>537</v>
      </c>
      <c r="N147" s="2">
        <v>89.5</v>
      </c>
    </row>
    <row r="148" spans="1:14">
      <c r="A148" s="2" t="s">
        <v>303</v>
      </c>
      <c r="B148" s="6" t="s">
        <v>304</v>
      </c>
      <c r="C148" s="2" t="s">
        <v>22</v>
      </c>
      <c r="D148" s="2">
        <v>85</v>
      </c>
      <c r="E148" s="2"/>
      <c r="F148" s="2">
        <v>88</v>
      </c>
      <c r="G148" s="2"/>
      <c r="H148" s="2">
        <v>75</v>
      </c>
      <c r="I148" s="2">
        <v>90</v>
      </c>
      <c r="J148" s="2">
        <v>90</v>
      </c>
      <c r="K148" s="2"/>
      <c r="L148" s="2">
        <v>96</v>
      </c>
      <c r="M148" s="2">
        <v>524</v>
      </c>
      <c r="N148" s="2">
        <v>87.33</v>
      </c>
    </row>
    <row r="149" spans="1:14">
      <c r="A149" s="2" t="s">
        <v>305</v>
      </c>
      <c r="B149" s="6" t="s">
        <v>306</v>
      </c>
      <c r="C149" s="2" t="s">
        <v>22</v>
      </c>
      <c r="D149" s="2">
        <v>96</v>
      </c>
      <c r="E149" s="2">
        <v>93</v>
      </c>
      <c r="F149" s="2"/>
      <c r="G149" s="2"/>
      <c r="H149" s="2">
        <v>95</v>
      </c>
      <c r="I149" s="2">
        <v>98</v>
      </c>
      <c r="J149" s="2">
        <v>94</v>
      </c>
      <c r="K149" s="2"/>
      <c r="L149" s="2">
        <v>97</v>
      </c>
      <c r="M149" s="2">
        <v>573</v>
      </c>
      <c r="N149" s="2">
        <v>95.5</v>
      </c>
    </row>
    <row r="150" spans="1:14">
      <c r="A150" s="2" t="s">
        <v>307</v>
      </c>
      <c r="B150" s="6" t="s">
        <v>308</v>
      </c>
      <c r="C150" s="2" t="s">
        <v>17</v>
      </c>
      <c r="D150" s="2">
        <v>94</v>
      </c>
      <c r="E150" s="2"/>
      <c r="F150" s="2"/>
      <c r="G150" s="2">
        <v>61</v>
      </c>
      <c r="H150" s="2"/>
      <c r="I150" s="2">
        <v>60</v>
      </c>
      <c r="J150" s="2">
        <v>67</v>
      </c>
      <c r="K150" s="2">
        <v>60</v>
      </c>
      <c r="L150" s="2">
        <v>89</v>
      </c>
      <c r="M150" s="2">
        <v>431</v>
      </c>
      <c r="N150" s="2">
        <v>71.83</v>
      </c>
    </row>
    <row r="151" spans="1:14">
      <c r="A151" s="2" t="s">
        <v>309</v>
      </c>
      <c r="B151" s="6" t="s">
        <v>310</v>
      </c>
      <c r="C151" s="2" t="s">
        <v>17</v>
      </c>
      <c r="D151" s="2">
        <v>85</v>
      </c>
      <c r="E151" s="2"/>
      <c r="F151" s="2">
        <v>89</v>
      </c>
      <c r="G151" s="2"/>
      <c r="H151" s="2">
        <v>80</v>
      </c>
      <c r="I151" s="2">
        <v>89</v>
      </c>
      <c r="J151" s="2">
        <v>92</v>
      </c>
      <c r="K151" s="2"/>
      <c r="L151" s="2">
        <v>96</v>
      </c>
      <c r="M151" s="2">
        <v>531</v>
      </c>
      <c r="N151" s="2">
        <v>88.5</v>
      </c>
    </row>
    <row r="152" spans="1:14">
      <c r="A152" s="2" t="s">
        <v>311</v>
      </c>
      <c r="B152" s="6" t="s">
        <v>312</v>
      </c>
      <c r="C152" s="2" t="s">
        <v>22</v>
      </c>
      <c r="D152" s="2">
        <v>91</v>
      </c>
      <c r="E152" s="2">
        <v>91</v>
      </c>
      <c r="F152" s="2"/>
      <c r="G152" s="2"/>
      <c r="H152" s="2"/>
      <c r="I152" s="2">
        <v>91</v>
      </c>
      <c r="J152" s="2">
        <v>98</v>
      </c>
      <c r="K152" s="2">
        <v>97</v>
      </c>
      <c r="L152" s="2">
        <v>92</v>
      </c>
      <c r="M152" s="2">
        <v>560</v>
      </c>
      <c r="N152" s="2">
        <v>93.33</v>
      </c>
    </row>
    <row r="153" spans="1:14">
      <c r="A153" s="2" t="s">
        <v>313</v>
      </c>
      <c r="B153" s="6" t="s">
        <v>314</v>
      </c>
      <c r="C153" s="2" t="s">
        <v>22</v>
      </c>
      <c r="D153" s="2">
        <v>88</v>
      </c>
      <c r="E153" s="2">
        <v>85</v>
      </c>
      <c r="F153" s="2"/>
      <c r="G153" s="2"/>
      <c r="H153" s="2"/>
      <c r="I153" s="2">
        <v>69</v>
      </c>
      <c r="J153" s="2">
        <v>78</v>
      </c>
      <c r="K153" s="2">
        <v>85</v>
      </c>
      <c r="L153" s="2">
        <v>95</v>
      </c>
      <c r="M153" s="2">
        <v>500</v>
      </c>
      <c r="N153" s="2">
        <v>83.33</v>
      </c>
    </row>
    <row r="154" spans="1:14">
      <c r="A154" s="2" t="s">
        <v>315</v>
      </c>
      <c r="B154" s="6" t="s">
        <v>316</v>
      </c>
      <c r="C154" s="2" t="s">
        <v>17</v>
      </c>
      <c r="D154" s="2">
        <v>80</v>
      </c>
      <c r="E154" s="2"/>
      <c r="F154" s="2"/>
      <c r="G154" s="2">
        <v>92</v>
      </c>
      <c r="H154" s="2"/>
      <c r="I154" s="2">
        <v>93</v>
      </c>
      <c r="J154" s="2">
        <v>95</v>
      </c>
      <c r="K154" s="2">
        <v>92</v>
      </c>
      <c r="L154" s="2">
        <v>97</v>
      </c>
      <c r="M154" s="2">
        <v>549</v>
      </c>
      <c r="N154" s="2">
        <v>91.5</v>
      </c>
    </row>
    <row r="155" spans="1:14">
      <c r="A155" s="2" t="s">
        <v>317</v>
      </c>
      <c r="B155" s="6" t="s">
        <v>318</v>
      </c>
      <c r="C155" s="2" t="s">
        <v>17</v>
      </c>
      <c r="D155" s="2">
        <v>98</v>
      </c>
      <c r="E155" s="2"/>
      <c r="F155" s="2">
        <v>100</v>
      </c>
      <c r="G155" s="2"/>
      <c r="H155" s="2"/>
      <c r="I155" s="2">
        <v>93</v>
      </c>
      <c r="J155" s="2">
        <v>94</v>
      </c>
      <c r="K155" s="2">
        <v>88</v>
      </c>
      <c r="L155" s="2">
        <v>99</v>
      </c>
      <c r="M155" s="2">
        <v>572</v>
      </c>
      <c r="N155" s="2">
        <v>95.33</v>
      </c>
    </row>
    <row r="156" spans="1:14">
      <c r="A156" s="2" t="s">
        <v>319</v>
      </c>
      <c r="B156" s="6" t="s">
        <v>320</v>
      </c>
      <c r="C156" s="2" t="s">
        <v>17</v>
      </c>
      <c r="D156" s="2">
        <v>92</v>
      </c>
      <c r="E156" s="2"/>
      <c r="F156" s="2"/>
      <c r="G156" s="2">
        <v>74</v>
      </c>
      <c r="H156" s="2"/>
      <c r="I156" s="2">
        <v>72</v>
      </c>
      <c r="J156" s="2">
        <v>83</v>
      </c>
      <c r="K156" s="2">
        <v>83</v>
      </c>
      <c r="L156" s="2">
        <v>94</v>
      </c>
      <c r="M156" s="2">
        <v>498</v>
      </c>
      <c r="N156" s="2">
        <v>83</v>
      </c>
    </row>
    <row r="157" spans="1:14">
      <c r="A157" s="2" t="s">
        <v>321</v>
      </c>
      <c r="B157" s="6" t="s">
        <v>322</v>
      </c>
      <c r="C157" s="2" t="s">
        <v>22</v>
      </c>
      <c r="D157" s="2">
        <v>86</v>
      </c>
      <c r="E157" s="2"/>
      <c r="F157" s="2">
        <v>93</v>
      </c>
      <c r="G157" s="2"/>
      <c r="H157" s="2">
        <v>69</v>
      </c>
      <c r="I157" s="2">
        <v>89</v>
      </c>
      <c r="J157" s="2">
        <v>88</v>
      </c>
      <c r="K157" s="2"/>
      <c r="L157" s="2">
        <v>90</v>
      </c>
      <c r="M157" s="2">
        <v>515</v>
      </c>
      <c r="N157" s="2">
        <v>85.83</v>
      </c>
    </row>
    <row r="158" spans="1:14">
      <c r="A158" s="2" t="s">
        <v>323</v>
      </c>
      <c r="B158" s="6" t="s">
        <v>324</v>
      </c>
      <c r="C158" s="2" t="s">
        <v>22</v>
      </c>
      <c r="D158" s="2">
        <v>83</v>
      </c>
      <c r="E158" s="2"/>
      <c r="F158" s="2">
        <v>71</v>
      </c>
      <c r="G158" s="2"/>
      <c r="H158" s="2"/>
      <c r="I158" s="2">
        <v>42</v>
      </c>
      <c r="J158" s="2">
        <v>69</v>
      </c>
      <c r="K158" s="2">
        <v>46</v>
      </c>
      <c r="L158" s="2">
        <v>84</v>
      </c>
      <c r="M158" s="2">
        <v>395</v>
      </c>
      <c r="N158" s="2">
        <v>65.83</v>
      </c>
    </row>
    <row r="159" spans="1:14">
      <c r="A159" s="2" t="s">
        <v>325</v>
      </c>
      <c r="B159" s="6" t="s">
        <v>326</v>
      </c>
      <c r="C159" s="2" t="s">
        <v>22</v>
      </c>
      <c r="D159" s="2">
        <v>85</v>
      </c>
      <c r="E159" s="2">
        <v>74</v>
      </c>
      <c r="F159" s="2"/>
      <c r="G159" s="2"/>
      <c r="H159" s="2"/>
      <c r="I159" s="2">
        <v>57</v>
      </c>
      <c r="J159" s="2">
        <v>63</v>
      </c>
      <c r="K159" s="2">
        <v>55</v>
      </c>
      <c r="L159" s="2">
        <v>81</v>
      </c>
      <c r="M159" s="2">
        <v>415</v>
      </c>
      <c r="N159" s="2">
        <v>69.17</v>
      </c>
    </row>
    <row r="160" spans="1:14">
      <c r="A160" s="2" t="s">
        <v>327</v>
      </c>
      <c r="B160" s="6" t="s">
        <v>328</v>
      </c>
      <c r="C160" s="2" t="s">
        <v>22</v>
      </c>
      <c r="D160" s="2">
        <v>92</v>
      </c>
      <c r="E160" s="2"/>
      <c r="F160" s="2"/>
      <c r="G160" s="2">
        <v>95</v>
      </c>
      <c r="H160" s="2">
        <v>78</v>
      </c>
      <c r="I160" s="2">
        <v>94</v>
      </c>
      <c r="J160" s="2">
        <v>97</v>
      </c>
      <c r="K160" s="2"/>
      <c r="L160" s="2">
        <v>98</v>
      </c>
      <c r="M160" s="2">
        <v>554</v>
      </c>
      <c r="N160" s="2">
        <v>92.33</v>
      </c>
    </row>
    <row r="161" spans="1:14">
      <c r="A161" s="2" t="s">
        <v>329</v>
      </c>
      <c r="B161" s="6" t="s">
        <v>330</v>
      </c>
      <c r="C161" s="2" t="s">
        <v>17</v>
      </c>
      <c r="D161" s="2">
        <v>67</v>
      </c>
      <c r="E161" s="2">
        <v>65</v>
      </c>
      <c r="F161" s="2"/>
      <c r="G161" s="2"/>
      <c r="H161" s="2"/>
      <c r="I161" s="2">
        <v>45</v>
      </c>
      <c r="J161" s="2">
        <v>65</v>
      </c>
      <c r="K161" s="2">
        <v>35</v>
      </c>
      <c r="L161" s="2">
        <v>81</v>
      </c>
      <c r="M161" s="2">
        <v>358</v>
      </c>
      <c r="N161" s="2">
        <v>59.67</v>
      </c>
    </row>
    <row r="162" spans="1:14">
      <c r="A162" s="2" t="s">
        <v>331</v>
      </c>
      <c r="B162" s="6" t="s">
        <v>332</v>
      </c>
      <c r="C162" s="2" t="s">
        <v>22</v>
      </c>
      <c r="D162" s="2">
        <v>90</v>
      </c>
      <c r="E162" s="2"/>
      <c r="F162" s="2">
        <v>96</v>
      </c>
      <c r="G162" s="2"/>
      <c r="H162" s="2">
        <v>70</v>
      </c>
      <c r="I162" s="2">
        <v>80</v>
      </c>
      <c r="J162" s="2">
        <v>84</v>
      </c>
      <c r="K162" s="2"/>
      <c r="L162" s="2">
        <v>96</v>
      </c>
      <c r="M162" s="2">
        <v>516</v>
      </c>
      <c r="N162" s="2">
        <v>86</v>
      </c>
    </row>
    <row r="163" spans="1:14">
      <c r="A163" s="2" t="s">
        <v>333</v>
      </c>
      <c r="B163" s="6" t="s">
        <v>334</v>
      </c>
      <c r="C163" s="2" t="s">
        <v>22</v>
      </c>
      <c r="D163" s="2">
        <v>88</v>
      </c>
      <c r="E163" s="2">
        <v>83</v>
      </c>
      <c r="F163" s="2"/>
      <c r="G163" s="2"/>
      <c r="H163" s="2">
        <v>77</v>
      </c>
      <c r="I163" s="2">
        <v>79</v>
      </c>
      <c r="J163" s="2">
        <v>98</v>
      </c>
      <c r="K163" s="2"/>
      <c r="L163" s="2">
        <v>93</v>
      </c>
      <c r="M163" s="2">
        <v>518</v>
      </c>
      <c r="N163" s="2">
        <v>86.33</v>
      </c>
    </row>
    <row r="164" spans="1:14">
      <c r="A164" s="2" t="s">
        <v>335</v>
      </c>
      <c r="B164" s="6" t="s">
        <v>336</v>
      </c>
      <c r="C164" s="2" t="s">
        <v>22</v>
      </c>
      <c r="D164" s="2">
        <v>71</v>
      </c>
      <c r="E164" s="2">
        <v>73</v>
      </c>
      <c r="F164" s="2"/>
      <c r="G164" s="2"/>
      <c r="H164" s="2">
        <v>59</v>
      </c>
      <c r="I164" s="2">
        <v>63</v>
      </c>
      <c r="J164" s="2">
        <v>70</v>
      </c>
      <c r="K164" s="2"/>
      <c r="L164" s="2">
        <v>96</v>
      </c>
      <c r="M164" s="2">
        <v>432</v>
      </c>
      <c r="N164" s="2">
        <v>72</v>
      </c>
    </row>
    <row r="165" spans="1:14">
      <c r="A165" s="2" t="s">
        <v>337</v>
      </c>
      <c r="B165" s="6" t="s">
        <v>338</v>
      </c>
      <c r="C165" s="2" t="s">
        <v>17</v>
      </c>
      <c r="D165" s="2">
        <v>93</v>
      </c>
      <c r="E165" s="2">
        <v>95</v>
      </c>
      <c r="F165" s="2"/>
      <c r="G165" s="2"/>
      <c r="H165" s="2">
        <v>86</v>
      </c>
      <c r="I165" s="2">
        <v>96</v>
      </c>
      <c r="J165" s="2">
        <v>94</v>
      </c>
      <c r="K165" s="2"/>
      <c r="L165" s="2">
        <v>99</v>
      </c>
      <c r="M165" s="2">
        <v>563</v>
      </c>
      <c r="N165" s="2">
        <v>93.83</v>
      </c>
    </row>
    <row r="166" spans="1:14">
      <c r="A166" s="2" t="s">
        <v>339</v>
      </c>
      <c r="B166" s="6" t="s">
        <v>340</v>
      </c>
      <c r="C166" s="2" t="s">
        <v>17</v>
      </c>
      <c r="D166" s="2">
        <v>89</v>
      </c>
      <c r="E166" s="2"/>
      <c r="F166" s="2">
        <v>100</v>
      </c>
      <c r="G166" s="2"/>
      <c r="H166" s="2"/>
      <c r="I166" s="2">
        <v>94</v>
      </c>
      <c r="J166" s="2">
        <v>98</v>
      </c>
      <c r="K166" s="2">
        <v>98</v>
      </c>
      <c r="L166" s="2">
        <v>100</v>
      </c>
      <c r="M166" s="2">
        <v>579</v>
      </c>
      <c r="N166" s="2">
        <v>96.5</v>
      </c>
    </row>
    <row r="167" spans="1:14">
      <c r="A167" s="2" t="s">
        <v>341</v>
      </c>
      <c r="B167" s="6" t="s">
        <v>342</v>
      </c>
      <c r="C167" s="2" t="s">
        <v>17</v>
      </c>
      <c r="D167" s="2">
        <v>92</v>
      </c>
      <c r="E167" s="2"/>
      <c r="F167" s="2">
        <v>85</v>
      </c>
      <c r="G167" s="2"/>
      <c r="H167" s="2"/>
      <c r="I167" s="2">
        <v>71</v>
      </c>
      <c r="J167" s="2">
        <v>87</v>
      </c>
      <c r="K167" s="2">
        <v>45</v>
      </c>
      <c r="L167" s="2">
        <v>97</v>
      </c>
      <c r="M167" s="2">
        <v>477</v>
      </c>
      <c r="N167" s="2">
        <v>79.5</v>
      </c>
    </row>
    <row r="168" spans="1:14">
      <c r="A168" s="2" t="s">
        <v>343</v>
      </c>
      <c r="B168" s="6" t="s">
        <v>344</v>
      </c>
      <c r="C168" s="2" t="s">
        <v>22</v>
      </c>
      <c r="D168" s="2">
        <v>91</v>
      </c>
      <c r="E168" s="2"/>
      <c r="F168" s="2"/>
      <c r="G168" s="2">
        <v>66</v>
      </c>
      <c r="H168" s="2">
        <v>84</v>
      </c>
      <c r="I168" s="2">
        <v>78</v>
      </c>
      <c r="J168" s="2">
        <v>83</v>
      </c>
      <c r="K168" s="2"/>
      <c r="L168" s="2">
        <v>95</v>
      </c>
      <c r="M168" s="2">
        <v>497</v>
      </c>
      <c r="N168" s="2">
        <v>82.83</v>
      </c>
    </row>
    <row r="169" spans="1:14">
      <c r="A169" s="2" t="s">
        <v>345</v>
      </c>
      <c r="B169" s="6" t="s">
        <v>346</v>
      </c>
      <c r="C169" s="2" t="s">
        <v>17</v>
      </c>
      <c r="D169" s="2">
        <v>91</v>
      </c>
      <c r="E169" s="2"/>
      <c r="F169" s="2">
        <v>98</v>
      </c>
      <c r="G169" s="2"/>
      <c r="H169" s="2"/>
      <c r="I169" s="2">
        <v>98</v>
      </c>
      <c r="J169" s="2">
        <v>94</v>
      </c>
      <c r="K169" s="2">
        <v>96</v>
      </c>
      <c r="L169" s="2">
        <v>97</v>
      </c>
      <c r="M169" s="2">
        <v>574</v>
      </c>
      <c r="N169" s="2">
        <v>95.67</v>
      </c>
    </row>
    <row r="170" spans="1:14">
      <c r="A170" s="2" t="s">
        <v>347</v>
      </c>
      <c r="B170" s="6" t="s">
        <v>348</v>
      </c>
      <c r="C170" s="2" t="s">
        <v>22</v>
      </c>
      <c r="D170" s="2">
        <v>86</v>
      </c>
      <c r="E170" s="2">
        <v>78</v>
      </c>
      <c r="F170" s="2"/>
      <c r="G170" s="2"/>
      <c r="H170" s="2">
        <v>55</v>
      </c>
      <c r="I170" s="2">
        <v>85</v>
      </c>
      <c r="J170" s="2">
        <v>83</v>
      </c>
      <c r="K170" s="2"/>
      <c r="L170" s="2">
        <v>94</v>
      </c>
      <c r="M170" s="2">
        <v>481</v>
      </c>
      <c r="N170" s="2">
        <v>80.17</v>
      </c>
    </row>
    <row r="171" spans="1:14">
      <c r="A171" s="2" t="s">
        <v>349</v>
      </c>
      <c r="B171" s="6" t="s">
        <v>350</v>
      </c>
      <c r="C171" s="2" t="s">
        <v>22</v>
      </c>
      <c r="D171" s="2">
        <v>89</v>
      </c>
      <c r="E171" s="2">
        <v>81</v>
      </c>
      <c r="F171" s="2"/>
      <c r="G171" s="2"/>
      <c r="H171" s="2"/>
      <c r="I171" s="2">
        <v>77</v>
      </c>
      <c r="J171" s="2">
        <v>78</v>
      </c>
      <c r="K171" s="2">
        <v>64</v>
      </c>
      <c r="L171" s="2">
        <v>90</v>
      </c>
      <c r="M171" s="2">
        <v>479</v>
      </c>
      <c r="N171" s="2">
        <v>79.83</v>
      </c>
    </row>
    <row r="172" spans="1:14">
      <c r="A172" s="2" t="s">
        <v>351</v>
      </c>
      <c r="B172" s="6" t="s">
        <v>352</v>
      </c>
      <c r="C172" s="2" t="s">
        <v>22</v>
      </c>
      <c r="D172" s="2">
        <v>82</v>
      </c>
      <c r="E172" s="2"/>
      <c r="F172" s="2"/>
      <c r="G172" s="2">
        <v>85</v>
      </c>
      <c r="H172" s="2">
        <v>99</v>
      </c>
      <c r="I172" s="2">
        <v>95</v>
      </c>
      <c r="J172" s="2">
        <v>93</v>
      </c>
      <c r="K172" s="2"/>
      <c r="L172" s="2">
        <v>99</v>
      </c>
      <c r="M172" s="2">
        <v>553</v>
      </c>
      <c r="N172" s="2">
        <v>92.17</v>
      </c>
    </row>
    <row r="173" spans="1:14">
      <c r="A173" s="2" t="s">
        <v>353</v>
      </c>
      <c r="B173" s="6" t="s">
        <v>354</v>
      </c>
      <c r="C173" s="2" t="s">
        <v>22</v>
      </c>
      <c r="D173" s="2">
        <v>73</v>
      </c>
      <c r="E173" s="2"/>
      <c r="F173" s="2">
        <v>86</v>
      </c>
      <c r="G173" s="2"/>
      <c r="H173" s="2">
        <v>46</v>
      </c>
      <c r="I173" s="2">
        <v>42</v>
      </c>
      <c r="J173" s="2">
        <v>67</v>
      </c>
      <c r="K173" s="2"/>
      <c r="L173" s="2">
        <v>76</v>
      </c>
      <c r="M173" s="2">
        <v>390</v>
      </c>
      <c r="N173" s="2">
        <v>65</v>
      </c>
    </row>
    <row r="174" spans="1:14">
      <c r="A174" s="2" t="s">
        <v>355</v>
      </c>
      <c r="B174" s="6" t="s">
        <v>356</v>
      </c>
      <c r="C174" s="2" t="s">
        <v>22</v>
      </c>
      <c r="D174" s="2">
        <v>77</v>
      </c>
      <c r="E174" s="2">
        <v>90</v>
      </c>
      <c r="F174" s="2"/>
      <c r="G174" s="2"/>
      <c r="H174" s="2">
        <v>69</v>
      </c>
      <c r="I174" s="2">
        <v>67</v>
      </c>
      <c r="J174" s="2">
        <v>87</v>
      </c>
      <c r="K174" s="2"/>
      <c r="L174" s="2">
        <v>90</v>
      </c>
      <c r="M174" s="2">
        <v>480</v>
      </c>
      <c r="N174" s="2">
        <v>80</v>
      </c>
    </row>
    <row r="175" spans="1:14">
      <c r="A175" s="2" t="s">
        <v>357</v>
      </c>
      <c r="B175" s="6" t="s">
        <v>358</v>
      </c>
      <c r="C175" s="2" t="s">
        <v>22</v>
      </c>
      <c r="D175" s="2">
        <v>69</v>
      </c>
      <c r="E175" s="2">
        <v>85</v>
      </c>
      <c r="F175" s="2"/>
      <c r="G175" s="2"/>
      <c r="H175" s="2"/>
      <c r="I175" s="2">
        <v>78</v>
      </c>
      <c r="J175" s="2">
        <v>71</v>
      </c>
      <c r="K175" s="2">
        <v>70</v>
      </c>
      <c r="L175" s="2">
        <v>95</v>
      </c>
      <c r="M175" s="2">
        <v>468</v>
      </c>
      <c r="N175" s="2">
        <v>78</v>
      </c>
    </row>
    <row r="176" spans="1:14">
      <c r="A176" s="2" t="s">
        <v>359</v>
      </c>
      <c r="B176" s="6" t="s">
        <v>360</v>
      </c>
      <c r="C176" s="2" t="s">
        <v>17</v>
      </c>
      <c r="D176" s="2">
        <v>90</v>
      </c>
      <c r="E176" s="2"/>
      <c r="F176" s="2">
        <v>82</v>
      </c>
      <c r="G176" s="2"/>
      <c r="H176" s="2">
        <v>74</v>
      </c>
      <c r="I176" s="2">
        <v>90</v>
      </c>
      <c r="J176" s="2">
        <v>88</v>
      </c>
      <c r="K176" s="2"/>
      <c r="L176" s="2">
        <v>99</v>
      </c>
      <c r="M176" s="2">
        <v>523</v>
      </c>
      <c r="N176" s="2">
        <v>87.17</v>
      </c>
    </row>
    <row r="177" spans="1:14">
      <c r="A177" s="2" t="s">
        <v>361</v>
      </c>
      <c r="B177" s="6" t="s">
        <v>362</v>
      </c>
      <c r="C177" s="2" t="s">
        <v>17</v>
      </c>
      <c r="D177" s="2">
        <v>93</v>
      </c>
      <c r="E177" s="2"/>
      <c r="F177" s="2">
        <v>99</v>
      </c>
      <c r="G177" s="2"/>
      <c r="H177" s="2">
        <v>97</v>
      </c>
      <c r="I177" s="2">
        <v>95</v>
      </c>
      <c r="J177" s="2">
        <v>98</v>
      </c>
      <c r="K177" s="2"/>
      <c r="L177" s="2">
        <v>99</v>
      </c>
      <c r="M177" s="2">
        <v>581</v>
      </c>
      <c r="N177" s="2">
        <v>96.83</v>
      </c>
    </row>
    <row r="178" spans="1:14">
      <c r="A178" s="2" t="s">
        <v>363</v>
      </c>
      <c r="B178" s="6" t="s">
        <v>364</v>
      </c>
      <c r="C178" s="2" t="s">
        <v>22</v>
      </c>
      <c r="D178" s="2">
        <v>80</v>
      </c>
      <c r="E178" s="2">
        <v>79</v>
      </c>
      <c r="F178" s="2"/>
      <c r="G178" s="2"/>
      <c r="H178" s="2"/>
      <c r="I178" s="2">
        <v>77</v>
      </c>
      <c r="J178" s="2">
        <v>66</v>
      </c>
      <c r="K178" s="2">
        <v>70</v>
      </c>
      <c r="L178" s="2">
        <v>85</v>
      </c>
      <c r="M178" s="2">
        <v>457</v>
      </c>
      <c r="N178" s="2">
        <v>76.17</v>
      </c>
    </row>
    <row r="179" spans="1:14">
      <c r="A179" s="2" t="s">
        <v>365</v>
      </c>
      <c r="B179" s="6" t="s">
        <v>366</v>
      </c>
      <c r="C179" s="2" t="s">
        <v>17</v>
      </c>
      <c r="D179" s="2">
        <v>88</v>
      </c>
      <c r="E179" s="2">
        <v>82</v>
      </c>
      <c r="F179" s="2"/>
      <c r="G179" s="2"/>
      <c r="H179" s="2"/>
      <c r="I179" s="2">
        <v>81</v>
      </c>
      <c r="J179" s="2">
        <v>85</v>
      </c>
      <c r="K179" s="2">
        <v>76</v>
      </c>
      <c r="L179" s="2">
        <v>91</v>
      </c>
      <c r="M179" s="2">
        <v>503</v>
      </c>
      <c r="N179" s="2">
        <v>83.83</v>
      </c>
    </row>
    <row r="180" spans="1:14">
      <c r="A180" s="2" t="s">
        <v>367</v>
      </c>
      <c r="B180" s="6" t="s">
        <v>368</v>
      </c>
      <c r="C180" s="2" t="s">
        <v>17</v>
      </c>
      <c r="D180" s="2">
        <v>84</v>
      </c>
      <c r="E180" s="2"/>
      <c r="F180" s="2">
        <v>94</v>
      </c>
      <c r="G180" s="2"/>
      <c r="H180" s="2"/>
      <c r="I180" s="2">
        <v>69</v>
      </c>
      <c r="J180" s="2">
        <v>81</v>
      </c>
      <c r="K180" s="2">
        <v>72</v>
      </c>
      <c r="L180" s="2">
        <v>96</v>
      </c>
      <c r="M180" s="2">
        <v>496</v>
      </c>
      <c r="N180" s="2">
        <v>82.67</v>
      </c>
    </row>
    <row r="181" spans="1:14">
      <c r="A181" s="2" t="s">
        <v>369</v>
      </c>
      <c r="B181" s="6" t="s">
        <v>370</v>
      </c>
      <c r="C181" s="2" t="s">
        <v>17</v>
      </c>
      <c r="D181" s="2">
        <v>87</v>
      </c>
      <c r="E181" s="2"/>
      <c r="F181" s="2">
        <v>95</v>
      </c>
      <c r="G181" s="2"/>
      <c r="H181" s="2">
        <v>95</v>
      </c>
      <c r="I181" s="2">
        <v>92</v>
      </c>
      <c r="J181" s="2">
        <v>91</v>
      </c>
      <c r="K181" s="2"/>
      <c r="L181" s="2">
        <v>98</v>
      </c>
      <c r="M181" s="2">
        <v>558</v>
      </c>
      <c r="N181" s="2">
        <v>93</v>
      </c>
    </row>
    <row r="182" spans="1:14">
      <c r="A182" s="2" t="s">
        <v>371</v>
      </c>
      <c r="B182" s="6" t="s">
        <v>372</v>
      </c>
      <c r="C182" s="2" t="s">
        <v>17</v>
      </c>
      <c r="D182" s="2">
        <v>95</v>
      </c>
      <c r="E182" s="2"/>
      <c r="F182" s="2">
        <v>99</v>
      </c>
      <c r="G182" s="2"/>
      <c r="H182" s="2">
        <v>75</v>
      </c>
      <c r="I182" s="2">
        <v>96</v>
      </c>
      <c r="J182" s="2">
        <v>98</v>
      </c>
      <c r="K182" s="2"/>
      <c r="L182" s="2">
        <v>99</v>
      </c>
      <c r="M182" s="2">
        <v>562</v>
      </c>
      <c r="N182" s="2">
        <v>93.67</v>
      </c>
    </row>
    <row r="183" spans="1:14">
      <c r="A183" s="2" t="s">
        <v>373</v>
      </c>
      <c r="B183" s="6" t="s">
        <v>374</v>
      </c>
      <c r="C183" s="2" t="s">
        <v>22</v>
      </c>
      <c r="D183" s="2">
        <v>84</v>
      </c>
      <c r="E183" s="2"/>
      <c r="F183" s="2">
        <v>91</v>
      </c>
      <c r="G183" s="2"/>
      <c r="H183" s="2">
        <v>73</v>
      </c>
      <c r="I183" s="2">
        <v>78</v>
      </c>
      <c r="J183" s="2">
        <v>77</v>
      </c>
      <c r="K183" s="2"/>
      <c r="L183" s="2">
        <v>94</v>
      </c>
      <c r="M183" s="2">
        <v>497</v>
      </c>
      <c r="N183" s="2">
        <v>82.83</v>
      </c>
    </row>
    <row r="184" spans="1:14">
      <c r="A184" s="2" t="s">
        <v>375</v>
      </c>
      <c r="B184" s="6" t="s">
        <v>376</v>
      </c>
      <c r="C184" s="2" t="s">
        <v>17</v>
      </c>
      <c r="D184" s="2">
        <v>94</v>
      </c>
      <c r="E184" s="2"/>
      <c r="F184" s="2">
        <v>86</v>
      </c>
      <c r="G184" s="2"/>
      <c r="H184" s="2"/>
      <c r="I184" s="2">
        <v>97</v>
      </c>
      <c r="J184" s="2">
        <v>76</v>
      </c>
      <c r="K184" s="2">
        <v>92</v>
      </c>
      <c r="L184" s="2">
        <v>96</v>
      </c>
      <c r="M184" s="2">
        <v>541</v>
      </c>
      <c r="N184" s="2">
        <v>90.17</v>
      </c>
    </row>
    <row r="185" spans="1:14">
      <c r="A185" s="2" t="s">
        <v>377</v>
      </c>
      <c r="B185" s="6" t="s">
        <v>378</v>
      </c>
      <c r="C185" s="2" t="s">
        <v>22</v>
      </c>
      <c r="D185" s="2">
        <v>70</v>
      </c>
      <c r="E185" s="2">
        <v>73</v>
      </c>
      <c r="F185" s="2"/>
      <c r="G185" s="2"/>
      <c r="H185" s="2"/>
      <c r="I185" s="2">
        <v>70</v>
      </c>
      <c r="J185" s="2">
        <v>84</v>
      </c>
      <c r="K185" s="2">
        <v>64</v>
      </c>
      <c r="L185" s="2">
        <v>92</v>
      </c>
      <c r="M185" s="2">
        <v>453</v>
      </c>
      <c r="N185" s="2">
        <v>75.5</v>
      </c>
    </row>
    <row r="186" spans="1:14">
      <c r="A186" s="2" t="s">
        <v>379</v>
      </c>
      <c r="B186" s="6" t="s">
        <v>380</v>
      </c>
      <c r="C186" s="2" t="s">
        <v>17</v>
      </c>
      <c r="D186" s="2">
        <v>94</v>
      </c>
      <c r="E186" s="2">
        <v>97</v>
      </c>
      <c r="F186" s="2"/>
      <c r="G186" s="2"/>
      <c r="H186" s="2"/>
      <c r="I186" s="2">
        <v>69</v>
      </c>
      <c r="J186" s="2">
        <v>96</v>
      </c>
      <c r="K186" s="2">
        <v>74</v>
      </c>
      <c r="L186" s="2">
        <v>99</v>
      </c>
      <c r="M186" s="2">
        <v>529</v>
      </c>
      <c r="N186" s="2">
        <v>88.17</v>
      </c>
    </row>
    <row r="187" spans="1:14">
      <c r="A187" s="2" t="s">
        <v>381</v>
      </c>
      <c r="B187" s="6" t="s">
        <v>382</v>
      </c>
      <c r="C187" s="2" t="s">
        <v>22</v>
      </c>
      <c r="D187" s="2">
        <v>85</v>
      </c>
      <c r="E187" s="2">
        <v>80</v>
      </c>
      <c r="F187" s="2"/>
      <c r="G187" s="2"/>
      <c r="H187" s="2"/>
      <c r="I187" s="2">
        <v>70</v>
      </c>
      <c r="J187" s="2">
        <v>90</v>
      </c>
      <c r="K187" s="2">
        <v>74</v>
      </c>
      <c r="L187" s="2">
        <v>93</v>
      </c>
      <c r="M187" s="2">
        <v>492</v>
      </c>
      <c r="N187" s="2">
        <v>82</v>
      </c>
    </row>
    <row r="188" spans="1:14">
      <c r="A188" s="2" t="s">
        <v>383</v>
      </c>
      <c r="B188" s="6" t="s">
        <v>384</v>
      </c>
      <c r="C188" s="2" t="s">
        <v>22</v>
      </c>
      <c r="D188" s="2">
        <v>79</v>
      </c>
      <c r="E188" s="2"/>
      <c r="F188" s="2">
        <v>95</v>
      </c>
      <c r="G188" s="2"/>
      <c r="H188" s="2">
        <v>75</v>
      </c>
      <c r="I188" s="2">
        <v>84</v>
      </c>
      <c r="J188" s="2">
        <v>92</v>
      </c>
      <c r="K188" s="2"/>
      <c r="L188" s="2">
        <v>96</v>
      </c>
      <c r="M188" s="2">
        <v>521</v>
      </c>
      <c r="N188" s="2">
        <v>86.83</v>
      </c>
    </row>
    <row r="189" spans="1:14">
      <c r="A189" s="2" t="s">
        <v>385</v>
      </c>
      <c r="B189" s="6" t="s">
        <v>386</v>
      </c>
      <c r="C189" s="2" t="s">
        <v>17</v>
      </c>
      <c r="D189" s="2">
        <v>92</v>
      </c>
      <c r="E189" s="2"/>
      <c r="F189" s="2"/>
      <c r="G189" s="2">
        <v>92</v>
      </c>
      <c r="H189" s="2">
        <v>72</v>
      </c>
      <c r="I189" s="2">
        <v>85</v>
      </c>
      <c r="J189" s="2">
        <v>84</v>
      </c>
      <c r="K189" s="2"/>
      <c r="L189" s="2">
        <v>97</v>
      </c>
      <c r="M189" s="2">
        <v>522</v>
      </c>
      <c r="N189" s="2">
        <v>87</v>
      </c>
    </row>
    <row r="190" spans="1:14">
      <c r="A190" s="2" t="s">
        <v>387</v>
      </c>
      <c r="B190" s="6" t="s">
        <v>388</v>
      </c>
      <c r="C190" s="2" t="s">
        <v>17</v>
      </c>
      <c r="D190" s="2">
        <v>84</v>
      </c>
      <c r="E190" s="2">
        <v>83</v>
      </c>
      <c r="F190" s="2"/>
      <c r="G190" s="2"/>
      <c r="H190" s="2"/>
      <c r="I190" s="2">
        <v>62</v>
      </c>
      <c r="J190" s="2">
        <v>76</v>
      </c>
      <c r="K190" s="2">
        <v>57</v>
      </c>
      <c r="L190" s="2">
        <v>87</v>
      </c>
      <c r="M190" s="2">
        <v>449</v>
      </c>
      <c r="N190" s="2">
        <v>74.83</v>
      </c>
    </row>
    <row r="191" spans="1:14">
      <c r="A191" s="2" t="s">
        <v>389</v>
      </c>
      <c r="B191" s="6" t="s">
        <v>390</v>
      </c>
      <c r="C191" s="2" t="s">
        <v>22</v>
      </c>
      <c r="D191" s="2">
        <v>89</v>
      </c>
      <c r="E191" s="2"/>
      <c r="F191" s="2"/>
      <c r="G191" s="2">
        <v>100</v>
      </c>
      <c r="H191" s="2">
        <v>100</v>
      </c>
      <c r="I191" s="2">
        <v>97</v>
      </c>
      <c r="J191" s="2">
        <v>100</v>
      </c>
      <c r="K191" s="2"/>
      <c r="L191" s="2">
        <v>99</v>
      </c>
      <c r="M191" s="2">
        <v>585</v>
      </c>
      <c r="N191" s="2">
        <v>97.5</v>
      </c>
    </row>
    <row r="192" spans="1:14">
      <c r="A192" s="2" t="s">
        <v>391</v>
      </c>
      <c r="B192" s="6" t="s">
        <v>392</v>
      </c>
      <c r="C192" s="2" t="s">
        <v>22</v>
      </c>
      <c r="D192" s="2">
        <v>81</v>
      </c>
      <c r="E192" s="2">
        <v>90</v>
      </c>
      <c r="F192" s="2"/>
      <c r="G192" s="2"/>
      <c r="H192" s="2"/>
      <c r="I192" s="2">
        <v>64</v>
      </c>
      <c r="J192" s="2">
        <v>86</v>
      </c>
      <c r="K192" s="2">
        <v>65</v>
      </c>
      <c r="L192" s="2">
        <v>96</v>
      </c>
      <c r="M192" s="2">
        <v>482</v>
      </c>
      <c r="N192" s="2">
        <v>80.33</v>
      </c>
    </row>
    <row r="193" spans="1:14">
      <c r="A193" s="2" t="s">
        <v>393</v>
      </c>
      <c r="B193" s="6" t="s">
        <v>394</v>
      </c>
      <c r="C193" s="2" t="s">
        <v>22</v>
      </c>
      <c r="D193" s="2">
        <v>84</v>
      </c>
      <c r="E193" s="2">
        <v>90</v>
      </c>
      <c r="F193" s="2"/>
      <c r="G193" s="2"/>
      <c r="H193" s="2">
        <v>95</v>
      </c>
      <c r="I193" s="2">
        <v>95</v>
      </c>
      <c r="J193" s="2">
        <v>93</v>
      </c>
      <c r="K193" s="2"/>
      <c r="L193" s="2">
        <v>97</v>
      </c>
      <c r="M193" s="2">
        <v>554</v>
      </c>
      <c r="N193" s="2">
        <v>92.33</v>
      </c>
    </row>
    <row r="194" spans="1:14">
      <c r="A194" s="2" t="s">
        <v>395</v>
      </c>
      <c r="B194" s="6" t="s">
        <v>396</v>
      </c>
      <c r="C194" s="2" t="s">
        <v>17</v>
      </c>
      <c r="D194" s="2">
        <v>83</v>
      </c>
      <c r="E194" s="2"/>
      <c r="F194" s="2"/>
      <c r="G194" s="2">
        <v>93</v>
      </c>
      <c r="H194" s="2"/>
      <c r="I194" s="2">
        <v>92</v>
      </c>
      <c r="J194" s="2">
        <v>96</v>
      </c>
      <c r="K194" s="2">
        <v>97</v>
      </c>
      <c r="L194" s="2">
        <v>99</v>
      </c>
      <c r="M194" s="2">
        <v>560</v>
      </c>
      <c r="N194" s="2">
        <v>93.33</v>
      </c>
    </row>
    <row r="195" spans="1:14">
      <c r="A195" s="2" t="s">
        <v>397</v>
      </c>
      <c r="B195" s="6" t="s">
        <v>398</v>
      </c>
      <c r="C195" s="2" t="s">
        <v>22</v>
      </c>
      <c r="D195" s="2">
        <v>87</v>
      </c>
      <c r="E195" s="2"/>
      <c r="F195" s="2">
        <v>97</v>
      </c>
      <c r="G195" s="2"/>
      <c r="H195" s="2">
        <v>75</v>
      </c>
      <c r="I195" s="2">
        <v>79</v>
      </c>
      <c r="J195" s="2">
        <v>78</v>
      </c>
      <c r="K195" s="2"/>
      <c r="L195" s="2">
        <v>100</v>
      </c>
      <c r="M195" s="2">
        <v>516</v>
      </c>
      <c r="N195" s="2">
        <v>86</v>
      </c>
    </row>
    <row r="196" spans="1:14">
      <c r="A196" s="2" t="s">
        <v>399</v>
      </c>
      <c r="B196" s="6" t="s">
        <v>400</v>
      </c>
      <c r="C196" s="2" t="s">
        <v>17</v>
      </c>
      <c r="D196" s="2">
        <v>92</v>
      </c>
      <c r="E196" s="2"/>
      <c r="F196" s="2"/>
      <c r="G196" s="2">
        <v>69</v>
      </c>
      <c r="H196" s="2"/>
      <c r="I196" s="2">
        <v>59</v>
      </c>
      <c r="J196" s="2">
        <v>71</v>
      </c>
      <c r="K196" s="2">
        <v>55</v>
      </c>
      <c r="L196" s="2">
        <v>96</v>
      </c>
      <c r="M196" s="2">
        <v>442</v>
      </c>
      <c r="N196" s="2">
        <v>73.67</v>
      </c>
    </row>
    <row r="197" spans="1:14">
      <c r="A197" s="2" t="s">
        <v>401</v>
      </c>
      <c r="B197" s="6" t="s">
        <v>402</v>
      </c>
      <c r="C197" s="2" t="s">
        <v>17</v>
      </c>
      <c r="D197" s="2">
        <v>87</v>
      </c>
      <c r="E197" s="2"/>
      <c r="F197" s="2"/>
      <c r="G197" s="2">
        <v>93</v>
      </c>
      <c r="H197" s="2">
        <v>86</v>
      </c>
      <c r="I197" s="2">
        <v>94</v>
      </c>
      <c r="J197" s="2">
        <v>94</v>
      </c>
      <c r="K197" s="2"/>
      <c r="L197" s="2">
        <v>98</v>
      </c>
      <c r="M197" s="2">
        <v>552</v>
      </c>
      <c r="N197" s="2">
        <v>92</v>
      </c>
    </row>
    <row r="198" spans="1:14">
      <c r="A198" s="2" t="s">
        <v>403</v>
      </c>
      <c r="B198" s="6" t="s">
        <v>404</v>
      </c>
      <c r="C198" s="2" t="s">
        <v>22</v>
      </c>
      <c r="D198" s="2">
        <v>96</v>
      </c>
      <c r="E198" s="2"/>
      <c r="F198" s="2">
        <v>90</v>
      </c>
      <c r="G198" s="2"/>
      <c r="H198" s="2">
        <v>64</v>
      </c>
      <c r="I198" s="2">
        <v>80</v>
      </c>
      <c r="J198" s="2">
        <v>94</v>
      </c>
      <c r="K198" s="2"/>
      <c r="L198" s="2">
        <v>92</v>
      </c>
      <c r="M198" s="2">
        <v>516</v>
      </c>
      <c r="N198" s="2">
        <v>86</v>
      </c>
    </row>
    <row r="199" spans="1:14">
      <c r="A199" s="2" t="s">
        <v>405</v>
      </c>
      <c r="B199" s="6" t="s">
        <v>406</v>
      </c>
      <c r="C199" s="2" t="s">
        <v>22</v>
      </c>
      <c r="D199" s="2">
        <v>77</v>
      </c>
      <c r="E199" s="2">
        <v>78</v>
      </c>
      <c r="F199" s="2"/>
      <c r="G199" s="2"/>
      <c r="H199" s="2"/>
      <c r="I199" s="2">
        <v>73</v>
      </c>
      <c r="J199" s="2">
        <v>67</v>
      </c>
      <c r="K199" s="2">
        <v>75</v>
      </c>
      <c r="L199" s="2">
        <v>94</v>
      </c>
      <c r="M199" s="2">
        <v>464</v>
      </c>
      <c r="N199" s="2">
        <v>77.33</v>
      </c>
    </row>
    <row r="200" spans="1:14">
      <c r="A200" s="2" t="s">
        <v>407</v>
      </c>
      <c r="B200" s="6" t="s">
        <v>408</v>
      </c>
      <c r="C200" s="2" t="s">
        <v>22</v>
      </c>
      <c r="D200" s="2">
        <v>77</v>
      </c>
      <c r="E200" s="2"/>
      <c r="F200" s="2">
        <v>96</v>
      </c>
      <c r="G200" s="2"/>
      <c r="H200" s="2">
        <v>93</v>
      </c>
      <c r="I200" s="2">
        <v>98</v>
      </c>
      <c r="J200" s="2">
        <v>90</v>
      </c>
      <c r="K200" s="2"/>
      <c r="L200" s="2">
        <v>99</v>
      </c>
      <c r="M200" s="2">
        <v>553</v>
      </c>
      <c r="N200" s="2">
        <v>92.17</v>
      </c>
    </row>
    <row r="201" spans="1:14">
      <c r="A201" s="2" t="s">
        <v>409</v>
      </c>
      <c r="B201" s="6" t="s">
        <v>410</v>
      </c>
      <c r="C201" s="2" t="s">
        <v>17</v>
      </c>
      <c r="D201" s="2">
        <v>94</v>
      </c>
      <c r="E201" s="2"/>
      <c r="F201" s="2">
        <v>99</v>
      </c>
      <c r="G201" s="2"/>
      <c r="H201" s="2"/>
      <c r="I201" s="2">
        <v>93</v>
      </c>
      <c r="J201" s="2">
        <v>98</v>
      </c>
      <c r="K201" s="2">
        <v>94</v>
      </c>
      <c r="L201" s="2">
        <v>99</v>
      </c>
      <c r="M201" s="2">
        <v>577</v>
      </c>
      <c r="N201" s="2">
        <v>96.17</v>
      </c>
    </row>
    <row r="202" spans="1:14">
      <c r="A202" s="2" t="s">
        <v>411</v>
      </c>
      <c r="B202" s="6" t="s">
        <v>412</v>
      </c>
      <c r="C202" s="2" t="s">
        <v>22</v>
      </c>
      <c r="D202" s="2">
        <v>71</v>
      </c>
      <c r="E202" s="2">
        <v>77</v>
      </c>
      <c r="F202" s="2"/>
      <c r="G202" s="2"/>
      <c r="H202" s="2"/>
      <c r="I202" s="2">
        <v>42</v>
      </c>
      <c r="J202" s="2">
        <v>64</v>
      </c>
      <c r="K202" s="2">
        <v>33</v>
      </c>
      <c r="L202" s="2">
        <v>66</v>
      </c>
      <c r="M202" s="2">
        <v>353</v>
      </c>
      <c r="N202" s="2">
        <v>58.83</v>
      </c>
    </row>
    <row r="203" spans="1:14">
      <c r="A203" s="2" t="s">
        <v>413</v>
      </c>
      <c r="B203" s="6" t="s">
        <v>414</v>
      </c>
      <c r="C203" s="2" t="s">
        <v>22</v>
      </c>
      <c r="D203" s="2">
        <v>79</v>
      </c>
      <c r="E203" s="2">
        <v>86</v>
      </c>
      <c r="F203" s="2"/>
      <c r="G203" s="2"/>
      <c r="H203" s="2"/>
      <c r="I203" s="2">
        <v>73</v>
      </c>
      <c r="J203" s="2">
        <v>81</v>
      </c>
      <c r="K203" s="2">
        <v>77</v>
      </c>
      <c r="L203" s="2">
        <v>91</v>
      </c>
      <c r="M203" s="2">
        <v>487</v>
      </c>
      <c r="N203" s="2">
        <v>81.17</v>
      </c>
    </row>
    <row r="204" spans="1:14">
      <c r="A204" s="2" t="s">
        <v>415</v>
      </c>
      <c r="B204" s="6" t="s">
        <v>416</v>
      </c>
      <c r="C204" s="2" t="s">
        <v>22</v>
      </c>
      <c r="D204" s="2">
        <v>67</v>
      </c>
      <c r="E204" s="2">
        <v>84</v>
      </c>
      <c r="F204" s="2"/>
      <c r="G204" s="2"/>
      <c r="H204" s="2">
        <v>60</v>
      </c>
      <c r="I204" s="2">
        <v>69</v>
      </c>
      <c r="J204" s="2">
        <v>92</v>
      </c>
      <c r="K204" s="2"/>
      <c r="L204" s="2">
        <v>94</v>
      </c>
      <c r="M204" s="2">
        <v>466</v>
      </c>
      <c r="N204" s="2">
        <v>77.67</v>
      </c>
    </row>
    <row r="205" spans="1:14">
      <c r="A205" s="2" t="s">
        <v>417</v>
      </c>
      <c r="B205" s="6" t="s">
        <v>418</v>
      </c>
      <c r="C205" s="2" t="s">
        <v>17</v>
      </c>
      <c r="D205" s="2">
        <v>94</v>
      </c>
      <c r="E205" s="2"/>
      <c r="F205" s="2">
        <v>98</v>
      </c>
      <c r="G205" s="2"/>
      <c r="H205" s="2">
        <v>90</v>
      </c>
      <c r="I205" s="2">
        <v>97</v>
      </c>
      <c r="J205" s="2">
        <v>93</v>
      </c>
      <c r="K205" s="2"/>
      <c r="L205" s="2">
        <v>100</v>
      </c>
      <c r="M205" s="2">
        <v>572</v>
      </c>
      <c r="N205" s="2">
        <v>95.33</v>
      </c>
    </row>
    <row r="206" spans="1:14">
      <c r="A206" s="2" t="s">
        <v>419</v>
      </c>
      <c r="B206" s="6" t="s">
        <v>420</v>
      </c>
      <c r="C206" s="2" t="s">
        <v>22</v>
      </c>
      <c r="D206" s="2">
        <v>75</v>
      </c>
      <c r="E206" s="2"/>
      <c r="F206" s="2">
        <v>76</v>
      </c>
      <c r="G206" s="2"/>
      <c r="H206" s="2">
        <v>78</v>
      </c>
      <c r="I206" s="2">
        <v>91</v>
      </c>
      <c r="J206" s="2">
        <v>73</v>
      </c>
      <c r="K206" s="2"/>
      <c r="L206" s="2">
        <v>97</v>
      </c>
      <c r="M206" s="2">
        <v>490</v>
      </c>
      <c r="N206" s="2">
        <v>81.67</v>
      </c>
    </row>
    <row r="207" spans="1:14">
      <c r="A207" s="2" t="s">
        <v>421</v>
      </c>
      <c r="B207" s="6" t="s">
        <v>422</v>
      </c>
      <c r="C207" s="2" t="s">
        <v>22</v>
      </c>
      <c r="D207" s="2">
        <v>82</v>
      </c>
      <c r="E207" s="2">
        <v>92</v>
      </c>
      <c r="F207" s="2"/>
      <c r="G207" s="2"/>
      <c r="H207" s="2"/>
      <c r="I207" s="2">
        <v>73</v>
      </c>
      <c r="J207" s="2">
        <v>97</v>
      </c>
      <c r="K207" s="2">
        <v>68</v>
      </c>
      <c r="L207" s="2">
        <v>96</v>
      </c>
      <c r="M207" s="2">
        <v>508</v>
      </c>
      <c r="N207" s="2">
        <v>84.67</v>
      </c>
    </row>
    <row r="208" spans="1:14">
      <c r="A208" s="2" t="s">
        <v>423</v>
      </c>
      <c r="B208" s="6" t="s">
        <v>424</v>
      </c>
      <c r="C208" s="2" t="s">
        <v>17</v>
      </c>
      <c r="D208" s="2">
        <v>83</v>
      </c>
      <c r="E208" s="2"/>
      <c r="F208" s="2"/>
      <c r="G208" s="2">
        <v>91</v>
      </c>
      <c r="H208" s="2">
        <v>85</v>
      </c>
      <c r="I208" s="2">
        <v>87</v>
      </c>
      <c r="J208" s="2">
        <v>84</v>
      </c>
      <c r="K208" s="2"/>
      <c r="L208" s="2">
        <v>97</v>
      </c>
      <c r="M208" s="2">
        <v>527</v>
      </c>
      <c r="N208" s="2">
        <v>87.83</v>
      </c>
    </row>
    <row r="209" spans="1:14">
      <c r="A209" s="2" t="s">
        <v>425</v>
      </c>
      <c r="B209" s="6" t="s">
        <v>426</v>
      </c>
      <c r="C209" s="2" t="s">
        <v>17</v>
      </c>
      <c r="D209" s="2">
        <v>91</v>
      </c>
      <c r="E209" s="2"/>
      <c r="F209" s="2">
        <v>96</v>
      </c>
      <c r="G209" s="2"/>
      <c r="H209" s="2">
        <v>85</v>
      </c>
      <c r="I209" s="2">
        <v>93</v>
      </c>
      <c r="J209" s="2">
        <v>90</v>
      </c>
      <c r="K209" s="2"/>
      <c r="L209" s="2">
        <v>100</v>
      </c>
      <c r="M209" s="2">
        <v>555</v>
      </c>
      <c r="N209" s="2">
        <v>92.5</v>
      </c>
    </row>
    <row r="210" spans="1:14">
      <c r="A210" s="2" t="s">
        <v>427</v>
      </c>
      <c r="B210" s="6" t="s">
        <v>428</v>
      </c>
      <c r="C210" s="2" t="s">
        <v>17</v>
      </c>
      <c r="D210" s="2">
        <v>96</v>
      </c>
      <c r="E210" s="2">
        <v>87</v>
      </c>
      <c r="F210" s="2"/>
      <c r="G210" s="2"/>
      <c r="H210" s="2">
        <v>76</v>
      </c>
      <c r="I210" s="2">
        <v>73</v>
      </c>
      <c r="J210" s="2">
        <v>77</v>
      </c>
      <c r="K210" s="2"/>
      <c r="L210" s="2">
        <v>99</v>
      </c>
      <c r="M210" s="2">
        <v>508</v>
      </c>
      <c r="N210" s="2">
        <v>84.67</v>
      </c>
    </row>
    <row r="211" spans="1:14">
      <c r="A211" s="2" t="s">
        <v>429</v>
      </c>
      <c r="B211" s="6" t="s">
        <v>430</v>
      </c>
      <c r="C211" s="2" t="s">
        <v>22</v>
      </c>
      <c r="D211" s="2">
        <v>86</v>
      </c>
      <c r="E211" s="2"/>
      <c r="F211" s="2"/>
      <c r="G211" s="2">
        <v>85</v>
      </c>
      <c r="H211" s="2">
        <v>98</v>
      </c>
      <c r="I211" s="2">
        <v>96</v>
      </c>
      <c r="J211" s="2">
        <v>88</v>
      </c>
      <c r="K211" s="2"/>
      <c r="L211" s="2">
        <v>97</v>
      </c>
      <c r="M211" s="2">
        <v>550</v>
      </c>
      <c r="N211" s="2">
        <v>91.67</v>
      </c>
    </row>
    <row r="212" spans="1:14">
      <c r="A212" s="2" t="s">
        <v>431</v>
      </c>
      <c r="B212" s="6" t="s">
        <v>432</v>
      </c>
      <c r="C212" s="2" t="s">
        <v>22</v>
      </c>
      <c r="D212" s="2">
        <v>92</v>
      </c>
      <c r="E212" s="2">
        <v>86</v>
      </c>
      <c r="F212" s="2"/>
      <c r="G212" s="2"/>
      <c r="H212" s="2">
        <v>86</v>
      </c>
      <c r="I212" s="2">
        <v>88</v>
      </c>
      <c r="J212" s="2">
        <v>75</v>
      </c>
      <c r="K212" s="2"/>
      <c r="L212" s="2">
        <v>93</v>
      </c>
      <c r="M212" s="2">
        <v>520</v>
      </c>
      <c r="N212" s="2">
        <v>86.67</v>
      </c>
    </row>
    <row r="213" spans="1:14">
      <c r="A213" s="2" t="s">
        <v>433</v>
      </c>
      <c r="B213" s="6" t="s">
        <v>434</v>
      </c>
      <c r="C213" s="2" t="s">
        <v>22</v>
      </c>
      <c r="D213" s="2">
        <v>95</v>
      </c>
      <c r="E213" s="2">
        <v>90</v>
      </c>
      <c r="F213" s="2"/>
      <c r="G213" s="2"/>
      <c r="H213" s="2">
        <v>65</v>
      </c>
      <c r="I213" s="2">
        <v>90</v>
      </c>
      <c r="J213" s="2">
        <v>97</v>
      </c>
      <c r="K213" s="2"/>
      <c r="L213" s="2">
        <v>100</v>
      </c>
      <c r="M213" s="2">
        <v>537</v>
      </c>
      <c r="N213" s="2">
        <v>89.5</v>
      </c>
    </row>
    <row r="214" spans="1:14">
      <c r="A214" s="2" t="s">
        <v>435</v>
      </c>
      <c r="B214" s="6" t="s">
        <v>436</v>
      </c>
      <c r="C214" s="2" t="s">
        <v>22</v>
      </c>
      <c r="D214" s="2">
        <v>85</v>
      </c>
      <c r="E214" s="2"/>
      <c r="F214" s="2">
        <v>85</v>
      </c>
      <c r="G214" s="2"/>
      <c r="H214" s="2">
        <v>64</v>
      </c>
      <c r="I214" s="2">
        <v>90</v>
      </c>
      <c r="J214" s="2">
        <v>91</v>
      </c>
      <c r="K214" s="2"/>
      <c r="L214" s="2">
        <v>100</v>
      </c>
      <c r="M214" s="2">
        <v>515</v>
      </c>
      <c r="N214" s="2">
        <v>85.83</v>
      </c>
    </row>
    <row r="215" spans="1:14">
      <c r="A215" s="2" t="s">
        <v>437</v>
      </c>
      <c r="B215" s="6" t="s">
        <v>438</v>
      </c>
      <c r="C215" s="2" t="s">
        <v>22</v>
      </c>
      <c r="D215" s="2">
        <v>67</v>
      </c>
      <c r="E215" s="2"/>
      <c r="F215" s="2">
        <v>71</v>
      </c>
      <c r="G215" s="2"/>
      <c r="H215" s="2"/>
      <c r="I215" s="2">
        <v>63</v>
      </c>
      <c r="J215" s="2">
        <v>62</v>
      </c>
      <c r="K215" s="2">
        <v>53</v>
      </c>
      <c r="L215" s="2">
        <v>87</v>
      </c>
      <c r="M215" s="2">
        <v>403</v>
      </c>
      <c r="N215" s="2">
        <v>67.17</v>
      </c>
    </row>
    <row r="216" spans="1:14">
      <c r="A216" s="2" t="s">
        <v>439</v>
      </c>
      <c r="B216" s="6" t="s">
        <v>440</v>
      </c>
      <c r="C216" s="2" t="s">
        <v>17</v>
      </c>
      <c r="D216" s="2">
        <v>83</v>
      </c>
      <c r="E216" s="2"/>
      <c r="F216" s="2">
        <v>83</v>
      </c>
      <c r="G216" s="2"/>
      <c r="H216" s="2">
        <v>59</v>
      </c>
      <c r="I216" s="2">
        <v>59</v>
      </c>
      <c r="J216" s="2">
        <v>79</v>
      </c>
      <c r="K216" s="2"/>
      <c r="L216" s="2">
        <v>94</v>
      </c>
      <c r="M216" s="2">
        <v>457</v>
      </c>
      <c r="N216" s="2">
        <v>76.17</v>
      </c>
    </row>
    <row r="217" spans="1:14">
      <c r="A217" s="2" t="s">
        <v>441</v>
      </c>
      <c r="B217" s="6" t="s">
        <v>442</v>
      </c>
      <c r="C217" s="2" t="s">
        <v>17</v>
      </c>
      <c r="D217" s="2">
        <v>94</v>
      </c>
      <c r="E217" s="2"/>
      <c r="F217" s="2">
        <v>99</v>
      </c>
      <c r="G217" s="2"/>
      <c r="H217" s="2">
        <v>93</v>
      </c>
      <c r="I217" s="2">
        <v>99</v>
      </c>
      <c r="J217" s="2">
        <v>98</v>
      </c>
      <c r="K217" s="2"/>
      <c r="L217" s="2">
        <v>99</v>
      </c>
      <c r="M217" s="2">
        <v>582</v>
      </c>
      <c r="N217" s="2">
        <v>97</v>
      </c>
    </row>
    <row r="218" spans="1:14">
      <c r="A218" s="2" t="s">
        <v>443</v>
      </c>
      <c r="B218" s="6" t="s">
        <v>444</v>
      </c>
      <c r="C218" s="2" t="s">
        <v>17</v>
      </c>
      <c r="D218" s="2">
        <v>82</v>
      </c>
      <c r="E218" s="2"/>
      <c r="F218" s="2"/>
      <c r="G218" s="2">
        <v>98</v>
      </c>
      <c r="H218" s="2">
        <v>93</v>
      </c>
      <c r="I218" s="2">
        <v>97</v>
      </c>
      <c r="J218" s="2">
        <v>97</v>
      </c>
      <c r="K218" s="2"/>
      <c r="L218" s="2">
        <v>100</v>
      </c>
      <c r="M218" s="2">
        <v>567</v>
      </c>
      <c r="N218" s="2">
        <v>94.5</v>
      </c>
    </row>
    <row r="219" spans="1:14">
      <c r="A219" s="2" t="s">
        <v>445</v>
      </c>
      <c r="B219" s="6" t="s">
        <v>446</v>
      </c>
      <c r="C219" s="2" t="s">
        <v>22</v>
      </c>
      <c r="D219" s="2">
        <v>88</v>
      </c>
      <c r="E219" s="2"/>
      <c r="F219" s="2">
        <v>92</v>
      </c>
      <c r="G219" s="2"/>
      <c r="H219" s="2">
        <v>47</v>
      </c>
      <c r="I219" s="2">
        <v>71</v>
      </c>
      <c r="J219" s="2">
        <v>77</v>
      </c>
      <c r="K219" s="2"/>
      <c r="L219" s="2">
        <v>100</v>
      </c>
      <c r="M219" s="2">
        <v>475</v>
      </c>
      <c r="N219" s="2">
        <v>79.17</v>
      </c>
    </row>
    <row r="220" spans="1:14">
      <c r="A220" s="2" t="s">
        <v>447</v>
      </c>
      <c r="B220" s="6" t="s">
        <v>448</v>
      </c>
      <c r="C220" s="2" t="s">
        <v>22</v>
      </c>
      <c r="D220" s="2">
        <v>84</v>
      </c>
      <c r="E220" s="2"/>
      <c r="F220" s="2">
        <v>93</v>
      </c>
      <c r="G220" s="2"/>
      <c r="H220" s="2">
        <v>78</v>
      </c>
      <c r="I220" s="2">
        <v>69</v>
      </c>
      <c r="J220" s="2">
        <v>86</v>
      </c>
      <c r="K220" s="2"/>
      <c r="L220" s="2">
        <v>96</v>
      </c>
      <c r="M220" s="2">
        <v>506</v>
      </c>
      <c r="N220" s="2">
        <v>84.33</v>
      </c>
    </row>
    <row r="221" spans="1:14">
      <c r="A221" s="2" t="s">
        <v>449</v>
      </c>
      <c r="B221" s="6" t="s">
        <v>450</v>
      </c>
      <c r="C221" s="2" t="s">
        <v>22</v>
      </c>
      <c r="D221" s="2">
        <v>89</v>
      </c>
      <c r="E221" s="2">
        <v>82</v>
      </c>
      <c r="F221" s="2"/>
      <c r="G221" s="2"/>
      <c r="H221" s="2"/>
      <c r="I221" s="2">
        <v>89</v>
      </c>
      <c r="J221" s="2">
        <v>84</v>
      </c>
      <c r="K221" s="2">
        <v>79</v>
      </c>
      <c r="L221" s="2">
        <v>96</v>
      </c>
      <c r="M221" s="2">
        <v>519</v>
      </c>
      <c r="N221" s="2">
        <v>86.5</v>
      </c>
    </row>
    <row r="222" spans="1:14">
      <c r="A222" s="2" t="s">
        <v>451</v>
      </c>
      <c r="B222" s="6" t="s">
        <v>452</v>
      </c>
      <c r="C222" s="2" t="s">
        <v>17</v>
      </c>
      <c r="D222" s="2">
        <v>82</v>
      </c>
      <c r="E222" s="2"/>
      <c r="F222" s="2"/>
      <c r="G222" s="2">
        <v>96</v>
      </c>
      <c r="H222" s="2">
        <v>85</v>
      </c>
      <c r="I222" s="2">
        <v>94</v>
      </c>
      <c r="J222" s="2">
        <v>94</v>
      </c>
      <c r="K222" s="2"/>
      <c r="L222" s="2">
        <v>98</v>
      </c>
      <c r="M222" s="2">
        <v>549</v>
      </c>
      <c r="N222" s="2">
        <v>91.5</v>
      </c>
    </row>
    <row r="223" spans="1:14">
      <c r="A223" s="2" t="s">
        <v>453</v>
      </c>
      <c r="B223" s="6" t="s">
        <v>454</v>
      </c>
      <c r="C223" s="2" t="s">
        <v>17</v>
      </c>
      <c r="D223" s="2">
        <v>87</v>
      </c>
      <c r="E223" s="2">
        <v>92</v>
      </c>
      <c r="F223" s="2"/>
      <c r="G223" s="2"/>
      <c r="H223" s="2"/>
      <c r="I223" s="2">
        <v>94</v>
      </c>
      <c r="J223" s="2">
        <v>92</v>
      </c>
      <c r="K223" s="2">
        <v>84</v>
      </c>
      <c r="L223" s="2">
        <v>100</v>
      </c>
      <c r="M223" s="2">
        <v>549</v>
      </c>
      <c r="N223" s="2">
        <v>91.5</v>
      </c>
    </row>
    <row r="224" spans="1:14">
      <c r="A224" s="2" t="s">
        <v>455</v>
      </c>
      <c r="B224" s="6" t="s">
        <v>456</v>
      </c>
      <c r="C224" s="2" t="s">
        <v>22</v>
      </c>
      <c r="D224" s="2">
        <v>70</v>
      </c>
      <c r="E224" s="2"/>
      <c r="F224" s="2"/>
      <c r="G224" s="2">
        <v>61</v>
      </c>
      <c r="H224" s="2"/>
      <c r="I224" s="2">
        <v>94</v>
      </c>
      <c r="J224" s="2">
        <v>62</v>
      </c>
      <c r="K224" s="2">
        <v>70</v>
      </c>
      <c r="L224" s="2">
        <v>98</v>
      </c>
      <c r="M224" s="2">
        <v>455</v>
      </c>
      <c r="N224" s="2">
        <v>75.83</v>
      </c>
    </row>
    <row r="225" spans="1:14">
      <c r="A225" s="2" t="s">
        <v>457</v>
      </c>
      <c r="B225" s="6" t="s">
        <v>458</v>
      </c>
      <c r="C225" s="2" t="s">
        <v>17</v>
      </c>
      <c r="D225" s="2">
        <v>96</v>
      </c>
      <c r="E225" s="2"/>
      <c r="F225" s="2">
        <v>100</v>
      </c>
      <c r="G225" s="2"/>
      <c r="H225" s="2">
        <v>95</v>
      </c>
      <c r="I225" s="2">
        <v>94</v>
      </c>
      <c r="J225" s="2">
        <v>100</v>
      </c>
      <c r="K225" s="2"/>
      <c r="L225" s="2">
        <v>100</v>
      </c>
      <c r="M225" s="2">
        <v>585</v>
      </c>
      <c r="N225" s="2">
        <v>97.5</v>
      </c>
    </row>
    <row r="226" spans="1:14">
      <c r="A226" s="2" t="s">
        <v>459</v>
      </c>
      <c r="B226" s="6" t="s">
        <v>460</v>
      </c>
      <c r="C226" s="2" t="s">
        <v>17</v>
      </c>
      <c r="D226" s="2">
        <v>62</v>
      </c>
      <c r="E226" s="2"/>
      <c r="F226" s="2">
        <v>66</v>
      </c>
      <c r="G226" s="2"/>
      <c r="H226" s="2"/>
      <c r="I226" s="2">
        <v>36</v>
      </c>
      <c r="J226" s="2">
        <v>53</v>
      </c>
      <c r="K226" s="2">
        <v>28</v>
      </c>
      <c r="L226" s="2">
        <v>68</v>
      </c>
      <c r="M226" s="2">
        <v>313</v>
      </c>
      <c r="N226" s="2">
        <v>52.17</v>
      </c>
    </row>
    <row r="227" spans="1:14">
      <c r="A227" s="2" t="s">
        <v>461</v>
      </c>
      <c r="B227" s="6" t="s">
        <v>462</v>
      </c>
      <c r="C227" s="2" t="s">
        <v>22</v>
      </c>
      <c r="D227" s="2">
        <v>77</v>
      </c>
      <c r="E227" s="2">
        <v>90</v>
      </c>
      <c r="F227" s="2"/>
      <c r="G227" s="2"/>
      <c r="H227" s="2"/>
      <c r="I227" s="2">
        <v>84</v>
      </c>
      <c r="J227" s="2">
        <v>83</v>
      </c>
      <c r="K227" s="2">
        <v>87</v>
      </c>
      <c r="L227" s="2">
        <v>98</v>
      </c>
      <c r="M227" s="2">
        <v>519</v>
      </c>
      <c r="N227" s="2">
        <v>86.5</v>
      </c>
    </row>
    <row r="228" spans="1:14">
      <c r="A228" s="2" t="s">
        <v>463</v>
      </c>
      <c r="B228" s="6" t="s">
        <v>464</v>
      </c>
      <c r="C228" s="2" t="s">
        <v>22</v>
      </c>
      <c r="D228" s="2">
        <v>82</v>
      </c>
      <c r="E228" s="2">
        <v>85</v>
      </c>
      <c r="F228" s="2"/>
      <c r="G228" s="2"/>
      <c r="H228" s="2">
        <v>75</v>
      </c>
      <c r="I228" s="2">
        <v>91</v>
      </c>
      <c r="J228" s="2">
        <v>98</v>
      </c>
      <c r="K228" s="2"/>
      <c r="L228" s="2">
        <v>100</v>
      </c>
      <c r="M228" s="2">
        <v>531</v>
      </c>
      <c r="N228" s="2">
        <v>88.5</v>
      </c>
    </row>
    <row r="229" spans="1:14">
      <c r="A229" s="2" t="s">
        <v>465</v>
      </c>
      <c r="B229" s="6" t="s">
        <v>466</v>
      </c>
      <c r="C229" s="2" t="s">
        <v>22</v>
      </c>
      <c r="D229" s="2">
        <v>75</v>
      </c>
      <c r="E229" s="2"/>
      <c r="F229" s="2"/>
      <c r="G229" s="2">
        <v>61</v>
      </c>
      <c r="H229" s="2">
        <v>79</v>
      </c>
      <c r="I229" s="2">
        <v>85</v>
      </c>
      <c r="J229" s="2">
        <v>91</v>
      </c>
      <c r="K229" s="2"/>
      <c r="L229" s="2">
        <v>97</v>
      </c>
      <c r="M229" s="2">
        <v>488</v>
      </c>
      <c r="N229" s="2">
        <v>81.33</v>
      </c>
    </row>
    <row r="230" spans="1:14">
      <c r="A230" s="2" t="s">
        <v>467</v>
      </c>
      <c r="B230" s="6" t="s">
        <v>468</v>
      </c>
      <c r="C230" s="2" t="s">
        <v>22</v>
      </c>
      <c r="D230" s="2">
        <v>81</v>
      </c>
      <c r="E230" s="2"/>
      <c r="F230" s="2"/>
      <c r="G230" s="2">
        <v>71</v>
      </c>
      <c r="H230" s="2">
        <v>55</v>
      </c>
      <c r="I230" s="2">
        <v>82</v>
      </c>
      <c r="J230" s="2">
        <v>85</v>
      </c>
      <c r="K230" s="2"/>
      <c r="L230" s="2">
        <v>97</v>
      </c>
      <c r="M230" s="2">
        <v>471</v>
      </c>
      <c r="N230" s="2">
        <v>78.5</v>
      </c>
    </row>
    <row r="231" spans="1:14">
      <c r="A231" s="2" t="s">
        <v>469</v>
      </c>
      <c r="B231" s="6" t="s">
        <v>470</v>
      </c>
      <c r="C231" s="2" t="s">
        <v>22</v>
      </c>
      <c r="D231" s="2">
        <v>95</v>
      </c>
      <c r="E231" s="2"/>
      <c r="F231" s="2"/>
      <c r="G231" s="2">
        <v>91</v>
      </c>
      <c r="H231" s="2">
        <v>96</v>
      </c>
      <c r="I231" s="2">
        <v>92</v>
      </c>
      <c r="J231" s="2">
        <v>95</v>
      </c>
      <c r="K231" s="2"/>
      <c r="L231" s="2">
        <v>94</v>
      </c>
      <c r="M231" s="2">
        <v>563</v>
      </c>
      <c r="N231" s="2">
        <v>93.83</v>
      </c>
    </row>
    <row r="232" spans="1:14">
      <c r="A232" s="2" t="s">
        <v>471</v>
      </c>
      <c r="B232" s="6" t="s">
        <v>472</v>
      </c>
      <c r="C232" s="2" t="s">
        <v>22</v>
      </c>
      <c r="D232" s="2">
        <v>82</v>
      </c>
      <c r="E232" s="2"/>
      <c r="F232" s="2">
        <v>89</v>
      </c>
      <c r="G232" s="2"/>
      <c r="H232" s="2">
        <v>74</v>
      </c>
      <c r="I232" s="2">
        <v>96</v>
      </c>
      <c r="J232" s="2">
        <v>96</v>
      </c>
      <c r="K232" s="2"/>
      <c r="L232" s="2">
        <v>100</v>
      </c>
      <c r="M232" s="2">
        <v>537</v>
      </c>
      <c r="N232" s="2">
        <v>89.5</v>
      </c>
    </row>
    <row r="233" spans="1:14">
      <c r="A233" s="2" t="s">
        <v>473</v>
      </c>
      <c r="B233" s="6" t="s">
        <v>474</v>
      </c>
      <c r="C233" s="2" t="s">
        <v>22</v>
      </c>
      <c r="D233" s="2">
        <v>79</v>
      </c>
      <c r="E233" s="2"/>
      <c r="F233" s="2">
        <v>97</v>
      </c>
      <c r="G233" s="2"/>
      <c r="H233" s="2">
        <v>95</v>
      </c>
      <c r="I233" s="2">
        <v>95</v>
      </c>
      <c r="J233" s="2">
        <v>85</v>
      </c>
      <c r="K233" s="2"/>
      <c r="L233" s="2">
        <v>100</v>
      </c>
      <c r="M233" s="2">
        <v>551</v>
      </c>
      <c r="N233" s="2">
        <v>91.83</v>
      </c>
    </row>
    <row r="234" spans="1:14">
      <c r="A234" s="2" t="s">
        <v>475</v>
      </c>
      <c r="B234" s="6" t="s">
        <v>476</v>
      </c>
      <c r="C234" s="2" t="s">
        <v>22</v>
      </c>
      <c r="D234" s="2">
        <v>81</v>
      </c>
      <c r="E234" s="2">
        <v>73</v>
      </c>
      <c r="F234" s="2"/>
      <c r="G234" s="2"/>
      <c r="H234" s="2"/>
      <c r="I234" s="2">
        <v>48</v>
      </c>
      <c r="J234" s="2">
        <v>83</v>
      </c>
      <c r="K234" s="2">
        <v>37</v>
      </c>
      <c r="L234" s="2">
        <v>98</v>
      </c>
      <c r="M234" s="2">
        <v>420</v>
      </c>
      <c r="N234" s="2">
        <v>70</v>
      </c>
    </row>
    <row r="235" spans="1:14">
      <c r="A235" s="2" t="s">
        <v>477</v>
      </c>
      <c r="B235" s="6" t="s">
        <v>478</v>
      </c>
      <c r="C235" s="2" t="s">
        <v>22</v>
      </c>
      <c r="D235" s="2">
        <v>62</v>
      </c>
      <c r="E235" s="2"/>
      <c r="F235" s="2">
        <v>61</v>
      </c>
      <c r="G235" s="2"/>
      <c r="H235" s="2">
        <v>49</v>
      </c>
      <c r="I235" s="2">
        <v>42</v>
      </c>
      <c r="J235" s="2">
        <v>59</v>
      </c>
      <c r="K235" s="2"/>
      <c r="L235" s="2">
        <v>80</v>
      </c>
      <c r="M235" s="2">
        <v>353</v>
      </c>
      <c r="N235" s="2">
        <v>58.83</v>
      </c>
    </row>
    <row r="236" spans="1:14">
      <c r="A236" s="2" t="s">
        <v>479</v>
      </c>
      <c r="B236" s="6" t="s">
        <v>480</v>
      </c>
      <c r="C236" s="2" t="s">
        <v>22</v>
      </c>
      <c r="D236" s="2">
        <v>95</v>
      </c>
      <c r="E236" s="2">
        <v>91</v>
      </c>
      <c r="F236" s="2"/>
      <c r="G236" s="2"/>
      <c r="H236" s="2">
        <v>93</v>
      </c>
      <c r="I236" s="2">
        <v>95</v>
      </c>
      <c r="J236" s="2">
        <v>88</v>
      </c>
      <c r="K236" s="2"/>
      <c r="L236" s="2">
        <v>99</v>
      </c>
      <c r="M236" s="2">
        <v>561</v>
      </c>
      <c r="N236" s="2">
        <v>93.5</v>
      </c>
    </row>
    <row r="237" spans="1:14">
      <c r="A237" s="2" t="s">
        <v>481</v>
      </c>
      <c r="B237" s="6" t="s">
        <v>482</v>
      </c>
      <c r="C237" s="2" t="s">
        <v>22</v>
      </c>
      <c r="D237" s="2">
        <v>86</v>
      </c>
      <c r="E237" s="2">
        <v>75</v>
      </c>
      <c r="F237" s="2"/>
      <c r="G237" s="2"/>
      <c r="H237" s="2"/>
      <c r="I237" s="2">
        <v>78</v>
      </c>
      <c r="J237" s="2">
        <v>86</v>
      </c>
      <c r="K237" s="2">
        <v>81</v>
      </c>
      <c r="L237" s="2">
        <v>92</v>
      </c>
      <c r="M237" s="2">
        <v>498</v>
      </c>
      <c r="N237" s="2">
        <v>83</v>
      </c>
    </row>
    <row r="238" spans="1:14">
      <c r="A238" s="2" t="s">
        <v>483</v>
      </c>
      <c r="B238" s="6" t="s">
        <v>484</v>
      </c>
      <c r="C238" s="2" t="s">
        <v>22</v>
      </c>
      <c r="D238" s="2">
        <v>88</v>
      </c>
      <c r="E238" s="2"/>
      <c r="F238" s="2">
        <v>95</v>
      </c>
      <c r="G238" s="2"/>
      <c r="H238" s="2">
        <v>81</v>
      </c>
      <c r="I238" s="2">
        <v>94</v>
      </c>
      <c r="J238" s="2">
        <v>96</v>
      </c>
      <c r="K238" s="2"/>
      <c r="L238" s="2">
        <v>96</v>
      </c>
      <c r="M238" s="2">
        <v>550</v>
      </c>
      <c r="N238" s="2">
        <v>91.67</v>
      </c>
    </row>
    <row r="239" spans="1:14">
      <c r="A239" s="2" t="s">
        <v>485</v>
      </c>
      <c r="B239" s="6" t="s">
        <v>486</v>
      </c>
      <c r="C239" s="2" t="s">
        <v>22</v>
      </c>
      <c r="D239" s="2">
        <v>62</v>
      </c>
      <c r="E239" s="2">
        <v>76</v>
      </c>
      <c r="F239" s="2"/>
      <c r="G239" s="2"/>
      <c r="H239" s="2"/>
      <c r="I239" s="2">
        <v>86</v>
      </c>
      <c r="J239" s="2">
        <v>87</v>
      </c>
      <c r="K239" s="2">
        <v>74</v>
      </c>
      <c r="L239" s="2">
        <v>91</v>
      </c>
      <c r="M239" s="2">
        <v>476</v>
      </c>
      <c r="N239" s="2">
        <v>79.33</v>
      </c>
    </row>
    <row r="240" spans="1:14">
      <c r="A240" s="2" t="s">
        <v>487</v>
      </c>
      <c r="B240" s="6" t="s">
        <v>488</v>
      </c>
      <c r="C240" s="2" t="s">
        <v>17</v>
      </c>
      <c r="D240" s="2">
        <v>88</v>
      </c>
      <c r="E240" s="2">
        <v>90</v>
      </c>
      <c r="F240" s="2"/>
      <c r="G240" s="2"/>
      <c r="H240" s="2">
        <v>65</v>
      </c>
      <c r="I240" s="2">
        <v>91</v>
      </c>
      <c r="J240" s="2">
        <v>95</v>
      </c>
      <c r="K240" s="2"/>
      <c r="L240" s="2">
        <v>99</v>
      </c>
      <c r="M240" s="2">
        <v>528</v>
      </c>
      <c r="N240" s="2">
        <v>88</v>
      </c>
    </row>
    <row r="241" spans="1:14">
      <c r="A241" s="2" t="s">
        <v>489</v>
      </c>
      <c r="B241" s="6" t="s">
        <v>490</v>
      </c>
      <c r="C241" s="2" t="s">
        <v>22</v>
      </c>
      <c r="D241" s="2">
        <v>82</v>
      </c>
      <c r="E241" s="2">
        <v>91</v>
      </c>
      <c r="F241" s="2"/>
      <c r="G241" s="2"/>
      <c r="H241" s="2"/>
      <c r="I241" s="2">
        <v>90</v>
      </c>
      <c r="J241" s="2">
        <v>78</v>
      </c>
      <c r="K241" s="2">
        <v>85</v>
      </c>
      <c r="L241" s="2">
        <v>91</v>
      </c>
      <c r="M241" s="2">
        <v>517</v>
      </c>
      <c r="N241" s="2">
        <v>86.17</v>
      </c>
    </row>
    <row r="242" spans="1:14">
      <c r="A242" s="2" t="s">
        <v>491</v>
      </c>
      <c r="B242" s="6" t="s">
        <v>492</v>
      </c>
      <c r="C242" s="2" t="s">
        <v>22</v>
      </c>
      <c r="D242" s="2">
        <v>91</v>
      </c>
      <c r="E242" s="2">
        <v>90</v>
      </c>
      <c r="F242" s="2"/>
      <c r="G242" s="2"/>
      <c r="H242" s="2">
        <v>97</v>
      </c>
      <c r="I242" s="2">
        <v>97</v>
      </c>
      <c r="J242" s="2">
        <v>92</v>
      </c>
      <c r="K242" s="2"/>
      <c r="L242" s="2">
        <v>100</v>
      </c>
      <c r="M242" s="2">
        <v>567</v>
      </c>
      <c r="N242" s="2">
        <v>94.5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</vt:lpstr>
      <vt:lpstr>BEST FIVE</vt:lpstr>
      <vt:lpstr>All Subjects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School</cp:lastModifiedBy>
  <cp:lastPrinted>2026-04-15T14:13:50Z</cp:lastPrinted>
  <dcterms:created xsi:type="dcterms:W3CDTF">2026-04-15T13:46:12Z</dcterms:created>
  <dcterms:modified xsi:type="dcterms:W3CDTF">2026-04-15T14:14:59Z</dcterms:modified>
</cp:coreProperties>
</file>